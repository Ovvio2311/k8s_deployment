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ynologyDrive\env_info\"/>
    </mc:Choice>
  </mc:AlternateContent>
  <bookViews>
    <workbookView xWindow="-28800" yWindow="0" windowWidth="28800" windowHeight="12210" tabRatio="748" activeTab="3"/>
  </bookViews>
  <sheets>
    <sheet name="svc" sheetId="2" r:id="rId1"/>
    <sheet name="svc_access_mapping" sheetId="3" r:id="rId2"/>
    <sheet name="kong_np_var" sheetId="9" r:id="rId3"/>
    <sheet name="kong_np_script" sheetId="8" r:id="rId4"/>
    <sheet name="kong_p2_var" sheetId="12" r:id="rId5"/>
    <sheet name="kong_p2_script" sheetId="14" r:id="rId6"/>
    <sheet name="kong_p1_var" sheetId="15" r:id="rId7"/>
    <sheet name="kong_p1_script" sheetId="18" r:id="rId8"/>
    <sheet name="Common Service" sheetId="5" r:id="rId9"/>
    <sheet name="ATL_internal" sheetId="4" r:id="rId10"/>
    <sheet name="ATL_20220531" sheetId="7" r:id="rId11"/>
    <sheet name="internal_url" sheetId="11" r:id="rId12"/>
  </sheets>
  <externalReferences>
    <externalReference r:id="rId13"/>
  </externalReferences>
  <definedNames>
    <definedName name="_xlnm._FilterDatabase" localSheetId="11" hidden="1">internal_url!$A$2:$F$206</definedName>
    <definedName name="_xlnm._FilterDatabase" localSheetId="3" hidden="1">kong_np_script!$A$1:$X$110</definedName>
    <definedName name="_xlnm._FilterDatabase" localSheetId="7" hidden="1">kong_p1_script!$A$1:$X$110</definedName>
    <definedName name="_xlnm._FilterDatabase" localSheetId="5" hidden="1">kong_p2_script!$A$1:$X$110</definedName>
    <definedName name="_xlnm._FilterDatabase" localSheetId="0" hidden="1">svc!$A$1:$T$94</definedName>
    <definedName name="Backup_Storage" localSheetId="7">'[1]Technical Details (IaaS)'!#REF!</definedName>
    <definedName name="Backup_Storage" localSheetId="5">'[1]Technical Details (IaaS)'!#REF!</definedName>
    <definedName name="Backup_Storage" localSheetId="4">'[1]Technical Details (IaaS)'!#REF!</definedName>
    <definedName name="Backup_Storage">'[1]Technical Details (IaaS)'!#REF!</definedName>
    <definedName name="field_req_Post" localSheetId="7">'[1]Request Summary'!#REF!</definedName>
    <definedName name="field_req_Post" localSheetId="5">'[1]Request Summary'!#REF!</definedName>
    <definedName name="field_req_Post" localSheetId="4">'[1]Request Summary'!#REF!</definedName>
    <definedName name="field_req_Post">'[1]Request Summary'!#REF!</definedName>
    <definedName name="_xlnm.Print_Area" localSheetId="0">svc!$A$1:$R$94</definedName>
    <definedName name="Shared_Storage" localSheetId="7">'[1]Technical Details (IaaS)'!#REF!</definedName>
    <definedName name="Shared_Storage" localSheetId="5">'[1]Technical Details (IaaS)'!#REF!</definedName>
    <definedName name="Shared_Storage" localSheetId="4">'[1]Technical Details (IaaS)'!#REF!</definedName>
    <definedName name="Shared_Storage">'[1]Technical Details (IaaS)'!#REF!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14" i="18" l="1"/>
  <c r="C114" i="18"/>
  <c r="N114" i="18" s="1"/>
  <c r="Z114" i="18" s="1"/>
  <c r="D114" i="18"/>
  <c r="H114" i="18" s="1"/>
  <c r="E114" i="18"/>
  <c r="F114" i="18"/>
  <c r="G114" i="18"/>
  <c r="J114" i="18"/>
  <c r="M114" i="18"/>
  <c r="Y114" i="18" s="1"/>
  <c r="P114" i="18"/>
  <c r="V114" i="18"/>
  <c r="A115" i="18"/>
  <c r="C115" i="18"/>
  <c r="M115" i="18" s="1"/>
  <c r="Y115" i="18" s="1"/>
  <c r="D115" i="18"/>
  <c r="E115" i="18"/>
  <c r="J115" i="18" s="1"/>
  <c r="V115" i="18" s="1"/>
  <c r="F115" i="18"/>
  <c r="G115" i="18"/>
  <c r="H115" i="18"/>
  <c r="I115" i="18"/>
  <c r="K115" i="18"/>
  <c r="L115" i="18"/>
  <c r="O115" i="18"/>
  <c r="U115" i="18"/>
  <c r="W115" i="18"/>
  <c r="X115" i="18"/>
  <c r="A116" i="18"/>
  <c r="C116" i="18"/>
  <c r="D116" i="18"/>
  <c r="E116" i="18"/>
  <c r="F116" i="18"/>
  <c r="G116" i="18"/>
  <c r="H116" i="18"/>
  <c r="K116" i="18"/>
  <c r="W116" i="18" s="1"/>
  <c r="P116" i="18"/>
  <c r="Q116" i="18"/>
  <c r="A117" i="18"/>
  <c r="C117" i="18"/>
  <c r="Q117" i="18" s="1"/>
  <c r="D117" i="18"/>
  <c r="E117" i="18"/>
  <c r="F117" i="18"/>
  <c r="G117" i="18"/>
  <c r="A118" i="18"/>
  <c r="C118" i="18"/>
  <c r="D118" i="18"/>
  <c r="E118" i="18"/>
  <c r="J118" i="18" s="1"/>
  <c r="V118" i="18" s="1"/>
  <c r="F118" i="18"/>
  <c r="G118" i="18"/>
  <c r="H118" i="18"/>
  <c r="I118" i="18"/>
  <c r="U118" i="18" s="1"/>
  <c r="K118" i="18"/>
  <c r="O118" i="18"/>
  <c r="W118" i="18"/>
  <c r="A119" i="18"/>
  <c r="C119" i="18"/>
  <c r="L119" i="18" s="1"/>
  <c r="X119" i="18" s="1"/>
  <c r="D119" i="18"/>
  <c r="I119" i="18" s="1"/>
  <c r="U119" i="18" s="1"/>
  <c r="E119" i="18"/>
  <c r="J119" i="18" s="1"/>
  <c r="V119" i="18" s="1"/>
  <c r="F119" i="18"/>
  <c r="G119" i="18"/>
  <c r="H119" i="18"/>
  <c r="K119" i="18"/>
  <c r="N119" i="18"/>
  <c r="Z119" i="18" s="1"/>
  <c r="P119" i="18"/>
  <c r="Q119" i="18"/>
  <c r="R119" i="18" s="1"/>
  <c r="W119" i="18"/>
  <c r="A120" i="18"/>
  <c r="C120" i="18"/>
  <c r="N120" i="18" s="1"/>
  <c r="Z120" i="18" s="1"/>
  <c r="D120" i="18"/>
  <c r="H120" i="18" s="1"/>
  <c r="E120" i="18"/>
  <c r="F120" i="18"/>
  <c r="G120" i="18"/>
  <c r="J120" i="18"/>
  <c r="M120" i="18"/>
  <c r="Y120" i="18" s="1"/>
  <c r="P120" i="18"/>
  <c r="V120" i="18"/>
  <c r="A121" i="18"/>
  <c r="C121" i="18"/>
  <c r="M121" i="18" s="1"/>
  <c r="Y121" i="18" s="1"/>
  <c r="D121" i="18"/>
  <c r="E121" i="18"/>
  <c r="J121" i="18" s="1"/>
  <c r="V121" i="18" s="1"/>
  <c r="F121" i="18"/>
  <c r="G121" i="18"/>
  <c r="H121" i="18"/>
  <c r="I121" i="18"/>
  <c r="K121" i="18"/>
  <c r="L121" i="18"/>
  <c r="X121" i="18" s="1"/>
  <c r="O121" i="18"/>
  <c r="U121" i="18"/>
  <c r="W121" i="18"/>
  <c r="A122" i="18"/>
  <c r="C122" i="18"/>
  <c r="D122" i="18"/>
  <c r="E122" i="18"/>
  <c r="K122" i="18" s="1"/>
  <c r="W122" i="18" s="1"/>
  <c r="F122" i="18"/>
  <c r="G122" i="18"/>
  <c r="H122" i="18"/>
  <c r="P122" i="18"/>
  <c r="Q122" i="18"/>
  <c r="A123" i="18"/>
  <c r="C123" i="18"/>
  <c r="Q123" i="18" s="1"/>
  <c r="D123" i="18"/>
  <c r="E123" i="18"/>
  <c r="F123" i="18"/>
  <c r="G123" i="18"/>
  <c r="J123" i="18"/>
  <c r="V123" i="18" s="1"/>
  <c r="P123" i="18"/>
  <c r="A124" i="18"/>
  <c r="C124" i="18"/>
  <c r="D124" i="18"/>
  <c r="E124" i="18"/>
  <c r="J124" i="18" s="1"/>
  <c r="V124" i="18" s="1"/>
  <c r="F124" i="18"/>
  <c r="G124" i="18"/>
  <c r="H124" i="18"/>
  <c r="I124" i="18"/>
  <c r="K124" i="18"/>
  <c r="O124" i="18"/>
  <c r="U124" i="18"/>
  <c r="W124" i="18"/>
  <c r="A125" i="18"/>
  <c r="C125" i="18"/>
  <c r="L125" i="18" s="1"/>
  <c r="X125" i="18" s="1"/>
  <c r="D125" i="18"/>
  <c r="I125" i="18" s="1"/>
  <c r="U125" i="18" s="1"/>
  <c r="E125" i="18"/>
  <c r="J125" i="18" s="1"/>
  <c r="V125" i="18" s="1"/>
  <c r="F125" i="18"/>
  <c r="G125" i="18"/>
  <c r="H125" i="18"/>
  <c r="K125" i="18"/>
  <c r="N125" i="18"/>
  <c r="Z125" i="18" s="1"/>
  <c r="P125" i="18"/>
  <c r="Q125" i="18"/>
  <c r="R125" i="18" s="1"/>
  <c r="W125" i="18"/>
  <c r="A126" i="18"/>
  <c r="C126" i="18"/>
  <c r="N126" i="18" s="1"/>
  <c r="Z126" i="18" s="1"/>
  <c r="D126" i="18"/>
  <c r="H126" i="18" s="1"/>
  <c r="E126" i="18"/>
  <c r="F126" i="18"/>
  <c r="G126" i="18"/>
  <c r="J126" i="18"/>
  <c r="M126" i="18"/>
  <c r="P126" i="18"/>
  <c r="V126" i="18"/>
  <c r="Y126" i="18"/>
  <c r="A127" i="18"/>
  <c r="C127" i="18"/>
  <c r="M127" i="18" s="1"/>
  <c r="Y127" i="18" s="1"/>
  <c r="D127" i="18"/>
  <c r="E127" i="18"/>
  <c r="J127" i="18" s="1"/>
  <c r="V127" i="18" s="1"/>
  <c r="F127" i="18"/>
  <c r="G127" i="18"/>
  <c r="H127" i="18"/>
  <c r="I127" i="18"/>
  <c r="K127" i="18"/>
  <c r="L127" i="18"/>
  <c r="O127" i="18"/>
  <c r="U127" i="18"/>
  <c r="W127" i="18"/>
  <c r="X127" i="18"/>
  <c r="A128" i="18"/>
  <c r="C128" i="18"/>
  <c r="D128" i="18"/>
  <c r="E128" i="18"/>
  <c r="F128" i="18"/>
  <c r="G128" i="18"/>
  <c r="H128" i="18"/>
  <c r="P128" i="18"/>
  <c r="Q128" i="18"/>
  <c r="A129" i="18"/>
  <c r="C129" i="18"/>
  <c r="Q129" i="18" s="1"/>
  <c r="D129" i="18"/>
  <c r="P129" i="18" s="1"/>
  <c r="E129" i="18"/>
  <c r="F129" i="18"/>
  <c r="G129" i="18"/>
  <c r="J129" i="18"/>
  <c r="V129" i="18" s="1"/>
  <c r="A130" i="18"/>
  <c r="C130" i="18"/>
  <c r="D130" i="18"/>
  <c r="E130" i="18"/>
  <c r="J130" i="18" s="1"/>
  <c r="V130" i="18" s="1"/>
  <c r="F130" i="18"/>
  <c r="G130" i="18"/>
  <c r="H130" i="18"/>
  <c r="I130" i="18"/>
  <c r="U130" i="18" s="1"/>
  <c r="K130" i="18"/>
  <c r="O130" i="18"/>
  <c r="W130" i="18"/>
  <c r="A131" i="18"/>
  <c r="C131" i="18"/>
  <c r="L131" i="18" s="1"/>
  <c r="X131" i="18" s="1"/>
  <c r="D131" i="18"/>
  <c r="I131" i="18" s="1"/>
  <c r="U131" i="18" s="1"/>
  <c r="E131" i="18"/>
  <c r="J131" i="18" s="1"/>
  <c r="V131" i="18" s="1"/>
  <c r="F131" i="18"/>
  <c r="G131" i="18"/>
  <c r="H131" i="18"/>
  <c r="K131" i="18"/>
  <c r="N131" i="18"/>
  <c r="P131" i="18"/>
  <c r="Q131" i="18"/>
  <c r="R131" i="18" s="1"/>
  <c r="W131" i="18"/>
  <c r="Z131" i="18"/>
  <c r="A132" i="18"/>
  <c r="C132" i="18"/>
  <c r="N132" i="18" s="1"/>
  <c r="Z132" i="18" s="1"/>
  <c r="D132" i="18"/>
  <c r="H132" i="18" s="1"/>
  <c r="E132" i="18"/>
  <c r="F132" i="18"/>
  <c r="G132" i="18"/>
  <c r="J132" i="18"/>
  <c r="M132" i="18"/>
  <c r="Y132" i="18" s="1"/>
  <c r="P132" i="18"/>
  <c r="V132" i="18"/>
  <c r="A133" i="18"/>
  <c r="C133" i="18"/>
  <c r="M133" i="18" s="1"/>
  <c r="Y133" i="18" s="1"/>
  <c r="D133" i="18"/>
  <c r="E133" i="18"/>
  <c r="J133" i="18" s="1"/>
  <c r="V133" i="18" s="1"/>
  <c r="F133" i="18"/>
  <c r="G133" i="18"/>
  <c r="H133" i="18"/>
  <c r="I133" i="18"/>
  <c r="K133" i="18"/>
  <c r="L133" i="18"/>
  <c r="X133" i="18" s="1"/>
  <c r="O133" i="18"/>
  <c r="U133" i="18"/>
  <c r="W133" i="18"/>
  <c r="A134" i="18"/>
  <c r="C134" i="18"/>
  <c r="D134" i="18"/>
  <c r="L134" i="18" s="1"/>
  <c r="X134" i="18" s="1"/>
  <c r="E134" i="18"/>
  <c r="F134" i="18"/>
  <c r="G134" i="18"/>
  <c r="H134" i="18"/>
  <c r="K134" i="18"/>
  <c r="W134" i="18" s="1"/>
  <c r="P134" i="18"/>
  <c r="Q134" i="18"/>
  <c r="A135" i="18"/>
  <c r="C135" i="18"/>
  <c r="Q135" i="18" s="1"/>
  <c r="D135" i="18"/>
  <c r="E135" i="18"/>
  <c r="F135" i="18"/>
  <c r="G135" i="18"/>
  <c r="J135" i="18"/>
  <c r="V135" i="18" s="1"/>
  <c r="M135" i="18"/>
  <c r="Y135" i="18" s="1"/>
  <c r="P135" i="18"/>
  <c r="S135" i="18"/>
  <c r="A136" i="18"/>
  <c r="C136" i="18"/>
  <c r="D136" i="18"/>
  <c r="E136" i="18"/>
  <c r="J136" i="18" s="1"/>
  <c r="V136" i="18" s="1"/>
  <c r="F136" i="18"/>
  <c r="G136" i="18"/>
  <c r="H136" i="18"/>
  <c r="I136" i="18"/>
  <c r="U136" i="18" s="1"/>
  <c r="K136" i="18"/>
  <c r="W136" i="18" s="1"/>
  <c r="L136" i="18"/>
  <c r="X136" i="18" s="1"/>
  <c r="O136" i="18"/>
  <c r="A137" i="18"/>
  <c r="C137" i="18"/>
  <c r="L137" i="18" s="1"/>
  <c r="X137" i="18" s="1"/>
  <c r="D137" i="18"/>
  <c r="E137" i="18"/>
  <c r="J137" i="18" s="1"/>
  <c r="V137" i="18" s="1"/>
  <c r="F137" i="18"/>
  <c r="G137" i="18"/>
  <c r="H137" i="18"/>
  <c r="K137" i="18"/>
  <c r="W137" i="18" s="1"/>
  <c r="P137" i="18"/>
  <c r="Q137" i="18"/>
  <c r="A138" i="18"/>
  <c r="C138" i="18"/>
  <c r="P138" i="18" s="1"/>
  <c r="D138" i="18"/>
  <c r="E138" i="18"/>
  <c r="F138" i="18"/>
  <c r="G138" i="18"/>
  <c r="M138" i="18"/>
  <c r="Y138" i="18" s="1"/>
  <c r="O138" i="18"/>
  <c r="A114" i="8"/>
  <c r="C114" i="8"/>
  <c r="N114" i="8" s="1"/>
  <c r="Z114" i="8" s="1"/>
  <c r="D114" i="8"/>
  <c r="H114" i="8" s="1"/>
  <c r="E114" i="8"/>
  <c r="F114" i="8"/>
  <c r="R114" i="8" s="1"/>
  <c r="G114" i="8"/>
  <c r="I114" i="8"/>
  <c r="J114" i="8"/>
  <c r="K114" i="8"/>
  <c r="L114" i="8"/>
  <c r="X114" i="8" s="1"/>
  <c r="O114" i="8"/>
  <c r="P114" i="8"/>
  <c r="Q114" i="8"/>
  <c r="U114" i="8"/>
  <c r="V114" i="8"/>
  <c r="W114" i="8"/>
  <c r="A115" i="8"/>
  <c r="C115" i="8"/>
  <c r="D115" i="8"/>
  <c r="H115" i="8" s="1"/>
  <c r="E115" i="8"/>
  <c r="F115" i="8"/>
  <c r="G115" i="8"/>
  <c r="J115" i="8"/>
  <c r="N115" i="8"/>
  <c r="Z115" i="8" s="1"/>
  <c r="Q115" i="8"/>
  <c r="V115" i="8"/>
  <c r="A116" i="8"/>
  <c r="C116" i="8"/>
  <c r="N116" i="8" s="1"/>
  <c r="Z116" i="8" s="1"/>
  <c r="D116" i="8"/>
  <c r="K116" i="8" s="1"/>
  <c r="W116" i="8" s="1"/>
  <c r="E116" i="8"/>
  <c r="F116" i="8"/>
  <c r="G116" i="8"/>
  <c r="I116" i="8"/>
  <c r="J116" i="8"/>
  <c r="V116" i="8" s="1"/>
  <c r="M116" i="8"/>
  <c r="Y116" i="8" s="1"/>
  <c r="U116" i="8"/>
  <c r="A117" i="8"/>
  <c r="C117" i="8"/>
  <c r="P117" i="8" s="1"/>
  <c r="D117" i="8"/>
  <c r="E117" i="8"/>
  <c r="J117" i="8" s="1"/>
  <c r="V117" i="8" s="1"/>
  <c r="F117" i="8"/>
  <c r="G117" i="8"/>
  <c r="H117" i="8"/>
  <c r="I117" i="8"/>
  <c r="U117" i="8" s="1"/>
  <c r="K117" i="8"/>
  <c r="O117" i="8"/>
  <c r="Q117" i="8"/>
  <c r="T117" i="8" s="1"/>
  <c r="R117" i="8"/>
  <c r="W117" i="8"/>
  <c r="A118" i="8"/>
  <c r="C118" i="8"/>
  <c r="D118" i="8"/>
  <c r="L118" i="8" s="1"/>
  <c r="X118" i="8" s="1"/>
  <c r="E118" i="8"/>
  <c r="F118" i="8"/>
  <c r="G118" i="8"/>
  <c r="K118" i="8"/>
  <c r="W118" i="8" s="1"/>
  <c r="M118" i="8"/>
  <c r="Y118" i="8" s="1"/>
  <c r="Q118" i="8"/>
  <c r="A119" i="8"/>
  <c r="C119" i="8"/>
  <c r="N119" i="8" s="1"/>
  <c r="Z119" i="8" s="1"/>
  <c r="D119" i="8"/>
  <c r="H119" i="8" s="1"/>
  <c r="E119" i="8"/>
  <c r="K119" i="8" s="1"/>
  <c r="F119" i="8"/>
  <c r="R119" i="8" s="1"/>
  <c r="G119" i="8"/>
  <c r="I119" i="8"/>
  <c r="U119" i="8" s="1"/>
  <c r="J119" i="8"/>
  <c r="M119" i="8"/>
  <c r="Y119" i="8" s="1"/>
  <c r="O119" i="8"/>
  <c r="P119" i="8"/>
  <c r="Q119" i="8"/>
  <c r="V119" i="8"/>
  <c r="W119" i="8"/>
  <c r="A120" i="8"/>
  <c r="C120" i="8"/>
  <c r="Q120" i="8" s="1"/>
  <c r="D120" i="8"/>
  <c r="H120" i="8" s="1"/>
  <c r="E120" i="8"/>
  <c r="F120" i="8"/>
  <c r="G120" i="8"/>
  <c r="K120" i="8"/>
  <c r="W120" i="8" s="1"/>
  <c r="P120" i="8"/>
  <c r="R120" i="8"/>
  <c r="A121" i="8"/>
  <c r="C121" i="8"/>
  <c r="D121" i="8"/>
  <c r="I121" i="8" s="1"/>
  <c r="U121" i="8" s="1"/>
  <c r="E121" i="8"/>
  <c r="J121" i="8" s="1"/>
  <c r="V121" i="8" s="1"/>
  <c r="F121" i="8"/>
  <c r="G121" i="8"/>
  <c r="H121" i="8"/>
  <c r="K121" i="8"/>
  <c r="W121" i="8" s="1"/>
  <c r="N121" i="8"/>
  <c r="Z121" i="8" s="1"/>
  <c r="O121" i="8"/>
  <c r="Q121" i="8"/>
  <c r="R121" i="8" s="1"/>
  <c r="A122" i="8"/>
  <c r="C122" i="8"/>
  <c r="D122" i="8"/>
  <c r="K122" i="8" s="1"/>
  <c r="W122" i="8" s="1"/>
  <c r="E122" i="8"/>
  <c r="F122" i="8"/>
  <c r="G122" i="8"/>
  <c r="H122" i="8"/>
  <c r="I122" i="8"/>
  <c r="U122" i="8" s="1"/>
  <c r="J122" i="8"/>
  <c r="O122" i="8"/>
  <c r="P122" i="8"/>
  <c r="V122" i="8"/>
  <c r="A123" i="8"/>
  <c r="C123" i="8"/>
  <c r="P123" i="8" s="1"/>
  <c r="D123" i="8"/>
  <c r="E123" i="8"/>
  <c r="S123" i="8" s="1"/>
  <c r="F123" i="8"/>
  <c r="G123" i="8"/>
  <c r="H123" i="8"/>
  <c r="O123" i="8"/>
  <c r="Q123" i="8"/>
  <c r="R123" i="8" s="1"/>
  <c r="A124" i="8"/>
  <c r="C124" i="8"/>
  <c r="D124" i="8"/>
  <c r="E124" i="8"/>
  <c r="K124" i="8" s="1"/>
  <c r="W124" i="8" s="1"/>
  <c r="F124" i="8"/>
  <c r="R124" i="8" s="1"/>
  <c r="G124" i="8"/>
  <c r="H124" i="8"/>
  <c r="L124" i="8"/>
  <c r="X124" i="8" s="1"/>
  <c r="N124" i="8"/>
  <c r="Z124" i="8" s="1"/>
  <c r="P124" i="8"/>
  <c r="Q124" i="8"/>
  <c r="A125" i="8"/>
  <c r="C125" i="8"/>
  <c r="D125" i="8"/>
  <c r="H125" i="8" s="1"/>
  <c r="E125" i="8"/>
  <c r="F125" i="8"/>
  <c r="G125" i="8"/>
  <c r="J125" i="8"/>
  <c r="V125" i="8" s="1"/>
  <c r="K125" i="8"/>
  <c r="W125" i="8" s="1"/>
  <c r="O125" i="8"/>
  <c r="Q125" i="8"/>
  <c r="A126" i="8"/>
  <c r="C126" i="8"/>
  <c r="D126" i="8"/>
  <c r="H126" i="8" s="1"/>
  <c r="E126" i="8"/>
  <c r="F126" i="8"/>
  <c r="R126" i="8" s="1"/>
  <c r="G126" i="8"/>
  <c r="J126" i="8"/>
  <c r="V126" i="8" s="1"/>
  <c r="L126" i="8"/>
  <c r="X126" i="8" s="1"/>
  <c r="Q126" i="8"/>
  <c r="A127" i="8"/>
  <c r="C127" i="8"/>
  <c r="L127" i="8" s="1"/>
  <c r="X127" i="8" s="1"/>
  <c r="D127" i="8"/>
  <c r="E127" i="8"/>
  <c r="J127" i="8" s="1"/>
  <c r="F127" i="8"/>
  <c r="G127" i="8"/>
  <c r="H127" i="8"/>
  <c r="I127" i="8"/>
  <c r="U127" i="8" s="1"/>
  <c r="K127" i="8"/>
  <c r="M127" i="8"/>
  <c r="Y127" i="8" s="1"/>
  <c r="O127" i="8"/>
  <c r="P127" i="8"/>
  <c r="V127" i="8"/>
  <c r="W127" i="8"/>
  <c r="A128" i="8"/>
  <c r="C128" i="8"/>
  <c r="Q128" i="8" s="1"/>
  <c r="D128" i="8"/>
  <c r="E128" i="8"/>
  <c r="F128" i="8"/>
  <c r="G128" i="8"/>
  <c r="R128" i="8"/>
  <c r="S128" i="8"/>
  <c r="A129" i="8"/>
  <c r="C129" i="8"/>
  <c r="P129" i="8" s="1"/>
  <c r="D129" i="8"/>
  <c r="E129" i="8"/>
  <c r="J129" i="8" s="1"/>
  <c r="V129" i="8" s="1"/>
  <c r="F129" i="8"/>
  <c r="G129" i="8"/>
  <c r="H129" i="8"/>
  <c r="K129" i="8"/>
  <c r="W129" i="8" s="1"/>
  <c r="L129" i="8"/>
  <c r="X129" i="8" s="1"/>
  <c r="M129" i="8"/>
  <c r="Y129" i="8" s="1"/>
  <c r="N129" i="8"/>
  <c r="Z129" i="8" s="1"/>
  <c r="O129" i="8"/>
  <c r="Q129" i="8"/>
  <c r="T129" i="8"/>
  <c r="A130" i="8"/>
  <c r="C130" i="8"/>
  <c r="D130" i="8"/>
  <c r="E130" i="8"/>
  <c r="K130" i="8" s="1"/>
  <c r="F130" i="8"/>
  <c r="R130" i="8" s="1"/>
  <c r="G130" i="8"/>
  <c r="H130" i="8"/>
  <c r="J130" i="8"/>
  <c r="V130" i="8" s="1"/>
  <c r="L130" i="8"/>
  <c r="M130" i="8"/>
  <c r="Y130" i="8" s="1"/>
  <c r="N130" i="8"/>
  <c r="Z130" i="8" s="1"/>
  <c r="P130" i="8"/>
  <c r="Q130" i="8"/>
  <c r="S130" i="8" s="1"/>
  <c r="W130" i="8"/>
  <c r="X130" i="8"/>
  <c r="A131" i="8"/>
  <c r="C131" i="8"/>
  <c r="D131" i="8"/>
  <c r="E131" i="8"/>
  <c r="F131" i="8"/>
  <c r="G131" i="8"/>
  <c r="K131" i="8"/>
  <c r="W131" i="8" s="1"/>
  <c r="P131" i="8"/>
  <c r="Q131" i="8"/>
  <c r="R131" i="8"/>
  <c r="S131" i="8"/>
  <c r="A132" i="8"/>
  <c r="C132" i="8"/>
  <c r="D132" i="8"/>
  <c r="I132" i="8" s="1"/>
  <c r="U132" i="8" s="1"/>
  <c r="E132" i="8"/>
  <c r="F132" i="8"/>
  <c r="G132" i="8"/>
  <c r="H132" i="8"/>
  <c r="N132" i="8"/>
  <c r="Z132" i="8" s="1"/>
  <c r="O132" i="8"/>
  <c r="Q132" i="8"/>
  <c r="R132" i="8"/>
  <c r="A133" i="8"/>
  <c r="C133" i="8"/>
  <c r="N133" i="8" s="1"/>
  <c r="Z133" i="8" s="1"/>
  <c r="D133" i="8"/>
  <c r="K133" i="8" s="1"/>
  <c r="W133" i="8" s="1"/>
  <c r="E133" i="8"/>
  <c r="F133" i="8"/>
  <c r="G133" i="8"/>
  <c r="I133" i="8"/>
  <c r="U133" i="8" s="1"/>
  <c r="J133" i="8"/>
  <c r="V133" i="8" s="1"/>
  <c r="P133" i="8"/>
  <c r="A134" i="8"/>
  <c r="C134" i="8"/>
  <c r="L134" i="8" s="1"/>
  <c r="X134" i="8" s="1"/>
  <c r="D134" i="8"/>
  <c r="K134" i="8" s="1"/>
  <c r="W134" i="8" s="1"/>
  <c r="E134" i="8"/>
  <c r="F134" i="8"/>
  <c r="G134" i="8"/>
  <c r="I134" i="8"/>
  <c r="U134" i="8" s="1"/>
  <c r="J134" i="8"/>
  <c r="V134" i="8" s="1"/>
  <c r="P134" i="8"/>
  <c r="A135" i="8"/>
  <c r="C135" i="8"/>
  <c r="P135" i="8" s="1"/>
  <c r="D135" i="8"/>
  <c r="E135" i="8"/>
  <c r="F135" i="8"/>
  <c r="R135" i="8" s="1"/>
  <c r="G135" i="8"/>
  <c r="S135" i="8" s="1"/>
  <c r="H135" i="8"/>
  <c r="N135" i="8"/>
  <c r="Z135" i="8" s="1"/>
  <c r="O135" i="8"/>
  <c r="Q135" i="8"/>
  <c r="A136" i="8"/>
  <c r="C136" i="8"/>
  <c r="D136" i="8"/>
  <c r="E136" i="8"/>
  <c r="F136" i="8"/>
  <c r="G136" i="8"/>
  <c r="N136" i="8"/>
  <c r="Z136" i="8" s="1"/>
  <c r="Q136" i="8"/>
  <c r="R136" i="8" s="1"/>
  <c r="A137" i="8"/>
  <c r="C137" i="8"/>
  <c r="L137" i="8" s="1"/>
  <c r="X137" i="8" s="1"/>
  <c r="D137" i="8"/>
  <c r="H137" i="8" s="1"/>
  <c r="E137" i="8"/>
  <c r="K137" i="8" s="1"/>
  <c r="W137" i="8" s="1"/>
  <c r="F137" i="8"/>
  <c r="G137" i="8"/>
  <c r="M137" i="8"/>
  <c r="Y137" i="8"/>
  <c r="A138" i="8"/>
  <c r="C138" i="8"/>
  <c r="D138" i="8"/>
  <c r="E138" i="8"/>
  <c r="J138" i="8" s="1"/>
  <c r="F138" i="8"/>
  <c r="G138" i="8"/>
  <c r="H138" i="8"/>
  <c r="I138" i="8"/>
  <c r="K138" i="8"/>
  <c r="L138" i="8"/>
  <c r="X138" i="8" s="1"/>
  <c r="N138" i="8"/>
  <c r="Z138" i="8" s="1"/>
  <c r="O138" i="8"/>
  <c r="P138" i="8"/>
  <c r="U138" i="8"/>
  <c r="V138" i="8"/>
  <c r="W138" i="8"/>
  <c r="A139" i="8"/>
  <c r="C139" i="8"/>
  <c r="D139" i="8"/>
  <c r="E139" i="8"/>
  <c r="J139" i="8" s="1"/>
  <c r="V139" i="8" s="1"/>
  <c r="F139" i="8"/>
  <c r="G139" i="8"/>
  <c r="H139" i="8"/>
  <c r="K139" i="8"/>
  <c r="W139" i="8" s="1"/>
  <c r="O139" i="8"/>
  <c r="Q139" i="8"/>
  <c r="S139" i="8" s="1"/>
  <c r="A140" i="8"/>
  <c r="C140" i="8"/>
  <c r="Q140" i="8" s="1"/>
  <c r="D140" i="8"/>
  <c r="E140" i="8"/>
  <c r="F140" i="8"/>
  <c r="S140" i="8" s="1"/>
  <c r="G140" i="8"/>
  <c r="J140" i="8"/>
  <c r="V140" i="8" s="1"/>
  <c r="L140" i="8"/>
  <c r="X140" i="8" s="1"/>
  <c r="M140" i="8"/>
  <c r="N140" i="8"/>
  <c r="Z140" i="8" s="1"/>
  <c r="R140" i="8"/>
  <c r="Y140" i="8"/>
  <c r="A141" i="8"/>
  <c r="C141" i="8"/>
  <c r="D141" i="8"/>
  <c r="E141" i="8"/>
  <c r="J141" i="8" s="1"/>
  <c r="V141" i="8" s="1"/>
  <c r="F141" i="8"/>
  <c r="G141" i="8"/>
  <c r="H141" i="8"/>
  <c r="I141" i="8"/>
  <c r="U141" i="8" s="1"/>
  <c r="K141" i="8"/>
  <c r="L141" i="8"/>
  <c r="N141" i="8"/>
  <c r="O141" i="8"/>
  <c r="W141" i="8"/>
  <c r="X141" i="8"/>
  <c r="Z141" i="8"/>
  <c r="A142" i="8"/>
  <c r="C142" i="8"/>
  <c r="D142" i="8"/>
  <c r="E142" i="8"/>
  <c r="J142" i="8" s="1"/>
  <c r="V142" i="8" s="1"/>
  <c r="F142" i="8"/>
  <c r="R142" i="8" s="1"/>
  <c r="G142" i="8"/>
  <c r="H142" i="8"/>
  <c r="M142" i="8"/>
  <c r="Y142" i="8" s="1"/>
  <c r="P142" i="8"/>
  <c r="Q142" i="8"/>
  <c r="A114" i="14"/>
  <c r="C114" i="14"/>
  <c r="D114" i="14"/>
  <c r="H114" i="14" s="1"/>
  <c r="E114" i="14"/>
  <c r="F114" i="14"/>
  <c r="R114" i="14" s="1"/>
  <c r="G114" i="14"/>
  <c r="P114" i="14"/>
  <c r="Q114" i="14"/>
  <c r="A115" i="14"/>
  <c r="C115" i="14"/>
  <c r="D115" i="14"/>
  <c r="J115" i="14" s="1"/>
  <c r="V115" i="14" s="1"/>
  <c r="E115" i="14"/>
  <c r="F115" i="14"/>
  <c r="G115" i="14"/>
  <c r="P115" i="14"/>
  <c r="Q115" i="14"/>
  <c r="A116" i="14"/>
  <c r="C116" i="14"/>
  <c r="D116" i="14"/>
  <c r="I116" i="14" s="1"/>
  <c r="U116" i="14" s="1"/>
  <c r="E116" i="14"/>
  <c r="F116" i="14"/>
  <c r="G116" i="14"/>
  <c r="O116" i="14"/>
  <c r="P116" i="14"/>
  <c r="A117" i="14"/>
  <c r="C117" i="14"/>
  <c r="D117" i="14"/>
  <c r="K117" i="14" s="1"/>
  <c r="W117" i="14" s="1"/>
  <c r="E117" i="14"/>
  <c r="F117" i="14"/>
  <c r="G117" i="14"/>
  <c r="H117" i="14"/>
  <c r="I117" i="14"/>
  <c r="J117" i="14"/>
  <c r="N117" i="14"/>
  <c r="Z117" i="14" s="1"/>
  <c r="O117" i="14"/>
  <c r="U117" i="14"/>
  <c r="V117" i="14"/>
  <c r="A118" i="14"/>
  <c r="C118" i="14"/>
  <c r="P118" i="14" s="1"/>
  <c r="D118" i="14"/>
  <c r="K118" i="14" s="1"/>
  <c r="W118" i="14" s="1"/>
  <c r="E118" i="14"/>
  <c r="F118" i="14"/>
  <c r="G118" i="14"/>
  <c r="H118" i="14"/>
  <c r="I118" i="14"/>
  <c r="J118" i="14"/>
  <c r="M118" i="14"/>
  <c r="Y118" i="14" s="1"/>
  <c r="N118" i="14"/>
  <c r="O118" i="14"/>
  <c r="U118" i="14"/>
  <c r="V118" i="14"/>
  <c r="Z118" i="14"/>
  <c r="A119" i="14"/>
  <c r="C119" i="14"/>
  <c r="P119" i="14" s="1"/>
  <c r="D119" i="14"/>
  <c r="E119" i="14"/>
  <c r="I119" i="14" s="1"/>
  <c r="U119" i="14" s="1"/>
  <c r="F119" i="14"/>
  <c r="R119" i="14" s="1"/>
  <c r="G119" i="14"/>
  <c r="T119" i="14" s="1"/>
  <c r="H119" i="14"/>
  <c r="K119" i="14"/>
  <c r="L119" i="14"/>
  <c r="M119" i="14"/>
  <c r="N119" i="14"/>
  <c r="Z119" i="14" s="1"/>
  <c r="O119" i="14"/>
  <c r="Q119" i="14"/>
  <c r="W119" i="14"/>
  <c r="X119" i="14"/>
  <c r="Y119" i="14"/>
  <c r="A120" i="14"/>
  <c r="C120" i="14"/>
  <c r="D120" i="14"/>
  <c r="H120" i="14" s="1"/>
  <c r="E120" i="14"/>
  <c r="J120" i="14" s="1"/>
  <c r="V120" i="14" s="1"/>
  <c r="F120" i="14"/>
  <c r="R120" i="14" s="1"/>
  <c r="G120" i="14"/>
  <c r="P120" i="14"/>
  <c r="Q120" i="14"/>
  <c r="A121" i="14"/>
  <c r="C121" i="14"/>
  <c r="D121" i="14"/>
  <c r="E121" i="14"/>
  <c r="L121" i="14" s="1"/>
  <c r="X121" i="14" s="1"/>
  <c r="F121" i="14"/>
  <c r="G121" i="14"/>
  <c r="J121" i="14"/>
  <c r="V121" i="14" s="1"/>
  <c r="P121" i="14"/>
  <c r="Q121" i="14"/>
  <c r="R121" i="14"/>
  <c r="A122" i="14"/>
  <c r="C122" i="14"/>
  <c r="P122" i="14" s="1"/>
  <c r="D122" i="14"/>
  <c r="H122" i="14" s="1"/>
  <c r="E122" i="14"/>
  <c r="F122" i="14"/>
  <c r="G122" i="14"/>
  <c r="J122" i="14"/>
  <c r="V122" i="14" s="1"/>
  <c r="Q122" i="14"/>
  <c r="A123" i="14"/>
  <c r="C123" i="14"/>
  <c r="P123" i="14" s="1"/>
  <c r="D123" i="14"/>
  <c r="K123" i="14" s="1"/>
  <c r="W123" i="14" s="1"/>
  <c r="E123" i="14"/>
  <c r="F123" i="14"/>
  <c r="G123" i="14"/>
  <c r="H123" i="14"/>
  <c r="I123" i="14"/>
  <c r="U123" i="14" s="1"/>
  <c r="J123" i="14"/>
  <c r="O123" i="14"/>
  <c r="V123" i="14"/>
  <c r="A124" i="14"/>
  <c r="C124" i="14"/>
  <c r="D124" i="14"/>
  <c r="K124" i="14" s="1"/>
  <c r="W124" i="14" s="1"/>
  <c r="E124" i="14"/>
  <c r="F124" i="14"/>
  <c r="G124" i="14"/>
  <c r="H124" i="14"/>
  <c r="I124" i="14"/>
  <c r="J124" i="14"/>
  <c r="L124" i="14"/>
  <c r="M124" i="14"/>
  <c r="Y124" i="14" s="1"/>
  <c r="N124" i="14"/>
  <c r="Z124" i="14" s="1"/>
  <c r="O124" i="14"/>
  <c r="U124" i="14"/>
  <c r="V124" i="14"/>
  <c r="X124" i="14"/>
  <c r="A125" i="14"/>
  <c r="C125" i="14"/>
  <c r="P125" i="14" s="1"/>
  <c r="D125" i="14"/>
  <c r="E125" i="14"/>
  <c r="N125" i="14" s="1"/>
  <c r="Z125" i="14" s="1"/>
  <c r="F125" i="14"/>
  <c r="G125" i="14"/>
  <c r="H125" i="14"/>
  <c r="M125" i="14"/>
  <c r="Y125" i="14" s="1"/>
  <c r="O125" i="14"/>
  <c r="Q125" i="14"/>
  <c r="R125" i="14"/>
  <c r="T125" i="14"/>
  <c r="A126" i="14"/>
  <c r="C126" i="14"/>
  <c r="D126" i="14"/>
  <c r="E126" i="14"/>
  <c r="K126" i="14" s="1"/>
  <c r="W126" i="14" s="1"/>
  <c r="F126" i="14"/>
  <c r="R126" i="14" s="1"/>
  <c r="G126" i="14"/>
  <c r="H126" i="14"/>
  <c r="J126" i="14"/>
  <c r="V126" i="14" s="1"/>
  <c r="L126" i="14"/>
  <c r="M126" i="14"/>
  <c r="Y126" i="14" s="1"/>
  <c r="N126" i="14"/>
  <c r="Z126" i="14" s="1"/>
  <c r="P126" i="14"/>
  <c r="Q126" i="14"/>
  <c r="S126" i="14" s="1"/>
  <c r="X126" i="14"/>
  <c r="A127" i="14"/>
  <c r="C127" i="14"/>
  <c r="Q127" i="14" s="1"/>
  <c r="D127" i="14"/>
  <c r="H127" i="14" s="1"/>
  <c r="E127" i="14"/>
  <c r="K127" i="14" s="1"/>
  <c r="W127" i="14" s="1"/>
  <c r="F127" i="14"/>
  <c r="G127" i="14"/>
  <c r="L127" i="14"/>
  <c r="X127" i="14" s="1"/>
  <c r="A128" i="14"/>
  <c r="C128" i="14"/>
  <c r="D128" i="14"/>
  <c r="I128" i="14" s="1"/>
  <c r="U128" i="14" s="1"/>
  <c r="E128" i="14"/>
  <c r="J128" i="14" s="1"/>
  <c r="V128" i="14" s="1"/>
  <c r="F128" i="14"/>
  <c r="R128" i="14" s="1"/>
  <c r="G128" i="14"/>
  <c r="H128" i="14"/>
  <c r="K128" i="14"/>
  <c r="W128" i="14" s="1"/>
  <c r="L128" i="14"/>
  <c r="X128" i="14" s="1"/>
  <c r="N128" i="14"/>
  <c r="Z128" i="14" s="1"/>
  <c r="O128" i="14"/>
  <c r="Q128" i="14"/>
  <c r="A129" i="14"/>
  <c r="C129" i="14"/>
  <c r="M129" i="14" s="1"/>
  <c r="Y129" i="14" s="1"/>
  <c r="D129" i="14"/>
  <c r="H129" i="14" s="1"/>
  <c r="E129" i="14"/>
  <c r="F129" i="14"/>
  <c r="G129" i="14"/>
  <c r="J129" i="14"/>
  <c r="V129" i="14" s="1"/>
  <c r="Q129" i="14"/>
  <c r="R129" i="14" s="1"/>
  <c r="A130" i="14"/>
  <c r="C130" i="14"/>
  <c r="Q130" i="14" s="1"/>
  <c r="D130" i="14"/>
  <c r="K130" i="14" s="1"/>
  <c r="W130" i="14" s="1"/>
  <c r="E130" i="14"/>
  <c r="F130" i="14"/>
  <c r="S130" i="14" s="1"/>
  <c r="G130" i="14"/>
  <c r="L130" i="14"/>
  <c r="X130" i="14" s="1"/>
  <c r="M130" i="14"/>
  <c r="Y130" i="14" s="1"/>
  <c r="A131" i="14"/>
  <c r="C131" i="14"/>
  <c r="P131" i="14" s="1"/>
  <c r="D131" i="14"/>
  <c r="E131" i="14"/>
  <c r="J131" i="14" s="1"/>
  <c r="V131" i="14" s="1"/>
  <c r="F131" i="14"/>
  <c r="S131" i="14" s="1"/>
  <c r="G131" i="14"/>
  <c r="H131" i="14"/>
  <c r="T131" i="14" s="1"/>
  <c r="L131" i="14"/>
  <c r="X131" i="14" s="1"/>
  <c r="M131" i="14"/>
  <c r="Y131" i="14" s="1"/>
  <c r="N131" i="14"/>
  <c r="Z131" i="14" s="1"/>
  <c r="O131" i="14"/>
  <c r="Q131" i="14"/>
  <c r="A132" i="14"/>
  <c r="C132" i="14"/>
  <c r="D132" i="14"/>
  <c r="L132" i="14" s="1"/>
  <c r="X132" i="14" s="1"/>
  <c r="E132" i="14"/>
  <c r="F132" i="14"/>
  <c r="G132" i="14"/>
  <c r="K132" i="14"/>
  <c r="W132" i="14" s="1"/>
  <c r="Q132" i="14"/>
  <c r="S132" i="14" s="1"/>
  <c r="R132" i="14"/>
  <c r="A133" i="14"/>
  <c r="C133" i="14"/>
  <c r="D133" i="14"/>
  <c r="H133" i="14" s="1"/>
  <c r="E133" i="14"/>
  <c r="F133" i="14"/>
  <c r="R133" i="14" s="1"/>
  <c r="G133" i="14"/>
  <c r="L133" i="14"/>
  <c r="X133" i="14" s="1"/>
  <c r="M133" i="14"/>
  <c r="Y133" i="14" s="1"/>
  <c r="Q133" i="14"/>
  <c r="A134" i="14"/>
  <c r="C134" i="14"/>
  <c r="M134" i="14" s="1"/>
  <c r="Y134" i="14" s="1"/>
  <c r="D134" i="14"/>
  <c r="E134" i="14"/>
  <c r="K134" i="14" s="1"/>
  <c r="W134" i="14" s="1"/>
  <c r="F134" i="14"/>
  <c r="G134" i="14"/>
  <c r="H134" i="14"/>
  <c r="I134" i="14"/>
  <c r="U134" i="14" s="1"/>
  <c r="O134" i="14"/>
  <c r="P134" i="14"/>
  <c r="V112" i="2"/>
  <c r="U112" i="2"/>
  <c r="T112" i="2"/>
  <c r="S112" i="2"/>
  <c r="V111" i="2"/>
  <c r="U111" i="2"/>
  <c r="T111" i="2"/>
  <c r="S111" i="2"/>
  <c r="P136" i="18" l="1"/>
  <c r="Q136" i="18"/>
  <c r="M136" i="18"/>
  <c r="Y136" i="18" s="1"/>
  <c r="N136" i="18"/>
  <c r="Z136" i="18" s="1"/>
  <c r="H138" i="18"/>
  <c r="K138" i="18"/>
  <c r="W138" i="18" s="1"/>
  <c r="I138" i="18"/>
  <c r="U138" i="18" s="1"/>
  <c r="N137" i="18"/>
  <c r="Z137" i="18" s="1"/>
  <c r="I137" i="18"/>
  <c r="U137" i="18" s="1"/>
  <c r="R129" i="18"/>
  <c r="S129" i="18"/>
  <c r="K123" i="18"/>
  <c r="W123" i="18" s="1"/>
  <c r="L123" i="18"/>
  <c r="X123" i="18" s="1"/>
  <c r="M123" i="18"/>
  <c r="Y123" i="18" s="1"/>
  <c r="H123" i="18"/>
  <c r="I123" i="18"/>
  <c r="U123" i="18" s="1"/>
  <c r="O123" i="18"/>
  <c r="L116" i="18"/>
  <c r="X116" i="18" s="1"/>
  <c r="R123" i="18"/>
  <c r="S123" i="18"/>
  <c r="T123" i="18"/>
  <c r="K117" i="18"/>
  <c r="W117" i="18" s="1"/>
  <c r="L117" i="18"/>
  <c r="X117" i="18" s="1"/>
  <c r="M117" i="18"/>
  <c r="Y117" i="18" s="1"/>
  <c r="H117" i="18"/>
  <c r="T117" i="18" s="1"/>
  <c r="I117" i="18"/>
  <c r="U117" i="18" s="1"/>
  <c r="O117" i="18"/>
  <c r="K135" i="18"/>
  <c r="W135" i="18" s="1"/>
  <c r="L135" i="18"/>
  <c r="X135" i="18" s="1"/>
  <c r="H135" i="18"/>
  <c r="I135" i="18"/>
  <c r="U135" i="18" s="1"/>
  <c r="O135" i="18"/>
  <c r="R134" i="18"/>
  <c r="S134" i="18"/>
  <c r="M134" i="18"/>
  <c r="Y134" i="18" s="1"/>
  <c r="N134" i="18"/>
  <c r="Z134" i="18" s="1"/>
  <c r="J134" i="18"/>
  <c r="V134" i="18" s="1"/>
  <c r="P117" i="18"/>
  <c r="R117" i="18"/>
  <c r="S117" i="18"/>
  <c r="R135" i="18"/>
  <c r="T135" i="18"/>
  <c r="P130" i="18"/>
  <c r="Q130" i="18"/>
  <c r="L130" i="18"/>
  <c r="X130" i="18" s="1"/>
  <c r="M130" i="18"/>
  <c r="Y130" i="18" s="1"/>
  <c r="N130" i="18"/>
  <c r="Z130" i="18" s="1"/>
  <c r="R128" i="18"/>
  <c r="S128" i="18"/>
  <c r="M128" i="18"/>
  <c r="Y128" i="18" s="1"/>
  <c r="N128" i="18"/>
  <c r="Z128" i="18" s="1"/>
  <c r="J128" i="18"/>
  <c r="V128" i="18" s="1"/>
  <c r="J117" i="18"/>
  <c r="V117" i="18" s="1"/>
  <c r="R137" i="18"/>
  <c r="S137" i="18"/>
  <c r="L128" i="18"/>
  <c r="X128" i="18" s="1"/>
  <c r="P124" i="18"/>
  <c r="Q124" i="18"/>
  <c r="L124" i="18"/>
  <c r="X124" i="18" s="1"/>
  <c r="M124" i="18"/>
  <c r="Y124" i="18" s="1"/>
  <c r="N124" i="18"/>
  <c r="Z124" i="18" s="1"/>
  <c r="R122" i="18"/>
  <c r="S122" i="18"/>
  <c r="M122" i="18"/>
  <c r="Y122" i="18" s="1"/>
  <c r="N122" i="18"/>
  <c r="Z122" i="18" s="1"/>
  <c r="J122" i="18"/>
  <c r="V122" i="18" s="1"/>
  <c r="J138" i="18"/>
  <c r="V138" i="18" s="1"/>
  <c r="N138" i="18"/>
  <c r="Z138" i="18" s="1"/>
  <c r="Q138" i="18"/>
  <c r="L138" i="18"/>
  <c r="X138" i="18" s="1"/>
  <c r="K129" i="18"/>
  <c r="W129" i="18" s="1"/>
  <c r="L129" i="18"/>
  <c r="X129" i="18" s="1"/>
  <c r="M129" i="18"/>
  <c r="Y129" i="18" s="1"/>
  <c r="H129" i="18"/>
  <c r="T129" i="18" s="1"/>
  <c r="I129" i="18"/>
  <c r="U129" i="18" s="1"/>
  <c r="O129" i="18"/>
  <c r="K128" i="18"/>
  <c r="W128" i="18" s="1"/>
  <c r="L122" i="18"/>
  <c r="X122" i="18" s="1"/>
  <c r="P118" i="18"/>
  <c r="Q118" i="18"/>
  <c r="L118" i="18"/>
  <c r="X118" i="18" s="1"/>
  <c r="M118" i="18"/>
  <c r="Y118" i="18" s="1"/>
  <c r="N118" i="18"/>
  <c r="Z118" i="18" s="1"/>
  <c r="R116" i="18"/>
  <c r="S116" i="18"/>
  <c r="M116" i="18"/>
  <c r="Y116" i="18" s="1"/>
  <c r="N116" i="18"/>
  <c r="Z116" i="18" s="1"/>
  <c r="J116" i="18"/>
  <c r="V116" i="18" s="1"/>
  <c r="M137" i="18"/>
  <c r="Y137" i="18" s="1"/>
  <c r="Q133" i="18"/>
  <c r="L132" i="18"/>
  <c r="X132" i="18" s="1"/>
  <c r="S131" i="18"/>
  <c r="M131" i="18"/>
  <c r="Y131" i="18" s="1"/>
  <c r="Q127" i="18"/>
  <c r="L126" i="18"/>
  <c r="X126" i="18" s="1"/>
  <c r="S125" i="18"/>
  <c r="M125" i="18"/>
  <c r="Y125" i="18" s="1"/>
  <c r="Q121" i="18"/>
  <c r="L120" i="18"/>
  <c r="X120" i="18" s="1"/>
  <c r="S119" i="18"/>
  <c r="M119" i="18"/>
  <c r="Y119" i="18" s="1"/>
  <c r="Q115" i="18"/>
  <c r="L114" i="18"/>
  <c r="X114" i="18" s="1"/>
  <c r="N135" i="18"/>
  <c r="Z135" i="18" s="1"/>
  <c r="O134" i="18"/>
  <c r="T134" i="18" s="1"/>
  <c r="I134" i="18"/>
  <c r="U134" i="18" s="1"/>
  <c r="P133" i="18"/>
  <c r="Q132" i="18"/>
  <c r="K132" i="18"/>
  <c r="W132" i="18" s="1"/>
  <c r="N129" i="18"/>
  <c r="Z129" i="18" s="1"/>
  <c r="O128" i="18"/>
  <c r="T128" i="18" s="1"/>
  <c r="I128" i="18"/>
  <c r="U128" i="18" s="1"/>
  <c r="P127" i="18"/>
  <c r="Q126" i="18"/>
  <c r="K126" i="18"/>
  <c r="W126" i="18" s="1"/>
  <c r="N123" i="18"/>
  <c r="Z123" i="18" s="1"/>
  <c r="O122" i="18"/>
  <c r="T122" i="18" s="1"/>
  <c r="I122" i="18"/>
  <c r="U122" i="18" s="1"/>
  <c r="P121" i="18"/>
  <c r="Q120" i="18"/>
  <c r="K120" i="18"/>
  <c r="W120" i="18" s="1"/>
  <c r="N117" i="18"/>
  <c r="Z117" i="18" s="1"/>
  <c r="O116" i="18"/>
  <c r="T116" i="18" s="1"/>
  <c r="I116" i="18"/>
  <c r="U116" i="18" s="1"/>
  <c r="P115" i="18"/>
  <c r="Q114" i="18"/>
  <c r="K114" i="18"/>
  <c r="W114" i="18" s="1"/>
  <c r="N133" i="18"/>
  <c r="Z133" i="18" s="1"/>
  <c r="O132" i="18"/>
  <c r="I132" i="18"/>
  <c r="U132" i="18" s="1"/>
  <c r="N127" i="18"/>
  <c r="Z127" i="18" s="1"/>
  <c r="O126" i="18"/>
  <c r="I126" i="18"/>
  <c r="U126" i="18" s="1"/>
  <c r="N121" i="18"/>
  <c r="Z121" i="18" s="1"/>
  <c r="O120" i="18"/>
  <c r="I120" i="18"/>
  <c r="U120" i="18" s="1"/>
  <c r="N115" i="18"/>
  <c r="Z115" i="18" s="1"/>
  <c r="O114" i="18"/>
  <c r="I114" i="18"/>
  <c r="U114" i="18" s="1"/>
  <c r="O137" i="18"/>
  <c r="T137" i="18" s="1"/>
  <c r="O131" i="18"/>
  <c r="T131" i="18" s="1"/>
  <c r="O125" i="18"/>
  <c r="T125" i="18" s="1"/>
  <c r="O119" i="18"/>
  <c r="T119" i="18" s="1"/>
  <c r="S142" i="8"/>
  <c r="I142" i="8"/>
  <c r="U142" i="8" s="1"/>
  <c r="J137" i="8"/>
  <c r="V137" i="8" s="1"/>
  <c r="I136" i="8"/>
  <c r="U136" i="8" s="1"/>
  <c r="O136" i="8"/>
  <c r="L136" i="8"/>
  <c r="X136" i="8" s="1"/>
  <c r="M136" i="8"/>
  <c r="Y136" i="8" s="1"/>
  <c r="H136" i="8"/>
  <c r="T136" i="8" s="1"/>
  <c r="P136" i="8"/>
  <c r="I139" i="8"/>
  <c r="U139" i="8" s="1"/>
  <c r="L139" i="8"/>
  <c r="X139" i="8" s="1"/>
  <c r="M139" i="8"/>
  <c r="Y139" i="8" s="1"/>
  <c r="N139" i="8"/>
  <c r="Z139" i="8" s="1"/>
  <c r="Q137" i="8"/>
  <c r="J136" i="8"/>
  <c r="V136" i="8" s="1"/>
  <c r="J135" i="8"/>
  <c r="V135" i="8" s="1"/>
  <c r="I135" i="8"/>
  <c r="U135" i="8" s="1"/>
  <c r="K135" i="8"/>
  <c r="W135" i="8" s="1"/>
  <c r="M135" i="8"/>
  <c r="Y135" i="8" s="1"/>
  <c r="H131" i="8"/>
  <c r="O131" i="8"/>
  <c r="J131" i="8"/>
  <c r="V131" i="8" s="1"/>
  <c r="L131" i="8"/>
  <c r="X131" i="8" s="1"/>
  <c r="S121" i="8"/>
  <c r="I120" i="8"/>
  <c r="U120" i="8" s="1"/>
  <c r="J120" i="8"/>
  <c r="V120" i="8" s="1"/>
  <c r="S125" i="8"/>
  <c r="R125" i="8"/>
  <c r="J123" i="8"/>
  <c r="V123" i="8" s="1"/>
  <c r="I123" i="8"/>
  <c r="U123" i="8" s="1"/>
  <c r="K123" i="8"/>
  <c r="W123" i="8" s="1"/>
  <c r="N142" i="8"/>
  <c r="Z142" i="8" s="1"/>
  <c r="P141" i="8"/>
  <c r="Q141" i="8"/>
  <c r="P139" i="8"/>
  <c r="T139" i="8" s="1"/>
  <c r="L135" i="8"/>
  <c r="X135" i="8" s="1"/>
  <c r="I131" i="8"/>
  <c r="U131" i="8" s="1"/>
  <c r="S120" i="8"/>
  <c r="T120" i="8"/>
  <c r="N137" i="8"/>
  <c r="Z137" i="8" s="1"/>
  <c r="P137" i="8"/>
  <c r="S136" i="8"/>
  <c r="T135" i="8"/>
  <c r="Q134" i="8"/>
  <c r="R134" i="8" s="1"/>
  <c r="N134" i="8"/>
  <c r="Z134" i="8" s="1"/>
  <c r="M134" i="8"/>
  <c r="Y134" i="8" s="1"/>
  <c r="L133" i="8"/>
  <c r="X133" i="8" s="1"/>
  <c r="M133" i="8"/>
  <c r="Y133" i="8" s="1"/>
  <c r="Q133" i="8"/>
  <c r="J132" i="8"/>
  <c r="V132" i="8" s="1"/>
  <c r="L132" i="8"/>
  <c r="X132" i="8" s="1"/>
  <c r="R129" i="8"/>
  <c r="S129" i="8"/>
  <c r="K128" i="8"/>
  <c r="W128" i="8" s="1"/>
  <c r="H128" i="8"/>
  <c r="O128" i="8"/>
  <c r="T128" i="8" s="1"/>
  <c r="I128" i="8"/>
  <c r="U128" i="8" s="1"/>
  <c r="P128" i="8"/>
  <c r="L128" i="8"/>
  <c r="X128" i="8" s="1"/>
  <c r="N125" i="8"/>
  <c r="Z125" i="8" s="1"/>
  <c r="L125" i="8"/>
  <c r="X125" i="8" s="1"/>
  <c r="M125" i="8"/>
  <c r="Y125" i="8" s="1"/>
  <c r="P125" i="8"/>
  <c r="T125" i="8" s="1"/>
  <c r="L123" i="8"/>
  <c r="X123" i="8" s="1"/>
  <c r="L142" i="8"/>
  <c r="X142" i="8" s="1"/>
  <c r="R139" i="8"/>
  <c r="Q122" i="8"/>
  <c r="L122" i="8"/>
  <c r="X122" i="8" s="1"/>
  <c r="M122" i="8"/>
  <c r="Y122" i="8" s="1"/>
  <c r="N122" i="8"/>
  <c r="Z122" i="8" s="1"/>
  <c r="K142" i="8"/>
  <c r="W142" i="8" s="1"/>
  <c r="M141" i="8"/>
  <c r="Y141" i="8" s="1"/>
  <c r="K140" i="8"/>
  <c r="W140" i="8" s="1"/>
  <c r="H140" i="8"/>
  <c r="O140" i="8"/>
  <c r="I140" i="8"/>
  <c r="U140" i="8" s="1"/>
  <c r="P140" i="8"/>
  <c r="M138" i="8"/>
  <c r="Y138" i="8" s="1"/>
  <c r="Q138" i="8"/>
  <c r="K136" i="8"/>
  <c r="W136" i="8" s="1"/>
  <c r="K132" i="8"/>
  <c r="W132" i="8" s="1"/>
  <c r="J128" i="8"/>
  <c r="V128" i="8" s="1"/>
  <c r="S124" i="8"/>
  <c r="R118" i="8"/>
  <c r="S118" i="8"/>
  <c r="N126" i="8"/>
  <c r="Z126" i="8" s="1"/>
  <c r="T123" i="8"/>
  <c r="M123" i="8"/>
  <c r="Y123" i="8" s="1"/>
  <c r="L120" i="8"/>
  <c r="X120" i="8" s="1"/>
  <c r="T119" i="8"/>
  <c r="N118" i="8"/>
  <c r="Z118" i="8" s="1"/>
  <c r="S117" i="8"/>
  <c r="L117" i="8"/>
  <c r="X117" i="8" s="1"/>
  <c r="O115" i="8"/>
  <c r="T115" i="8" s="1"/>
  <c r="O133" i="8"/>
  <c r="H133" i="8"/>
  <c r="T131" i="8"/>
  <c r="N131" i="8"/>
  <c r="Z131" i="8" s="1"/>
  <c r="N127" i="8"/>
  <c r="Z127" i="8" s="1"/>
  <c r="K126" i="8"/>
  <c r="W126" i="8" s="1"/>
  <c r="I125" i="8"/>
  <c r="U125" i="8" s="1"/>
  <c r="M124" i="8"/>
  <c r="Y124" i="8" s="1"/>
  <c r="M121" i="8"/>
  <c r="Y121" i="8" s="1"/>
  <c r="K115" i="8"/>
  <c r="W115" i="8" s="1"/>
  <c r="S126" i="8"/>
  <c r="M120" i="8"/>
  <c r="Y120" i="8" s="1"/>
  <c r="I118" i="8"/>
  <c r="U118" i="8" s="1"/>
  <c r="O118" i="8"/>
  <c r="L116" i="8"/>
  <c r="X116" i="8" s="1"/>
  <c r="Q116" i="8"/>
  <c r="H134" i="8"/>
  <c r="S132" i="8"/>
  <c r="I129" i="8"/>
  <c r="U129" i="8" s="1"/>
  <c r="N128" i="8"/>
  <c r="Z128" i="8" s="1"/>
  <c r="P126" i="8"/>
  <c r="I126" i="8"/>
  <c r="U126" i="8" s="1"/>
  <c r="M126" i="8"/>
  <c r="Y126" i="8" s="1"/>
  <c r="I124" i="8"/>
  <c r="U124" i="8" s="1"/>
  <c r="O124" i="8"/>
  <c r="T124" i="8" s="1"/>
  <c r="O120" i="8"/>
  <c r="S119" i="8"/>
  <c r="L119" i="8"/>
  <c r="X119" i="8" s="1"/>
  <c r="J118" i="8"/>
  <c r="V118" i="8" s="1"/>
  <c r="N117" i="8"/>
  <c r="Z117" i="8" s="1"/>
  <c r="P116" i="8"/>
  <c r="H116" i="8"/>
  <c r="S115" i="8"/>
  <c r="R115" i="8"/>
  <c r="I115" i="8"/>
  <c r="U115" i="8" s="1"/>
  <c r="M115" i="8"/>
  <c r="Y115" i="8" s="1"/>
  <c r="L115" i="8"/>
  <c r="X115" i="8" s="1"/>
  <c r="I137" i="8"/>
  <c r="U137" i="8" s="1"/>
  <c r="O134" i="8"/>
  <c r="O142" i="8"/>
  <c r="T142" i="8" s="1"/>
  <c r="O137" i="8"/>
  <c r="P132" i="8"/>
  <c r="T132" i="8" s="1"/>
  <c r="M132" i="8"/>
  <c r="Y132" i="8" s="1"/>
  <c r="M131" i="8"/>
  <c r="Y131" i="8" s="1"/>
  <c r="I130" i="8"/>
  <c r="U130" i="8" s="1"/>
  <c r="O130" i="8"/>
  <c r="T130" i="8" s="1"/>
  <c r="M128" i="8"/>
  <c r="Y128" i="8" s="1"/>
  <c r="Q127" i="8"/>
  <c r="O126" i="8"/>
  <c r="T126" i="8" s="1"/>
  <c r="J124" i="8"/>
  <c r="V124" i="8" s="1"/>
  <c r="N123" i="8"/>
  <c r="Z123" i="8" s="1"/>
  <c r="P121" i="8"/>
  <c r="T121" i="8" s="1"/>
  <c r="L121" i="8"/>
  <c r="X121" i="8" s="1"/>
  <c r="N120" i="8"/>
  <c r="Z120" i="8" s="1"/>
  <c r="P118" i="8"/>
  <c r="H118" i="8"/>
  <c r="T118" i="8" s="1"/>
  <c r="M117" i="8"/>
  <c r="Y117" i="8" s="1"/>
  <c r="O116" i="8"/>
  <c r="P115" i="8"/>
  <c r="T114" i="8"/>
  <c r="S114" i="8"/>
  <c r="M114" i="8"/>
  <c r="Y114" i="8" s="1"/>
  <c r="S127" i="14"/>
  <c r="R127" i="14"/>
  <c r="R124" i="14"/>
  <c r="S115" i="14"/>
  <c r="T115" i="14"/>
  <c r="R115" i="14"/>
  <c r="S133" i="14"/>
  <c r="J114" i="14"/>
  <c r="V114" i="14" s="1"/>
  <c r="M114" i="14"/>
  <c r="Y114" i="14" s="1"/>
  <c r="K133" i="14"/>
  <c r="W133" i="14" s="1"/>
  <c r="R130" i="14"/>
  <c r="N133" i="14"/>
  <c r="Z133" i="14" s="1"/>
  <c r="N132" i="14"/>
  <c r="Z132" i="14" s="1"/>
  <c r="P130" i="14"/>
  <c r="P127" i="14"/>
  <c r="I127" i="14"/>
  <c r="U127" i="14" s="1"/>
  <c r="O122" i="14"/>
  <c r="T122" i="14" s="1"/>
  <c r="P133" i="14"/>
  <c r="R131" i="14"/>
  <c r="S128" i="14"/>
  <c r="O127" i="14"/>
  <c r="T127" i="14" s="1"/>
  <c r="H121" i="14"/>
  <c r="T121" i="14" s="1"/>
  <c r="I121" i="14"/>
  <c r="U121" i="14" s="1"/>
  <c r="O121" i="14"/>
  <c r="K120" i="14"/>
  <c r="W120" i="14" s="1"/>
  <c r="S119" i="14"/>
  <c r="Q134" i="14"/>
  <c r="R134" i="14" s="1"/>
  <c r="J134" i="14"/>
  <c r="V134" i="14" s="1"/>
  <c r="O133" i="14"/>
  <c r="T133" i="14" s="1"/>
  <c r="I131" i="14"/>
  <c r="U131" i="14" s="1"/>
  <c r="N130" i="14"/>
  <c r="Z130" i="14" s="1"/>
  <c r="S129" i="14"/>
  <c r="K129" i="14"/>
  <c r="W129" i="14" s="1"/>
  <c r="P128" i="14"/>
  <c r="T128" i="14" s="1"/>
  <c r="M128" i="14"/>
  <c r="Y128" i="14" s="1"/>
  <c r="M127" i="14"/>
  <c r="Y127" i="14" s="1"/>
  <c r="I126" i="14"/>
  <c r="U126" i="14" s="1"/>
  <c r="O126" i="14"/>
  <c r="P124" i="14"/>
  <c r="Q124" i="14"/>
  <c r="K122" i="14"/>
  <c r="W122" i="14" s="1"/>
  <c r="K121" i="14"/>
  <c r="W121" i="14" s="1"/>
  <c r="M121" i="14"/>
  <c r="Y121" i="14" s="1"/>
  <c r="I132" i="14"/>
  <c r="U132" i="14" s="1"/>
  <c r="O132" i="14"/>
  <c r="I125" i="14"/>
  <c r="U125" i="14" s="1"/>
  <c r="J125" i="14"/>
  <c r="V125" i="14" s="1"/>
  <c r="J132" i="14"/>
  <c r="V132" i="14" s="1"/>
  <c r="L129" i="14"/>
  <c r="X129" i="14" s="1"/>
  <c r="L125" i="14"/>
  <c r="X125" i="14" s="1"/>
  <c r="I122" i="14"/>
  <c r="U122" i="14" s="1"/>
  <c r="K125" i="14"/>
  <c r="W125" i="14" s="1"/>
  <c r="S121" i="14"/>
  <c r="M120" i="14"/>
  <c r="Y120" i="14" s="1"/>
  <c r="Q117" i="14"/>
  <c r="L117" i="14"/>
  <c r="X117" i="14" s="1"/>
  <c r="M117" i="14"/>
  <c r="Y117" i="14" s="1"/>
  <c r="P117" i="14"/>
  <c r="J116" i="14"/>
  <c r="V116" i="14" s="1"/>
  <c r="L116" i="14"/>
  <c r="X116" i="14" s="1"/>
  <c r="M116" i="14"/>
  <c r="Y116" i="14" s="1"/>
  <c r="N116" i="14"/>
  <c r="Z116" i="14" s="1"/>
  <c r="Q116" i="14"/>
  <c r="K115" i="14"/>
  <c r="W115" i="14" s="1"/>
  <c r="M115" i="14"/>
  <c r="Y115" i="14" s="1"/>
  <c r="I129" i="14"/>
  <c r="U129" i="14" s="1"/>
  <c r="R122" i="14"/>
  <c r="S122" i="14"/>
  <c r="L122" i="14"/>
  <c r="X122" i="14" s="1"/>
  <c r="M122" i="14"/>
  <c r="Y122" i="14" s="1"/>
  <c r="S114" i="14"/>
  <c r="N134" i="14"/>
  <c r="Z134" i="14" s="1"/>
  <c r="P132" i="14"/>
  <c r="J130" i="14"/>
  <c r="V130" i="14" s="1"/>
  <c r="O129" i="14"/>
  <c r="T129" i="14" s="1"/>
  <c r="J127" i="14"/>
  <c r="V127" i="14" s="1"/>
  <c r="I130" i="14"/>
  <c r="U130" i="14" s="1"/>
  <c r="T126" i="14"/>
  <c r="L120" i="14"/>
  <c r="X120" i="14" s="1"/>
  <c r="L114" i="14"/>
  <c r="X114" i="14" s="1"/>
  <c r="Q123" i="14"/>
  <c r="L123" i="14"/>
  <c r="X123" i="14" s="1"/>
  <c r="P129" i="14"/>
  <c r="S125" i="14"/>
  <c r="H116" i="14"/>
  <c r="K116" i="14"/>
  <c r="W116" i="14" s="1"/>
  <c r="H115" i="14"/>
  <c r="I115" i="14"/>
  <c r="U115" i="14" s="1"/>
  <c r="O115" i="14"/>
  <c r="L115" i="14"/>
  <c r="X115" i="14" s="1"/>
  <c r="H132" i="14"/>
  <c r="T132" i="14" s="1"/>
  <c r="N127" i="14"/>
  <c r="Z127" i="14" s="1"/>
  <c r="L134" i="14"/>
  <c r="X134" i="14" s="1"/>
  <c r="J133" i="14"/>
  <c r="V133" i="14" s="1"/>
  <c r="N129" i="14"/>
  <c r="Z129" i="14" s="1"/>
  <c r="N123" i="14"/>
  <c r="Z123" i="14" s="1"/>
  <c r="I133" i="14"/>
  <c r="U133" i="14" s="1"/>
  <c r="M132" i="14"/>
  <c r="Y132" i="14" s="1"/>
  <c r="K131" i="14"/>
  <c r="W131" i="14" s="1"/>
  <c r="O130" i="14"/>
  <c r="H130" i="14"/>
  <c r="T130" i="14" s="1"/>
  <c r="M123" i="14"/>
  <c r="Y123" i="14" s="1"/>
  <c r="N122" i="14"/>
  <c r="Z122" i="14" s="1"/>
  <c r="S120" i="14"/>
  <c r="K114" i="14"/>
  <c r="W114" i="14" s="1"/>
  <c r="L118" i="14"/>
  <c r="X118" i="14" s="1"/>
  <c r="N121" i="14"/>
  <c r="Z121" i="14" s="1"/>
  <c r="O120" i="14"/>
  <c r="T120" i="14" s="1"/>
  <c r="I120" i="14"/>
  <c r="U120" i="14" s="1"/>
  <c r="J119" i="14"/>
  <c r="V119" i="14" s="1"/>
  <c r="Q118" i="14"/>
  <c r="N115" i="14"/>
  <c r="Z115" i="14" s="1"/>
  <c r="O114" i="14"/>
  <c r="T114" i="14" s="1"/>
  <c r="I114" i="14"/>
  <c r="U114" i="14" s="1"/>
  <c r="N120" i="14"/>
  <c r="Z120" i="14" s="1"/>
  <c r="N114" i="14"/>
  <c r="Z114" i="14" s="1"/>
  <c r="A111" i="18"/>
  <c r="C111" i="18"/>
  <c r="N111" i="18" s="1"/>
  <c r="D111" i="18"/>
  <c r="K111" i="18" s="1"/>
  <c r="E111" i="18"/>
  <c r="F111" i="18"/>
  <c r="G111" i="18"/>
  <c r="H111" i="18"/>
  <c r="I111" i="18"/>
  <c r="J111" i="18"/>
  <c r="O111" i="18"/>
  <c r="A112" i="18"/>
  <c r="C112" i="18"/>
  <c r="D112" i="18"/>
  <c r="O112" i="18" s="1"/>
  <c r="E112" i="18"/>
  <c r="J112" i="18" s="1"/>
  <c r="F112" i="18"/>
  <c r="G112" i="18"/>
  <c r="H112" i="18"/>
  <c r="N112" i="18"/>
  <c r="Z112" i="18" s="1"/>
  <c r="A113" i="18"/>
  <c r="C113" i="18"/>
  <c r="M113" i="18" s="1"/>
  <c r="Y113" i="18" s="1"/>
  <c r="D113" i="18"/>
  <c r="E113" i="18"/>
  <c r="F113" i="18"/>
  <c r="R113" i="18" s="1"/>
  <c r="G113" i="18"/>
  <c r="L113" i="18"/>
  <c r="X113" i="18" s="1"/>
  <c r="N113" i="18"/>
  <c r="Z113" i="18" s="1"/>
  <c r="Q113" i="18"/>
  <c r="A111" i="14"/>
  <c r="C111" i="14"/>
  <c r="Q111" i="14" s="1"/>
  <c r="D111" i="14"/>
  <c r="I111" i="14" s="1"/>
  <c r="U111" i="14" s="1"/>
  <c r="E111" i="14"/>
  <c r="F111" i="14"/>
  <c r="G111" i="14"/>
  <c r="H111" i="14"/>
  <c r="J111" i="14"/>
  <c r="L111" i="14"/>
  <c r="M111" i="14"/>
  <c r="Y111" i="14" s="1"/>
  <c r="N111" i="14"/>
  <c r="Z111" i="14" s="1"/>
  <c r="P111" i="14"/>
  <c r="A112" i="14"/>
  <c r="C112" i="14"/>
  <c r="N112" i="14" s="1"/>
  <c r="Z112" i="14" s="1"/>
  <c r="D112" i="14"/>
  <c r="E112" i="14"/>
  <c r="J112" i="14" s="1"/>
  <c r="F112" i="14"/>
  <c r="G112" i="14"/>
  <c r="H112" i="14"/>
  <c r="O112" i="14"/>
  <c r="A113" i="14"/>
  <c r="C113" i="14"/>
  <c r="D113" i="14"/>
  <c r="E113" i="14"/>
  <c r="M113" i="14" s="1"/>
  <c r="Y113" i="14" s="1"/>
  <c r="F113" i="14"/>
  <c r="G113" i="14"/>
  <c r="H113" i="14"/>
  <c r="L113" i="14"/>
  <c r="X113" i="14" s="1"/>
  <c r="N113" i="14"/>
  <c r="Z113" i="14" s="1"/>
  <c r="P113" i="14"/>
  <c r="Q113" i="14"/>
  <c r="S113" i="14" s="1"/>
  <c r="S127" i="18" l="1"/>
  <c r="T127" i="18"/>
  <c r="R127" i="18"/>
  <c r="S136" i="18"/>
  <c r="T136" i="18"/>
  <c r="R136" i="18"/>
  <c r="S121" i="18"/>
  <c r="T121" i="18"/>
  <c r="R121" i="18"/>
  <c r="T138" i="18"/>
  <c r="R138" i="18"/>
  <c r="S138" i="18"/>
  <c r="R124" i="18"/>
  <c r="S124" i="18"/>
  <c r="T124" i="18"/>
  <c r="R118" i="18"/>
  <c r="S118" i="18"/>
  <c r="T118" i="18"/>
  <c r="T114" i="18"/>
  <c r="R114" i="18"/>
  <c r="S114" i="18"/>
  <c r="T120" i="18"/>
  <c r="R120" i="18"/>
  <c r="S120" i="18"/>
  <c r="T126" i="18"/>
  <c r="R126" i="18"/>
  <c r="S126" i="18"/>
  <c r="T132" i="18"/>
  <c r="R132" i="18"/>
  <c r="S132" i="18"/>
  <c r="S115" i="18"/>
  <c r="T115" i="18"/>
  <c r="S133" i="18"/>
  <c r="T133" i="18"/>
  <c r="R133" i="18"/>
  <c r="R115" i="18"/>
  <c r="R130" i="18"/>
  <c r="S130" i="18"/>
  <c r="T130" i="18"/>
  <c r="R127" i="8"/>
  <c r="T127" i="8"/>
  <c r="S127" i="8"/>
  <c r="S138" i="8"/>
  <c r="T138" i="8"/>
  <c r="S122" i="8"/>
  <c r="T122" i="8"/>
  <c r="R122" i="8"/>
  <c r="R141" i="8"/>
  <c r="T141" i="8"/>
  <c r="S141" i="8"/>
  <c r="R116" i="8"/>
  <c r="S116" i="8"/>
  <c r="T116" i="8"/>
  <c r="R133" i="8"/>
  <c r="S133" i="8"/>
  <c r="T133" i="8"/>
  <c r="T134" i="8"/>
  <c r="S134" i="8"/>
  <c r="T137" i="8"/>
  <c r="S137" i="8"/>
  <c r="T140" i="8"/>
  <c r="R138" i="8"/>
  <c r="R137" i="8"/>
  <c r="R116" i="14"/>
  <c r="S116" i="14"/>
  <c r="T116" i="14"/>
  <c r="R123" i="14"/>
  <c r="T123" i="14"/>
  <c r="S123" i="14"/>
  <c r="T124" i="14"/>
  <c r="S124" i="14"/>
  <c r="S134" i="14"/>
  <c r="T134" i="14"/>
  <c r="R117" i="14"/>
  <c r="S117" i="14"/>
  <c r="T117" i="14"/>
  <c r="R118" i="14"/>
  <c r="S118" i="14"/>
  <c r="T118" i="14"/>
  <c r="S113" i="18"/>
  <c r="I113" i="18"/>
  <c r="U113" i="18" s="1"/>
  <c r="I113" i="14"/>
  <c r="U113" i="14" s="1"/>
  <c r="R113" i="14"/>
  <c r="P113" i="18"/>
  <c r="K113" i="14"/>
  <c r="W113" i="14" s="1"/>
  <c r="J113" i="18"/>
  <c r="V113" i="18" s="1"/>
  <c r="H113" i="18"/>
  <c r="K112" i="18"/>
  <c r="I112" i="14"/>
  <c r="K112" i="14"/>
  <c r="I112" i="18"/>
  <c r="U112" i="18" s="1"/>
  <c r="P112" i="18"/>
  <c r="K113" i="18"/>
  <c r="W113" i="18" s="1"/>
  <c r="L112" i="18"/>
  <c r="X112" i="18" s="1"/>
  <c r="M111" i="18"/>
  <c r="M112" i="18"/>
  <c r="Y112" i="18" s="1"/>
  <c r="Q112" i="18"/>
  <c r="W112" i="18" s="1"/>
  <c r="L111" i="18"/>
  <c r="O113" i="18"/>
  <c r="Q111" i="18"/>
  <c r="P111" i="18"/>
  <c r="V111" i="14"/>
  <c r="R111" i="14"/>
  <c r="S111" i="14"/>
  <c r="X111" i="14"/>
  <c r="L112" i="14"/>
  <c r="X112" i="14" s="1"/>
  <c r="M112" i="14"/>
  <c r="Y112" i="14" s="1"/>
  <c r="J113" i="14"/>
  <c r="V113" i="14" s="1"/>
  <c r="Q112" i="14"/>
  <c r="V112" i="14" s="1"/>
  <c r="O113" i="14"/>
  <c r="T113" i="14" s="1"/>
  <c r="P112" i="14"/>
  <c r="K111" i="14"/>
  <c r="W111" i="14" s="1"/>
  <c r="O111" i="14"/>
  <c r="T111" i="14" s="1"/>
  <c r="A112" i="8"/>
  <c r="C112" i="8"/>
  <c r="D112" i="8"/>
  <c r="H112" i="8" s="1"/>
  <c r="E112" i="8"/>
  <c r="J112" i="8" s="1"/>
  <c r="F112" i="8"/>
  <c r="G112" i="8"/>
  <c r="N112" i="8"/>
  <c r="Z112" i="8" s="1"/>
  <c r="O112" i="8"/>
  <c r="Q112" i="8"/>
  <c r="A113" i="8"/>
  <c r="C113" i="8"/>
  <c r="P113" i="8" s="1"/>
  <c r="D113" i="8"/>
  <c r="E113" i="8"/>
  <c r="F113" i="8"/>
  <c r="G113" i="8"/>
  <c r="M113" i="8"/>
  <c r="Y113" i="8" s="1"/>
  <c r="N113" i="8"/>
  <c r="Z113" i="8" s="1"/>
  <c r="Q113" i="8"/>
  <c r="C111" i="8"/>
  <c r="M111" i="8" s="1"/>
  <c r="Y111" i="8" s="1"/>
  <c r="A111" i="8"/>
  <c r="D111" i="8"/>
  <c r="H111" i="8" s="1"/>
  <c r="E111" i="8"/>
  <c r="F111" i="8"/>
  <c r="G111" i="8"/>
  <c r="K111" i="8"/>
  <c r="Q111" i="8"/>
  <c r="R111" i="8" s="1"/>
  <c r="S110" i="2"/>
  <c r="T110" i="2"/>
  <c r="U110" i="2"/>
  <c r="V110" i="2"/>
  <c r="T113" i="18" l="1"/>
  <c r="R113" i="8"/>
  <c r="I113" i="8"/>
  <c r="U113" i="8" s="1"/>
  <c r="S113" i="8"/>
  <c r="J113" i="8"/>
  <c r="V113" i="8" s="1"/>
  <c r="H113" i="8"/>
  <c r="I112" i="8"/>
  <c r="U112" i="8" s="1"/>
  <c r="U112" i="14"/>
  <c r="W112" i="14"/>
  <c r="K112" i="8"/>
  <c r="W112" i="8" s="1"/>
  <c r="P112" i="8"/>
  <c r="T112" i="8" s="1"/>
  <c r="V112" i="18"/>
  <c r="V112" i="8"/>
  <c r="R112" i="8"/>
  <c r="T111" i="18"/>
  <c r="V111" i="18"/>
  <c r="R111" i="18"/>
  <c r="S111" i="18"/>
  <c r="Y111" i="18"/>
  <c r="X111" i="18"/>
  <c r="U111" i="18"/>
  <c r="T112" i="18"/>
  <c r="S112" i="18"/>
  <c r="R112" i="18"/>
  <c r="W111" i="18"/>
  <c r="Z111" i="18"/>
  <c r="T112" i="14"/>
  <c r="R112" i="14"/>
  <c r="S112" i="14"/>
  <c r="L113" i="8"/>
  <c r="X113" i="8" s="1"/>
  <c r="S112" i="8"/>
  <c r="M112" i="8"/>
  <c r="Y112" i="8" s="1"/>
  <c r="K113" i="8"/>
  <c r="W113" i="8" s="1"/>
  <c r="L112" i="8"/>
  <c r="X112" i="8" s="1"/>
  <c r="O113" i="8"/>
  <c r="L111" i="8"/>
  <c r="X111" i="8" s="1"/>
  <c r="W111" i="8"/>
  <c r="P111" i="8"/>
  <c r="J111" i="8"/>
  <c r="V111" i="8" s="1"/>
  <c r="N111" i="8"/>
  <c r="Z111" i="8" s="1"/>
  <c r="S111" i="8"/>
  <c r="O111" i="8"/>
  <c r="T111" i="8" s="1"/>
  <c r="I111" i="8"/>
  <c r="U111" i="8" s="1"/>
  <c r="A108" i="18"/>
  <c r="C108" i="18"/>
  <c r="N108" i="18" s="1"/>
  <c r="Z108" i="18" s="1"/>
  <c r="D108" i="18"/>
  <c r="H108" i="18" s="1"/>
  <c r="E108" i="18"/>
  <c r="F108" i="18"/>
  <c r="G108" i="18"/>
  <c r="K108" i="18"/>
  <c r="W108" i="18" s="1"/>
  <c r="L108" i="18"/>
  <c r="M108" i="18"/>
  <c r="P108" i="18"/>
  <c r="Q108" i="18"/>
  <c r="R108" i="18"/>
  <c r="S108" i="18"/>
  <c r="X108" i="18"/>
  <c r="Y108" i="18"/>
  <c r="A109" i="18"/>
  <c r="C109" i="18"/>
  <c r="M109" i="18" s="1"/>
  <c r="Y109" i="18" s="1"/>
  <c r="D109" i="18"/>
  <c r="I109" i="18" s="1"/>
  <c r="U109" i="18" s="1"/>
  <c r="E109" i="18"/>
  <c r="J109" i="18" s="1"/>
  <c r="V109" i="18" s="1"/>
  <c r="F109" i="18"/>
  <c r="G109" i="18"/>
  <c r="K109" i="18"/>
  <c r="W109" i="18" s="1"/>
  <c r="L109" i="18"/>
  <c r="P109" i="18"/>
  <c r="Q109" i="18"/>
  <c r="S109" i="18" s="1"/>
  <c r="X109" i="18"/>
  <c r="A110" i="18"/>
  <c r="C110" i="18"/>
  <c r="L110" i="18" s="1"/>
  <c r="X110" i="18" s="1"/>
  <c r="D110" i="18"/>
  <c r="H110" i="18" s="1"/>
  <c r="E110" i="18"/>
  <c r="F110" i="18"/>
  <c r="G110" i="18"/>
  <c r="Q110" i="18"/>
  <c r="R110" i="18" s="1"/>
  <c r="A110" i="8"/>
  <c r="C110" i="8"/>
  <c r="Q110" i="8" s="1"/>
  <c r="D110" i="8"/>
  <c r="K110" i="8" s="1"/>
  <c r="E110" i="8"/>
  <c r="F110" i="8"/>
  <c r="G110" i="8"/>
  <c r="H110" i="8"/>
  <c r="J110" i="8"/>
  <c r="M110" i="8"/>
  <c r="Y110" i="8" s="1"/>
  <c r="N110" i="8"/>
  <c r="Z110" i="8" s="1"/>
  <c r="O110" i="8"/>
  <c r="P110" i="8"/>
  <c r="A109" i="14"/>
  <c r="C109" i="14"/>
  <c r="D109" i="14"/>
  <c r="K109" i="14" s="1"/>
  <c r="E109" i="14"/>
  <c r="I109" i="14" s="1"/>
  <c r="F109" i="14"/>
  <c r="G109" i="14"/>
  <c r="H109" i="14"/>
  <c r="O109" i="14"/>
  <c r="A110" i="14"/>
  <c r="C110" i="14"/>
  <c r="D110" i="14"/>
  <c r="H110" i="14" s="1"/>
  <c r="E110" i="14"/>
  <c r="K110" i="14" s="1"/>
  <c r="W110" i="14" s="1"/>
  <c r="F110" i="14"/>
  <c r="G110" i="14"/>
  <c r="L110" i="14"/>
  <c r="X110" i="14" s="1"/>
  <c r="M110" i="14"/>
  <c r="Y110" i="14" s="1"/>
  <c r="N110" i="14"/>
  <c r="Z110" i="14" s="1"/>
  <c r="Q110" i="14"/>
  <c r="S107" i="2"/>
  <c r="T107" i="2"/>
  <c r="U107" i="2"/>
  <c r="V107" i="2"/>
  <c r="S108" i="2"/>
  <c r="T108" i="2"/>
  <c r="U108" i="2"/>
  <c r="V108" i="2"/>
  <c r="T113" i="8" l="1"/>
  <c r="I110" i="8"/>
  <c r="K110" i="18"/>
  <c r="W110" i="18" s="1"/>
  <c r="P110" i="18"/>
  <c r="R109" i="18"/>
  <c r="J110" i="18"/>
  <c r="V110" i="18" s="1"/>
  <c r="J108" i="18"/>
  <c r="V108" i="18" s="1"/>
  <c r="S110" i="18"/>
  <c r="M110" i="18"/>
  <c r="Y110" i="18" s="1"/>
  <c r="N109" i="18"/>
  <c r="Z109" i="18" s="1"/>
  <c r="H109" i="18"/>
  <c r="T109" i="18" s="1"/>
  <c r="O108" i="18"/>
  <c r="T108" i="18" s="1"/>
  <c r="O110" i="18"/>
  <c r="I110" i="18"/>
  <c r="U110" i="18" s="1"/>
  <c r="N110" i="18"/>
  <c r="Z110" i="18" s="1"/>
  <c r="O109" i="18"/>
  <c r="I108" i="18"/>
  <c r="U108" i="18" s="1"/>
  <c r="P109" i="14"/>
  <c r="N109" i="14"/>
  <c r="Z109" i="14" s="1"/>
  <c r="L110" i="8"/>
  <c r="X110" i="8" s="1"/>
  <c r="W110" i="8"/>
  <c r="T110" i="8"/>
  <c r="U110" i="8"/>
  <c r="V110" i="8"/>
  <c r="R110" i="8"/>
  <c r="S110" i="8"/>
  <c r="S110" i="14"/>
  <c r="Q109" i="14"/>
  <c r="W109" i="14" s="1"/>
  <c r="L109" i="14"/>
  <c r="X109" i="14" s="1"/>
  <c r="P110" i="14"/>
  <c r="J110" i="14"/>
  <c r="V110" i="14" s="1"/>
  <c r="R110" i="14"/>
  <c r="S109" i="14"/>
  <c r="M109" i="14"/>
  <c r="Y109" i="14" s="1"/>
  <c r="O110" i="14"/>
  <c r="I110" i="14"/>
  <c r="U110" i="14" s="1"/>
  <c r="J109" i="14"/>
  <c r="A107" i="18"/>
  <c r="C107" i="18"/>
  <c r="Q107" i="18" s="1"/>
  <c r="D107" i="18"/>
  <c r="I107" i="18" s="1"/>
  <c r="E107" i="18"/>
  <c r="F107" i="18"/>
  <c r="G107" i="18"/>
  <c r="S106" i="2"/>
  <c r="T106" i="2"/>
  <c r="U106" i="2"/>
  <c r="V106" i="2"/>
  <c r="T110" i="14" l="1"/>
  <c r="T110" i="18"/>
  <c r="U109" i="14"/>
  <c r="V109" i="14"/>
  <c r="T109" i="14"/>
  <c r="R109" i="14"/>
  <c r="L107" i="18"/>
  <c r="X107" i="18" s="1"/>
  <c r="J107" i="18"/>
  <c r="V107" i="18" s="1"/>
  <c r="H107" i="18"/>
  <c r="S107" i="18"/>
  <c r="R107" i="18"/>
  <c r="P107" i="18"/>
  <c r="N107" i="18"/>
  <c r="Z107" i="18" s="1"/>
  <c r="M107" i="18"/>
  <c r="Y107" i="18" s="1"/>
  <c r="U107" i="18"/>
  <c r="T107" i="18"/>
  <c r="K107" i="18"/>
  <c r="W107" i="18" s="1"/>
  <c r="O107" i="18"/>
  <c r="A3" i="8"/>
  <c r="C3" i="8"/>
  <c r="Q3" i="8" s="1"/>
  <c r="D3" i="8"/>
  <c r="H3" i="8" s="1"/>
  <c r="E3" i="8"/>
  <c r="F3" i="8"/>
  <c r="G3" i="8"/>
  <c r="A4" i="8"/>
  <c r="C4" i="8"/>
  <c r="Q4" i="8" s="1"/>
  <c r="D4" i="8"/>
  <c r="E4" i="8"/>
  <c r="F4" i="8"/>
  <c r="G4" i="8"/>
  <c r="M4" i="8"/>
  <c r="Y4" i="8" s="1"/>
  <c r="A5" i="8"/>
  <c r="C5" i="8"/>
  <c r="D5" i="8"/>
  <c r="E5" i="8"/>
  <c r="F5" i="8"/>
  <c r="G5" i="8"/>
  <c r="A6" i="8"/>
  <c r="C6" i="8"/>
  <c r="N6" i="8" s="1"/>
  <c r="Z6" i="8" s="1"/>
  <c r="D6" i="8"/>
  <c r="E6" i="8"/>
  <c r="F6" i="8"/>
  <c r="G6" i="8"/>
  <c r="A7" i="8"/>
  <c r="C7" i="8"/>
  <c r="D7" i="8"/>
  <c r="H7" i="8" s="1"/>
  <c r="E7" i="8"/>
  <c r="J7" i="8" s="1"/>
  <c r="F7" i="8"/>
  <c r="G7" i="8"/>
  <c r="N7" i="8"/>
  <c r="Z7" i="8" s="1"/>
  <c r="Q7" i="8"/>
  <c r="R7" i="8" s="1"/>
  <c r="A8" i="8"/>
  <c r="C8" i="8"/>
  <c r="Q8" i="8" s="1"/>
  <c r="D8" i="8"/>
  <c r="P8" i="8" s="1"/>
  <c r="E8" i="8"/>
  <c r="F8" i="8"/>
  <c r="G8" i="8"/>
  <c r="A9" i="8"/>
  <c r="C9" i="8"/>
  <c r="D9" i="8"/>
  <c r="H9" i="8" s="1"/>
  <c r="E9" i="8"/>
  <c r="F9" i="8"/>
  <c r="G9" i="8"/>
  <c r="O9" i="8"/>
  <c r="A10" i="8"/>
  <c r="C10" i="8"/>
  <c r="N10" i="8" s="1"/>
  <c r="Z10" i="8" s="1"/>
  <c r="D10" i="8"/>
  <c r="E10" i="8"/>
  <c r="F10" i="8"/>
  <c r="G10" i="8"/>
  <c r="A11" i="8"/>
  <c r="C11" i="8"/>
  <c r="M11" i="8" s="1"/>
  <c r="Y11" i="8" s="1"/>
  <c r="D11" i="8"/>
  <c r="E11" i="8"/>
  <c r="F11" i="8"/>
  <c r="G11" i="8"/>
  <c r="A12" i="8"/>
  <c r="C12" i="8"/>
  <c r="N12" i="8" s="1"/>
  <c r="Z12" i="8" s="1"/>
  <c r="D12" i="8"/>
  <c r="E12" i="8"/>
  <c r="F12" i="8"/>
  <c r="G12" i="8"/>
  <c r="L12" i="8"/>
  <c r="X12" i="8" s="1"/>
  <c r="A13" i="8"/>
  <c r="C13" i="8"/>
  <c r="Q13" i="8" s="1"/>
  <c r="D13" i="8"/>
  <c r="H13" i="8" s="1"/>
  <c r="E13" i="8"/>
  <c r="F13" i="8"/>
  <c r="G13" i="8"/>
  <c r="M13" i="8"/>
  <c r="Y13" i="8" s="1"/>
  <c r="N13" i="8"/>
  <c r="Z13" i="8" s="1"/>
  <c r="A14" i="8"/>
  <c r="C14" i="8"/>
  <c r="Q14" i="8" s="1"/>
  <c r="D14" i="8"/>
  <c r="E14" i="8"/>
  <c r="F14" i="8"/>
  <c r="G14" i="8"/>
  <c r="M14" i="8"/>
  <c r="Y14" i="8" s="1"/>
  <c r="A15" i="8"/>
  <c r="C15" i="8"/>
  <c r="D15" i="8"/>
  <c r="E15" i="8"/>
  <c r="F15" i="8"/>
  <c r="G15" i="8"/>
  <c r="A16" i="8"/>
  <c r="C16" i="8"/>
  <c r="N16" i="8" s="1"/>
  <c r="Z16" i="8" s="1"/>
  <c r="D16" i="8"/>
  <c r="H16" i="8" s="1"/>
  <c r="E16" i="8"/>
  <c r="J16" i="8" s="1"/>
  <c r="F16" i="8"/>
  <c r="G16" i="8"/>
  <c r="L16" i="8"/>
  <c r="X16" i="8" s="1"/>
  <c r="A17" i="8"/>
  <c r="C17" i="8"/>
  <c r="D17" i="8"/>
  <c r="O17" i="8" s="1"/>
  <c r="E17" i="8"/>
  <c r="J17" i="8" s="1"/>
  <c r="V17" i="8" s="1"/>
  <c r="F17" i="8"/>
  <c r="G17" i="8"/>
  <c r="A18" i="8"/>
  <c r="C18" i="8"/>
  <c r="N18" i="8" s="1"/>
  <c r="Z18" i="8" s="1"/>
  <c r="D18" i="8"/>
  <c r="E18" i="8"/>
  <c r="F18" i="8"/>
  <c r="G18" i="8"/>
  <c r="A19" i="8"/>
  <c r="C19" i="8"/>
  <c r="D19" i="8"/>
  <c r="H19" i="8" s="1"/>
  <c r="E19" i="8"/>
  <c r="F19" i="8"/>
  <c r="G19" i="8"/>
  <c r="L19" i="8"/>
  <c r="X19" i="8" s="1"/>
  <c r="A20" i="8"/>
  <c r="C20" i="8"/>
  <c r="L20" i="8" s="1"/>
  <c r="X20" i="8" s="1"/>
  <c r="D20" i="8"/>
  <c r="I20" i="8" s="1"/>
  <c r="E20" i="8"/>
  <c r="F20" i="8"/>
  <c r="G20" i="8"/>
  <c r="M20" i="8"/>
  <c r="Y20" i="8" s="1"/>
  <c r="A21" i="8"/>
  <c r="C21" i="8"/>
  <c r="L21" i="8" s="1"/>
  <c r="X21" i="8" s="1"/>
  <c r="D21" i="8"/>
  <c r="E21" i="8"/>
  <c r="F21" i="8"/>
  <c r="G21" i="8"/>
  <c r="Q21" i="8"/>
  <c r="A22" i="8"/>
  <c r="C22" i="8"/>
  <c r="L22" i="8" s="1"/>
  <c r="X22" i="8" s="1"/>
  <c r="D22" i="8"/>
  <c r="E22" i="8"/>
  <c r="F22" i="8"/>
  <c r="G22" i="8"/>
  <c r="M22" i="8"/>
  <c r="Y22" i="8" s="1"/>
  <c r="N22" i="8"/>
  <c r="Z22" i="8" s="1"/>
  <c r="Q22" i="8"/>
  <c r="A23" i="8"/>
  <c r="C23" i="8"/>
  <c r="D23" i="8"/>
  <c r="E23" i="8"/>
  <c r="F23" i="8"/>
  <c r="G23" i="8"/>
  <c r="A24" i="8"/>
  <c r="C24" i="8"/>
  <c r="D24" i="8"/>
  <c r="O24" i="8" s="1"/>
  <c r="E24" i="8"/>
  <c r="F24" i="8"/>
  <c r="G24" i="8"/>
  <c r="H24" i="8"/>
  <c r="Q24" i="8"/>
  <c r="A25" i="8"/>
  <c r="C25" i="8"/>
  <c r="D25" i="8"/>
  <c r="E25" i="8"/>
  <c r="F25" i="8"/>
  <c r="G25" i="8"/>
  <c r="P25" i="8"/>
  <c r="Q25" i="8"/>
  <c r="A26" i="8"/>
  <c r="C26" i="8"/>
  <c r="D26" i="8"/>
  <c r="P26" i="8" s="1"/>
  <c r="E26" i="8"/>
  <c r="F26" i="8"/>
  <c r="G26" i="8"/>
  <c r="A27" i="8"/>
  <c r="C27" i="8"/>
  <c r="D27" i="8"/>
  <c r="E27" i="8"/>
  <c r="F27" i="8"/>
  <c r="G27" i="8"/>
  <c r="Q27" i="8"/>
  <c r="A28" i="8"/>
  <c r="C28" i="8"/>
  <c r="Q28" i="8" s="1"/>
  <c r="R28" i="8" s="1"/>
  <c r="D28" i="8"/>
  <c r="E28" i="8"/>
  <c r="F28" i="8"/>
  <c r="G28" i="8"/>
  <c r="A29" i="8"/>
  <c r="C29" i="8"/>
  <c r="D29" i="8"/>
  <c r="E29" i="8"/>
  <c r="F29" i="8"/>
  <c r="G29" i="8"/>
  <c r="A30" i="8"/>
  <c r="C30" i="8"/>
  <c r="D30" i="8"/>
  <c r="I30" i="8" s="1"/>
  <c r="E30" i="8"/>
  <c r="F30" i="8"/>
  <c r="G30" i="8"/>
  <c r="O30" i="8"/>
  <c r="Q30" i="8"/>
  <c r="A31" i="8"/>
  <c r="C31" i="8"/>
  <c r="D31" i="8"/>
  <c r="E31" i="8"/>
  <c r="F31" i="8"/>
  <c r="G31" i="8"/>
  <c r="H31" i="8"/>
  <c r="N31" i="8"/>
  <c r="A32" i="8"/>
  <c r="C32" i="8"/>
  <c r="Q32" i="8" s="1"/>
  <c r="D32" i="8"/>
  <c r="O32" i="8" s="1"/>
  <c r="E32" i="8"/>
  <c r="F32" i="8"/>
  <c r="G32" i="8"/>
  <c r="A33" i="8"/>
  <c r="C33" i="8"/>
  <c r="Q33" i="8" s="1"/>
  <c r="D33" i="8"/>
  <c r="E33" i="8"/>
  <c r="F33" i="8"/>
  <c r="G33" i="8"/>
  <c r="A34" i="8"/>
  <c r="C34" i="8"/>
  <c r="Q34" i="8" s="1"/>
  <c r="D34" i="8"/>
  <c r="E34" i="8"/>
  <c r="F34" i="8"/>
  <c r="G34" i="8"/>
  <c r="A35" i="8"/>
  <c r="C35" i="8"/>
  <c r="D35" i="8"/>
  <c r="E35" i="8"/>
  <c r="F35" i="8"/>
  <c r="G35" i="8"/>
  <c r="A36" i="8"/>
  <c r="C36" i="8"/>
  <c r="D36" i="8"/>
  <c r="O36" i="8" s="1"/>
  <c r="E36" i="8"/>
  <c r="F36" i="8"/>
  <c r="G36" i="8"/>
  <c r="A37" i="8"/>
  <c r="C37" i="8"/>
  <c r="Q37" i="8" s="1"/>
  <c r="D37" i="8"/>
  <c r="H37" i="8" s="1"/>
  <c r="E37" i="8"/>
  <c r="F37" i="8"/>
  <c r="G37" i="8"/>
  <c r="A38" i="8"/>
  <c r="C38" i="8"/>
  <c r="Q38" i="8" s="1"/>
  <c r="D38" i="8"/>
  <c r="O38" i="8" s="1"/>
  <c r="E38" i="8"/>
  <c r="F38" i="8"/>
  <c r="G38" i="8"/>
  <c r="A39" i="8"/>
  <c r="C39" i="8"/>
  <c r="Q39" i="8" s="1"/>
  <c r="D39" i="8"/>
  <c r="E39" i="8"/>
  <c r="F39" i="8"/>
  <c r="G39" i="8"/>
  <c r="A40" i="8"/>
  <c r="C40" i="8"/>
  <c r="D40" i="8"/>
  <c r="H40" i="8" s="1"/>
  <c r="E40" i="8"/>
  <c r="F40" i="8"/>
  <c r="G40" i="8"/>
  <c r="A41" i="8"/>
  <c r="C41" i="8"/>
  <c r="D41" i="8"/>
  <c r="E41" i="8"/>
  <c r="F41" i="8"/>
  <c r="G41" i="8"/>
  <c r="A42" i="8"/>
  <c r="C42" i="8"/>
  <c r="D42" i="8"/>
  <c r="E42" i="8"/>
  <c r="F42" i="8"/>
  <c r="G42" i="8"/>
  <c r="A43" i="8"/>
  <c r="C43" i="8"/>
  <c r="Q43" i="8" s="1"/>
  <c r="R43" i="8" s="1"/>
  <c r="D43" i="8"/>
  <c r="E43" i="8"/>
  <c r="F43" i="8"/>
  <c r="G43" i="8"/>
  <c r="A44" i="8"/>
  <c r="C44" i="8"/>
  <c r="D44" i="8"/>
  <c r="I44" i="8" s="1"/>
  <c r="E44" i="8"/>
  <c r="F44" i="8"/>
  <c r="G44" i="8"/>
  <c r="Q44" i="8"/>
  <c r="A45" i="8"/>
  <c r="C45" i="8"/>
  <c r="D45" i="8"/>
  <c r="E45" i="8"/>
  <c r="F45" i="8"/>
  <c r="G45" i="8"/>
  <c r="Q45" i="8"/>
  <c r="A46" i="8"/>
  <c r="C46" i="8"/>
  <c r="Q46" i="8" s="1"/>
  <c r="D46" i="8"/>
  <c r="E46" i="8"/>
  <c r="F46" i="8"/>
  <c r="G46" i="8"/>
  <c r="A47" i="8"/>
  <c r="C47" i="8"/>
  <c r="D47" i="8"/>
  <c r="E47" i="8"/>
  <c r="F47" i="8"/>
  <c r="G47" i="8"/>
  <c r="A48" i="8"/>
  <c r="C48" i="8"/>
  <c r="D48" i="8"/>
  <c r="E48" i="8"/>
  <c r="F48" i="8"/>
  <c r="G48" i="8"/>
  <c r="O48" i="8"/>
  <c r="A49" i="8"/>
  <c r="C49" i="8"/>
  <c r="D49" i="8"/>
  <c r="I49" i="8" s="1"/>
  <c r="E49" i="8"/>
  <c r="F49" i="8"/>
  <c r="G49" i="8"/>
  <c r="A50" i="8"/>
  <c r="C50" i="8"/>
  <c r="Q50" i="8" s="1"/>
  <c r="D50" i="8"/>
  <c r="O50" i="8" s="1"/>
  <c r="E50" i="8"/>
  <c r="F50" i="8"/>
  <c r="G50" i="8"/>
  <c r="A51" i="8"/>
  <c r="C51" i="8"/>
  <c r="Q51" i="8" s="1"/>
  <c r="D51" i="8"/>
  <c r="E51" i="8"/>
  <c r="F51" i="8"/>
  <c r="G51" i="8"/>
  <c r="A52" i="8"/>
  <c r="C52" i="8"/>
  <c r="Q52" i="8" s="1"/>
  <c r="D52" i="8"/>
  <c r="E52" i="8"/>
  <c r="F52" i="8"/>
  <c r="G52" i="8"/>
  <c r="O52" i="8"/>
  <c r="A53" i="8"/>
  <c r="C53" i="8"/>
  <c r="D53" i="8"/>
  <c r="E53" i="8"/>
  <c r="F53" i="8"/>
  <c r="G53" i="8"/>
  <c r="Q53" i="8"/>
  <c r="A54" i="8"/>
  <c r="C54" i="8"/>
  <c r="D54" i="8"/>
  <c r="O54" i="8" s="1"/>
  <c r="E54" i="8"/>
  <c r="F54" i="8"/>
  <c r="G54" i="8"/>
  <c r="A55" i="8"/>
  <c r="C55" i="8"/>
  <c r="Q55" i="8" s="1"/>
  <c r="D55" i="8"/>
  <c r="H55" i="8" s="1"/>
  <c r="E55" i="8"/>
  <c r="F55" i="8"/>
  <c r="G55" i="8"/>
  <c r="A56" i="8"/>
  <c r="C56" i="8"/>
  <c r="Q56" i="8" s="1"/>
  <c r="D56" i="8"/>
  <c r="H56" i="8" s="1"/>
  <c r="E56" i="8"/>
  <c r="F56" i="8"/>
  <c r="G56" i="8"/>
  <c r="A57" i="8"/>
  <c r="C57" i="8"/>
  <c r="D57" i="8"/>
  <c r="H57" i="8" s="1"/>
  <c r="E57" i="8"/>
  <c r="F57" i="8"/>
  <c r="G57" i="8"/>
  <c r="A58" i="8"/>
  <c r="C58" i="8"/>
  <c r="Q58" i="8" s="1"/>
  <c r="R58" i="8" s="1"/>
  <c r="D58" i="8"/>
  <c r="E58" i="8"/>
  <c r="F58" i="8"/>
  <c r="G58" i="8"/>
  <c r="A59" i="8"/>
  <c r="C59" i="8"/>
  <c r="D59" i="8"/>
  <c r="H59" i="8" s="1"/>
  <c r="E59" i="8"/>
  <c r="F59" i="8"/>
  <c r="G59" i="8"/>
  <c r="Q59" i="8"/>
  <c r="R59" i="8" s="1"/>
  <c r="A60" i="8"/>
  <c r="C60" i="8"/>
  <c r="Q60" i="8" s="1"/>
  <c r="R60" i="8" s="1"/>
  <c r="D60" i="8"/>
  <c r="L60" i="8" s="1"/>
  <c r="E60" i="8"/>
  <c r="F60" i="8"/>
  <c r="G60" i="8"/>
  <c r="A61" i="8"/>
  <c r="C61" i="8"/>
  <c r="D61" i="8"/>
  <c r="H61" i="8" s="1"/>
  <c r="E61" i="8"/>
  <c r="F61" i="8"/>
  <c r="G61" i="8"/>
  <c r="A62" i="8"/>
  <c r="C62" i="8"/>
  <c r="Q62" i="8" s="1"/>
  <c r="D62" i="8"/>
  <c r="E62" i="8"/>
  <c r="F62" i="8"/>
  <c r="G62" i="8"/>
  <c r="A63" i="8"/>
  <c r="C63" i="8"/>
  <c r="D63" i="8"/>
  <c r="E63" i="8"/>
  <c r="F63" i="8"/>
  <c r="G63" i="8"/>
  <c r="A64" i="8"/>
  <c r="C64" i="8"/>
  <c r="Q64" i="8" s="1"/>
  <c r="D64" i="8"/>
  <c r="E64" i="8"/>
  <c r="F64" i="8"/>
  <c r="G64" i="8"/>
  <c r="A65" i="8"/>
  <c r="C65" i="8"/>
  <c r="D65" i="8"/>
  <c r="E65" i="8"/>
  <c r="K65" i="8" s="1"/>
  <c r="F65" i="8"/>
  <c r="G65" i="8"/>
  <c r="H65" i="8"/>
  <c r="A66" i="8"/>
  <c r="C66" i="8"/>
  <c r="Q66" i="8" s="1"/>
  <c r="D66" i="8"/>
  <c r="H66" i="8" s="1"/>
  <c r="E66" i="8"/>
  <c r="K66" i="8" s="1"/>
  <c r="F66" i="8"/>
  <c r="G66" i="8"/>
  <c r="O66" i="8"/>
  <c r="A67" i="8"/>
  <c r="C67" i="8"/>
  <c r="Q67" i="8" s="1"/>
  <c r="D67" i="8"/>
  <c r="E67" i="8"/>
  <c r="F67" i="8"/>
  <c r="G67" i="8"/>
  <c r="A68" i="8"/>
  <c r="C68" i="8"/>
  <c r="D68" i="8"/>
  <c r="O68" i="8" s="1"/>
  <c r="E68" i="8"/>
  <c r="F68" i="8"/>
  <c r="G68" i="8"/>
  <c r="A69" i="8"/>
  <c r="C69" i="8"/>
  <c r="Q69" i="8" s="1"/>
  <c r="D69" i="8"/>
  <c r="E69" i="8"/>
  <c r="F69" i="8"/>
  <c r="G69" i="8"/>
  <c r="A70" i="8"/>
  <c r="C70" i="8"/>
  <c r="D70" i="8"/>
  <c r="H70" i="8" s="1"/>
  <c r="E70" i="8"/>
  <c r="K70" i="8" s="1"/>
  <c r="F70" i="8"/>
  <c r="G70" i="8"/>
  <c r="Q70" i="8"/>
  <c r="A71" i="8"/>
  <c r="C71" i="8"/>
  <c r="Q71" i="8" s="1"/>
  <c r="D71" i="8"/>
  <c r="K71" i="8" s="1"/>
  <c r="E71" i="8"/>
  <c r="F71" i="8"/>
  <c r="G71" i="8"/>
  <c r="H71" i="8"/>
  <c r="A72" i="8"/>
  <c r="C72" i="8"/>
  <c r="Q72" i="8" s="1"/>
  <c r="D72" i="8"/>
  <c r="E72" i="8"/>
  <c r="F72" i="8"/>
  <c r="G72" i="8"/>
  <c r="A73" i="8"/>
  <c r="C73" i="8"/>
  <c r="D73" i="8"/>
  <c r="E73" i="8"/>
  <c r="J73" i="8" s="1"/>
  <c r="F73" i="8"/>
  <c r="G73" i="8"/>
  <c r="A74" i="8"/>
  <c r="C74" i="8"/>
  <c r="D74" i="8"/>
  <c r="E74" i="8"/>
  <c r="I74" i="8" s="1"/>
  <c r="F74" i="8"/>
  <c r="G74" i="8"/>
  <c r="A75" i="8"/>
  <c r="C75" i="8"/>
  <c r="Q75" i="8" s="1"/>
  <c r="D75" i="8"/>
  <c r="E75" i="8"/>
  <c r="I75" i="8" s="1"/>
  <c r="F75" i="8"/>
  <c r="G75" i="8"/>
  <c r="A76" i="8"/>
  <c r="C76" i="8"/>
  <c r="D76" i="8"/>
  <c r="H76" i="8" s="1"/>
  <c r="E76" i="8"/>
  <c r="F76" i="8"/>
  <c r="G76" i="8"/>
  <c r="N76" i="8"/>
  <c r="Q76" i="8"/>
  <c r="A77" i="8"/>
  <c r="C77" i="8"/>
  <c r="Q77" i="8" s="1"/>
  <c r="D77" i="8"/>
  <c r="E77" i="8"/>
  <c r="F77" i="8"/>
  <c r="G77" i="8"/>
  <c r="A78" i="8"/>
  <c r="C78" i="8"/>
  <c r="D78" i="8"/>
  <c r="E78" i="8"/>
  <c r="J78" i="8" s="1"/>
  <c r="F78" i="8"/>
  <c r="G78" i="8"/>
  <c r="A79" i="8"/>
  <c r="C79" i="8"/>
  <c r="Q79" i="8" s="1"/>
  <c r="D79" i="8"/>
  <c r="E79" i="8"/>
  <c r="F79" i="8"/>
  <c r="G79" i="8"/>
  <c r="A80" i="8"/>
  <c r="C80" i="8"/>
  <c r="D80" i="8"/>
  <c r="H80" i="8" s="1"/>
  <c r="E80" i="8"/>
  <c r="F80" i="8"/>
  <c r="G80" i="8"/>
  <c r="O80" i="8"/>
  <c r="Q80" i="8"/>
  <c r="A81" i="8"/>
  <c r="C81" i="8"/>
  <c r="Q81" i="8" s="1"/>
  <c r="D81" i="8"/>
  <c r="E81" i="8"/>
  <c r="F81" i="8"/>
  <c r="G81" i="8"/>
  <c r="A82" i="8"/>
  <c r="C82" i="8"/>
  <c r="D82" i="8"/>
  <c r="I82" i="8" s="1"/>
  <c r="E82" i="8"/>
  <c r="F82" i="8"/>
  <c r="G82" i="8"/>
  <c r="A83" i="8"/>
  <c r="C83" i="8"/>
  <c r="Q83" i="8" s="1"/>
  <c r="D83" i="8"/>
  <c r="E83" i="8"/>
  <c r="F83" i="8"/>
  <c r="G83" i="8"/>
  <c r="A84" i="8"/>
  <c r="C84" i="8"/>
  <c r="L84" i="8" s="1"/>
  <c r="D84" i="8"/>
  <c r="O84" i="8" s="1"/>
  <c r="E84" i="8"/>
  <c r="F84" i="8"/>
  <c r="G84" i="8"/>
  <c r="A85" i="8"/>
  <c r="C85" i="8"/>
  <c r="Q85" i="8" s="1"/>
  <c r="S85" i="8" s="1"/>
  <c r="D85" i="8"/>
  <c r="H85" i="8" s="1"/>
  <c r="E85" i="8"/>
  <c r="F85" i="8"/>
  <c r="G85" i="8"/>
  <c r="A86" i="8"/>
  <c r="C86" i="8"/>
  <c r="D86" i="8"/>
  <c r="E86" i="8"/>
  <c r="F86" i="8"/>
  <c r="G86" i="8"/>
  <c r="A87" i="8"/>
  <c r="C87" i="8"/>
  <c r="D87" i="8"/>
  <c r="E87" i="8"/>
  <c r="F87" i="8"/>
  <c r="G87" i="8"/>
  <c r="H87" i="8"/>
  <c r="A88" i="8"/>
  <c r="C88" i="8"/>
  <c r="Q88" i="8" s="1"/>
  <c r="D88" i="8"/>
  <c r="H88" i="8" s="1"/>
  <c r="E88" i="8"/>
  <c r="F88" i="8"/>
  <c r="G88" i="8"/>
  <c r="A89" i="8"/>
  <c r="C89" i="8"/>
  <c r="Q89" i="8" s="1"/>
  <c r="D89" i="8"/>
  <c r="E89" i="8"/>
  <c r="F89" i="8"/>
  <c r="G89" i="8"/>
  <c r="A90" i="8"/>
  <c r="C90" i="8"/>
  <c r="D90" i="8"/>
  <c r="E90" i="8"/>
  <c r="F90" i="8"/>
  <c r="G90" i="8"/>
  <c r="Q90" i="8"/>
  <c r="A91" i="8"/>
  <c r="C91" i="8"/>
  <c r="D91" i="8"/>
  <c r="E91" i="8"/>
  <c r="F91" i="8"/>
  <c r="G91" i="8"/>
  <c r="A92" i="8"/>
  <c r="C92" i="8"/>
  <c r="D92" i="8"/>
  <c r="E92" i="8"/>
  <c r="J92" i="8" s="1"/>
  <c r="F92" i="8"/>
  <c r="G92" i="8"/>
  <c r="Q92" i="8"/>
  <c r="A93" i="8"/>
  <c r="C93" i="8"/>
  <c r="Q93" i="8" s="1"/>
  <c r="D93" i="8"/>
  <c r="E93" i="8"/>
  <c r="F93" i="8"/>
  <c r="G93" i="8"/>
  <c r="A94" i="8"/>
  <c r="C94" i="8"/>
  <c r="Q94" i="8" s="1"/>
  <c r="D94" i="8"/>
  <c r="E94" i="8"/>
  <c r="M94" i="8" s="1"/>
  <c r="F94" i="8"/>
  <c r="G94" i="8"/>
  <c r="O94" i="8"/>
  <c r="A95" i="8"/>
  <c r="C95" i="8"/>
  <c r="Q95" i="8" s="1"/>
  <c r="D95" i="8"/>
  <c r="E95" i="8"/>
  <c r="F95" i="8"/>
  <c r="G95" i="8"/>
  <c r="A96" i="8"/>
  <c r="C96" i="8"/>
  <c r="Q96" i="8" s="1"/>
  <c r="D96" i="8"/>
  <c r="H96" i="8" s="1"/>
  <c r="E96" i="8"/>
  <c r="F96" i="8"/>
  <c r="G96" i="8"/>
  <c r="A97" i="8"/>
  <c r="C97" i="8"/>
  <c r="D97" i="8"/>
  <c r="E97" i="8"/>
  <c r="F97" i="8"/>
  <c r="G97" i="8"/>
  <c r="K97" i="8"/>
  <c r="Q97" i="8"/>
  <c r="A98" i="8"/>
  <c r="C98" i="8"/>
  <c r="M98" i="8" s="1"/>
  <c r="Y98" i="8" s="1"/>
  <c r="D98" i="8"/>
  <c r="E98" i="8"/>
  <c r="F98" i="8"/>
  <c r="G98" i="8"/>
  <c r="A99" i="8"/>
  <c r="C99" i="8"/>
  <c r="L99" i="8" s="1"/>
  <c r="X99" i="8" s="1"/>
  <c r="D99" i="8"/>
  <c r="E99" i="8"/>
  <c r="F99" i="8"/>
  <c r="G99" i="8"/>
  <c r="A100" i="8"/>
  <c r="C100" i="8"/>
  <c r="D100" i="8"/>
  <c r="E100" i="8"/>
  <c r="F100" i="8"/>
  <c r="G100" i="8"/>
  <c r="A101" i="8"/>
  <c r="C101" i="8"/>
  <c r="D101" i="8"/>
  <c r="O101" i="8" s="1"/>
  <c r="E101" i="8"/>
  <c r="F101" i="8"/>
  <c r="G101" i="8"/>
  <c r="H101" i="8"/>
  <c r="Q101" i="8"/>
  <c r="A102" i="8"/>
  <c r="C102" i="8"/>
  <c r="Q102" i="8" s="1"/>
  <c r="D102" i="8"/>
  <c r="H102" i="8" s="1"/>
  <c r="E102" i="8"/>
  <c r="F102" i="8"/>
  <c r="G102" i="8"/>
  <c r="N102" i="8"/>
  <c r="Z102" i="8" s="1"/>
  <c r="A103" i="8"/>
  <c r="C103" i="8"/>
  <c r="N103" i="8" s="1"/>
  <c r="Z103" i="8" s="1"/>
  <c r="D103" i="8"/>
  <c r="E103" i="8"/>
  <c r="F103" i="8"/>
  <c r="G103" i="8"/>
  <c r="K103" i="8"/>
  <c r="A104" i="8"/>
  <c r="C104" i="8"/>
  <c r="M104" i="8" s="1"/>
  <c r="Y104" i="8" s="1"/>
  <c r="D104" i="8"/>
  <c r="H104" i="8" s="1"/>
  <c r="E104" i="8"/>
  <c r="F104" i="8"/>
  <c r="G104" i="8"/>
  <c r="L104" i="8"/>
  <c r="X104" i="8" s="1"/>
  <c r="N104" i="8"/>
  <c r="Z104" i="8" s="1"/>
  <c r="Q104" i="8"/>
  <c r="A105" i="8"/>
  <c r="C105" i="8"/>
  <c r="L105" i="8" s="1"/>
  <c r="X105" i="8" s="1"/>
  <c r="D105" i="8"/>
  <c r="J105" i="8" s="1"/>
  <c r="E105" i="8"/>
  <c r="F105" i="8"/>
  <c r="G105" i="8"/>
  <c r="A106" i="8"/>
  <c r="C106" i="8"/>
  <c r="Q106" i="8" s="1"/>
  <c r="D106" i="8"/>
  <c r="H106" i="8" s="1"/>
  <c r="E106" i="8"/>
  <c r="F106" i="8"/>
  <c r="G106" i="8"/>
  <c r="L106" i="8"/>
  <c r="X106" i="8" s="1"/>
  <c r="M106" i="8"/>
  <c r="Y106" i="8" s="1"/>
  <c r="A107" i="8"/>
  <c r="C107" i="8"/>
  <c r="Q107" i="8" s="1"/>
  <c r="D107" i="8"/>
  <c r="H107" i="8" s="1"/>
  <c r="E107" i="8"/>
  <c r="F107" i="8"/>
  <c r="G107" i="8"/>
  <c r="A108" i="8"/>
  <c r="C108" i="8"/>
  <c r="M108" i="8" s="1"/>
  <c r="Y108" i="8" s="1"/>
  <c r="D108" i="8"/>
  <c r="K108" i="8" s="1"/>
  <c r="E108" i="8"/>
  <c r="F108" i="8"/>
  <c r="G108" i="8"/>
  <c r="A109" i="8"/>
  <c r="C109" i="8"/>
  <c r="Q109" i="8" s="1"/>
  <c r="D109" i="8"/>
  <c r="E109" i="8"/>
  <c r="F109" i="8"/>
  <c r="G109" i="8"/>
  <c r="M109" i="8"/>
  <c r="Y109" i="8" s="1"/>
  <c r="A3" i="14"/>
  <c r="C3" i="14"/>
  <c r="Q3" i="14" s="1"/>
  <c r="D3" i="14"/>
  <c r="E3" i="14"/>
  <c r="F3" i="14"/>
  <c r="G3" i="14"/>
  <c r="A4" i="14"/>
  <c r="C4" i="14"/>
  <c r="N4" i="14" s="1"/>
  <c r="Z4" i="14" s="1"/>
  <c r="D4" i="14"/>
  <c r="H4" i="14" s="1"/>
  <c r="E4" i="14"/>
  <c r="F4" i="14"/>
  <c r="G4" i="14"/>
  <c r="A5" i="14"/>
  <c r="C5" i="14"/>
  <c r="L5" i="14" s="1"/>
  <c r="X5" i="14" s="1"/>
  <c r="D5" i="14"/>
  <c r="E5" i="14"/>
  <c r="F5" i="14"/>
  <c r="G5" i="14"/>
  <c r="A6" i="14"/>
  <c r="C6" i="14"/>
  <c r="N6" i="14" s="1"/>
  <c r="Z6" i="14" s="1"/>
  <c r="D6" i="14"/>
  <c r="H6" i="14" s="1"/>
  <c r="E6" i="14"/>
  <c r="F6" i="14"/>
  <c r="G6" i="14"/>
  <c r="A7" i="14"/>
  <c r="C7" i="14"/>
  <c r="D7" i="14"/>
  <c r="E7" i="14"/>
  <c r="F7" i="14"/>
  <c r="G7" i="14"/>
  <c r="H7" i="14"/>
  <c r="J7" i="14"/>
  <c r="A8" i="14"/>
  <c r="C8" i="14"/>
  <c r="D8" i="14"/>
  <c r="O8" i="14" s="1"/>
  <c r="E8" i="14"/>
  <c r="F8" i="14"/>
  <c r="G8" i="14"/>
  <c r="A9" i="14"/>
  <c r="C9" i="14"/>
  <c r="L9" i="14" s="1"/>
  <c r="X9" i="14" s="1"/>
  <c r="D9" i="14"/>
  <c r="H9" i="14" s="1"/>
  <c r="E9" i="14"/>
  <c r="F9" i="14"/>
  <c r="G9" i="14"/>
  <c r="A10" i="14"/>
  <c r="C10" i="14"/>
  <c r="D10" i="14"/>
  <c r="E10" i="14"/>
  <c r="F10" i="14"/>
  <c r="G10" i="14"/>
  <c r="A11" i="14"/>
  <c r="C11" i="14"/>
  <c r="L11" i="14" s="1"/>
  <c r="X11" i="14" s="1"/>
  <c r="D11" i="14"/>
  <c r="E11" i="14"/>
  <c r="F11" i="14"/>
  <c r="G11" i="14"/>
  <c r="A12" i="14"/>
  <c r="C12" i="14"/>
  <c r="Q12" i="14" s="1"/>
  <c r="D12" i="14"/>
  <c r="H12" i="14" s="1"/>
  <c r="E12" i="14"/>
  <c r="F12" i="14"/>
  <c r="G12" i="14"/>
  <c r="A13" i="14"/>
  <c r="C13" i="14"/>
  <c r="Q13" i="14" s="1"/>
  <c r="D13" i="14"/>
  <c r="E13" i="14"/>
  <c r="F13" i="14"/>
  <c r="G13" i="14"/>
  <c r="A14" i="14"/>
  <c r="C14" i="14"/>
  <c r="D14" i="14"/>
  <c r="O14" i="14" s="1"/>
  <c r="E14" i="14"/>
  <c r="F14" i="14"/>
  <c r="G14" i="14"/>
  <c r="Q14" i="14"/>
  <c r="A15" i="14"/>
  <c r="C15" i="14"/>
  <c r="M15" i="14" s="1"/>
  <c r="Y15" i="14" s="1"/>
  <c r="D15" i="14"/>
  <c r="H15" i="14" s="1"/>
  <c r="E15" i="14"/>
  <c r="F15" i="14"/>
  <c r="G15" i="14"/>
  <c r="A16" i="14"/>
  <c r="C16" i="14"/>
  <c r="D16" i="14"/>
  <c r="E16" i="14"/>
  <c r="F16" i="14"/>
  <c r="G16" i="14"/>
  <c r="A17" i="14"/>
  <c r="C17" i="14"/>
  <c r="D17" i="14"/>
  <c r="E17" i="14"/>
  <c r="F17" i="14"/>
  <c r="G17" i="14"/>
  <c r="A18" i="14"/>
  <c r="C18" i="14"/>
  <c r="Q18" i="14" s="1"/>
  <c r="D18" i="14"/>
  <c r="O18" i="14" s="1"/>
  <c r="E18" i="14"/>
  <c r="F18" i="14"/>
  <c r="G18" i="14"/>
  <c r="A19" i="14"/>
  <c r="C19" i="14"/>
  <c r="Q19" i="14" s="1"/>
  <c r="D19" i="14"/>
  <c r="H19" i="14" s="1"/>
  <c r="E19" i="14"/>
  <c r="F19" i="14"/>
  <c r="G19" i="14"/>
  <c r="A20" i="14"/>
  <c r="C20" i="14"/>
  <c r="M20" i="14" s="1"/>
  <c r="Y20" i="14" s="1"/>
  <c r="D20" i="14"/>
  <c r="H20" i="14" s="1"/>
  <c r="E20" i="14"/>
  <c r="J20" i="14" s="1"/>
  <c r="F20" i="14"/>
  <c r="G20" i="14"/>
  <c r="A21" i="14"/>
  <c r="C21" i="14"/>
  <c r="M21" i="14" s="1"/>
  <c r="Y21" i="14" s="1"/>
  <c r="D21" i="14"/>
  <c r="E21" i="14"/>
  <c r="F21" i="14"/>
  <c r="G21" i="14"/>
  <c r="A22" i="14"/>
  <c r="C22" i="14"/>
  <c r="L22" i="14" s="1"/>
  <c r="X22" i="14" s="1"/>
  <c r="D22" i="14"/>
  <c r="E22" i="14"/>
  <c r="F22" i="14"/>
  <c r="G22" i="14"/>
  <c r="A23" i="14"/>
  <c r="C23" i="14"/>
  <c r="D23" i="14"/>
  <c r="E23" i="14"/>
  <c r="F23" i="14"/>
  <c r="G23" i="14"/>
  <c r="A24" i="14"/>
  <c r="C24" i="14"/>
  <c r="D24" i="14"/>
  <c r="E24" i="14"/>
  <c r="F24" i="14"/>
  <c r="G24" i="14"/>
  <c r="A25" i="14"/>
  <c r="C25" i="14"/>
  <c r="D25" i="14"/>
  <c r="H25" i="14" s="1"/>
  <c r="E25" i="14"/>
  <c r="F25" i="14"/>
  <c r="G25" i="14"/>
  <c r="A26" i="14"/>
  <c r="C26" i="14"/>
  <c r="D26" i="14"/>
  <c r="O26" i="14" s="1"/>
  <c r="E26" i="14"/>
  <c r="F26" i="14"/>
  <c r="G26" i="14"/>
  <c r="Q26" i="14"/>
  <c r="A27" i="14"/>
  <c r="C27" i="14"/>
  <c r="Q27" i="14" s="1"/>
  <c r="D27" i="14"/>
  <c r="E27" i="14"/>
  <c r="F27" i="14"/>
  <c r="G27" i="14"/>
  <c r="A28" i="14"/>
  <c r="C28" i="14"/>
  <c r="Q28" i="14" s="1"/>
  <c r="D28" i="14"/>
  <c r="H28" i="14" s="1"/>
  <c r="E28" i="14"/>
  <c r="F28" i="14"/>
  <c r="G28" i="14"/>
  <c r="A29" i="14"/>
  <c r="C29" i="14"/>
  <c r="D29" i="14"/>
  <c r="E29" i="14"/>
  <c r="F29" i="14"/>
  <c r="G29" i="14"/>
  <c r="A30" i="14"/>
  <c r="C30" i="14"/>
  <c r="Q30" i="14" s="1"/>
  <c r="D30" i="14"/>
  <c r="H30" i="14" s="1"/>
  <c r="E30" i="14"/>
  <c r="F30" i="14"/>
  <c r="G30" i="14"/>
  <c r="A31" i="14"/>
  <c r="C31" i="14"/>
  <c r="Q31" i="14" s="1"/>
  <c r="D31" i="14"/>
  <c r="E31" i="14"/>
  <c r="F31" i="14"/>
  <c r="G31" i="14"/>
  <c r="A32" i="14"/>
  <c r="C32" i="14"/>
  <c r="D32" i="14"/>
  <c r="H32" i="14" s="1"/>
  <c r="E32" i="14"/>
  <c r="F32" i="14"/>
  <c r="G32" i="14"/>
  <c r="A33" i="14"/>
  <c r="C33" i="14"/>
  <c r="D33" i="14"/>
  <c r="O33" i="14" s="1"/>
  <c r="E33" i="14"/>
  <c r="F33" i="14"/>
  <c r="G33" i="14"/>
  <c r="A34" i="14"/>
  <c r="C34" i="14"/>
  <c r="D34" i="14"/>
  <c r="H34" i="14" s="1"/>
  <c r="E34" i="14"/>
  <c r="F34" i="14"/>
  <c r="G34" i="14"/>
  <c r="A35" i="14"/>
  <c r="C35" i="14"/>
  <c r="D35" i="14"/>
  <c r="E35" i="14"/>
  <c r="F35" i="14"/>
  <c r="G35" i="14"/>
  <c r="A36" i="14"/>
  <c r="C36" i="14"/>
  <c r="D36" i="14"/>
  <c r="J36" i="14" s="1"/>
  <c r="E36" i="14"/>
  <c r="F36" i="14"/>
  <c r="G36" i="14"/>
  <c r="A37" i="14"/>
  <c r="C37" i="14"/>
  <c r="Q37" i="14" s="1"/>
  <c r="D37" i="14"/>
  <c r="E37" i="14"/>
  <c r="F37" i="14"/>
  <c r="G37" i="14"/>
  <c r="A38" i="14"/>
  <c r="C38" i="14"/>
  <c r="D38" i="14"/>
  <c r="E38" i="14"/>
  <c r="F38" i="14"/>
  <c r="G38" i="14"/>
  <c r="A39" i="14"/>
  <c r="C39" i="14"/>
  <c r="D39" i="14"/>
  <c r="O39" i="14" s="1"/>
  <c r="E39" i="14"/>
  <c r="F39" i="14"/>
  <c r="G39" i="14"/>
  <c r="A40" i="14"/>
  <c r="C40" i="14"/>
  <c r="D40" i="14"/>
  <c r="N40" i="14" s="1"/>
  <c r="E40" i="14"/>
  <c r="F40" i="14"/>
  <c r="G40" i="14"/>
  <c r="A41" i="14"/>
  <c r="C41" i="14"/>
  <c r="Q41" i="14" s="1"/>
  <c r="D41" i="14"/>
  <c r="E41" i="14"/>
  <c r="F41" i="14"/>
  <c r="G41" i="14"/>
  <c r="A42" i="14"/>
  <c r="C42" i="14"/>
  <c r="D42" i="14"/>
  <c r="E42" i="14"/>
  <c r="F42" i="14"/>
  <c r="G42" i="14"/>
  <c r="A43" i="14"/>
  <c r="C43" i="14"/>
  <c r="Q43" i="14" s="1"/>
  <c r="D43" i="14"/>
  <c r="E43" i="14"/>
  <c r="F43" i="14"/>
  <c r="G43" i="14"/>
  <c r="A44" i="14"/>
  <c r="C44" i="14"/>
  <c r="D44" i="14"/>
  <c r="E44" i="14"/>
  <c r="F44" i="14"/>
  <c r="G44" i="14"/>
  <c r="A45" i="14"/>
  <c r="C45" i="14"/>
  <c r="D45" i="14"/>
  <c r="H45" i="14" s="1"/>
  <c r="E45" i="14"/>
  <c r="F45" i="14"/>
  <c r="G45" i="14"/>
  <c r="A46" i="14"/>
  <c r="C46" i="14"/>
  <c r="Q46" i="14" s="1"/>
  <c r="D46" i="14"/>
  <c r="E46" i="14"/>
  <c r="F46" i="14"/>
  <c r="G46" i="14"/>
  <c r="A47" i="14"/>
  <c r="C47" i="14"/>
  <c r="D47" i="14"/>
  <c r="E47" i="14"/>
  <c r="F47" i="14"/>
  <c r="G47" i="14"/>
  <c r="A48" i="14"/>
  <c r="C48" i="14"/>
  <c r="D48" i="14"/>
  <c r="E48" i="14"/>
  <c r="F48" i="14"/>
  <c r="G48" i="14"/>
  <c r="A49" i="14"/>
  <c r="C49" i="14"/>
  <c r="D49" i="14"/>
  <c r="H49" i="14" s="1"/>
  <c r="E49" i="14"/>
  <c r="F49" i="14"/>
  <c r="G49" i="14"/>
  <c r="A50" i="14"/>
  <c r="C50" i="14"/>
  <c r="D50" i="14"/>
  <c r="E50" i="14"/>
  <c r="F50" i="14"/>
  <c r="G50" i="14"/>
  <c r="A51" i="14"/>
  <c r="C51" i="14"/>
  <c r="D51" i="14"/>
  <c r="H51" i="14" s="1"/>
  <c r="E51" i="14"/>
  <c r="F51" i="14"/>
  <c r="G51" i="14"/>
  <c r="A52" i="14"/>
  <c r="C52" i="14"/>
  <c r="D52" i="14"/>
  <c r="H52" i="14" s="1"/>
  <c r="E52" i="14"/>
  <c r="F52" i="14"/>
  <c r="G52" i="14"/>
  <c r="A53" i="14"/>
  <c r="C53" i="14"/>
  <c r="D53" i="14"/>
  <c r="E53" i="14"/>
  <c r="F53" i="14"/>
  <c r="G53" i="14"/>
  <c r="A54" i="14"/>
  <c r="C54" i="14"/>
  <c r="Q54" i="14" s="1"/>
  <c r="D54" i="14"/>
  <c r="E54" i="14"/>
  <c r="F54" i="14"/>
  <c r="G54" i="14"/>
  <c r="A55" i="14"/>
  <c r="C55" i="14"/>
  <c r="D55" i="14"/>
  <c r="E55" i="14"/>
  <c r="F55" i="14"/>
  <c r="G55" i="14"/>
  <c r="A56" i="14"/>
  <c r="C56" i="14"/>
  <c r="D56" i="14"/>
  <c r="O56" i="14" s="1"/>
  <c r="E56" i="14"/>
  <c r="F56" i="14"/>
  <c r="G56" i="14"/>
  <c r="A57" i="14"/>
  <c r="C57" i="14"/>
  <c r="Q57" i="14" s="1"/>
  <c r="D57" i="14"/>
  <c r="O57" i="14" s="1"/>
  <c r="E57" i="14"/>
  <c r="F57" i="14"/>
  <c r="G57" i="14"/>
  <c r="H57" i="14"/>
  <c r="A58" i="14"/>
  <c r="C58" i="14"/>
  <c r="D58" i="14"/>
  <c r="H58" i="14" s="1"/>
  <c r="E58" i="14"/>
  <c r="F58" i="14"/>
  <c r="G58" i="14"/>
  <c r="A59" i="14"/>
  <c r="C59" i="14"/>
  <c r="Q59" i="14" s="1"/>
  <c r="D59" i="14"/>
  <c r="P59" i="14" s="1"/>
  <c r="E59" i="14"/>
  <c r="F59" i="14"/>
  <c r="G59" i="14"/>
  <c r="A60" i="14"/>
  <c r="C60" i="14"/>
  <c r="D60" i="14"/>
  <c r="H60" i="14" s="1"/>
  <c r="E60" i="14"/>
  <c r="F60" i="14"/>
  <c r="G60" i="14"/>
  <c r="A61" i="14"/>
  <c r="C61" i="14"/>
  <c r="Q61" i="14" s="1"/>
  <c r="D61" i="14"/>
  <c r="H61" i="14" s="1"/>
  <c r="E61" i="14"/>
  <c r="F61" i="14"/>
  <c r="G61" i="14"/>
  <c r="A62" i="14"/>
  <c r="C62" i="14"/>
  <c r="D62" i="14"/>
  <c r="E62" i="14"/>
  <c r="F62" i="14"/>
  <c r="G62" i="14"/>
  <c r="A63" i="14"/>
  <c r="C63" i="14"/>
  <c r="Q63" i="14" s="1"/>
  <c r="D63" i="14"/>
  <c r="E63" i="14"/>
  <c r="F63" i="14"/>
  <c r="G63" i="14"/>
  <c r="A64" i="14"/>
  <c r="C64" i="14"/>
  <c r="D64" i="14"/>
  <c r="H64" i="14" s="1"/>
  <c r="E64" i="14"/>
  <c r="F64" i="14"/>
  <c r="G64" i="14"/>
  <c r="Q64" i="14"/>
  <c r="A65" i="14"/>
  <c r="C65" i="14"/>
  <c r="Q65" i="14" s="1"/>
  <c r="D65" i="14"/>
  <c r="O65" i="14" s="1"/>
  <c r="E65" i="14"/>
  <c r="F65" i="14"/>
  <c r="G65" i="14"/>
  <c r="A66" i="14"/>
  <c r="C66" i="14"/>
  <c r="D66" i="14"/>
  <c r="E66" i="14"/>
  <c r="F66" i="14"/>
  <c r="G66" i="14"/>
  <c r="A67" i="14"/>
  <c r="C67" i="14"/>
  <c r="D67" i="14"/>
  <c r="H67" i="14" s="1"/>
  <c r="E67" i="14"/>
  <c r="F67" i="14"/>
  <c r="G67" i="14"/>
  <c r="A68" i="14"/>
  <c r="C68" i="14"/>
  <c r="Q68" i="14" s="1"/>
  <c r="D68" i="14"/>
  <c r="E68" i="14"/>
  <c r="F68" i="14"/>
  <c r="G68" i="14"/>
  <c r="A69" i="14"/>
  <c r="C69" i="14"/>
  <c r="D69" i="14"/>
  <c r="E69" i="14"/>
  <c r="F69" i="14"/>
  <c r="G69" i="14"/>
  <c r="A70" i="14"/>
  <c r="C70" i="14"/>
  <c r="D70" i="14"/>
  <c r="E70" i="14"/>
  <c r="F70" i="14"/>
  <c r="G70" i="14"/>
  <c r="A71" i="14"/>
  <c r="C71" i="14"/>
  <c r="Q71" i="14" s="1"/>
  <c r="D71" i="14"/>
  <c r="E71" i="14"/>
  <c r="F71" i="14"/>
  <c r="G71" i="14"/>
  <c r="A72" i="14"/>
  <c r="C72" i="14"/>
  <c r="Q72" i="14" s="1"/>
  <c r="D72" i="14"/>
  <c r="E72" i="14"/>
  <c r="F72" i="14"/>
  <c r="G72" i="14"/>
  <c r="A73" i="14"/>
  <c r="C73" i="14"/>
  <c r="D73" i="14"/>
  <c r="E73" i="14"/>
  <c r="F73" i="14"/>
  <c r="G73" i="14"/>
  <c r="A74" i="14"/>
  <c r="C74" i="14"/>
  <c r="Q74" i="14" s="1"/>
  <c r="D74" i="14"/>
  <c r="I74" i="14" s="1"/>
  <c r="E74" i="14"/>
  <c r="F74" i="14"/>
  <c r="G74" i="14"/>
  <c r="A75" i="14"/>
  <c r="C75" i="14"/>
  <c r="D75" i="14"/>
  <c r="O75" i="14" s="1"/>
  <c r="E75" i="14"/>
  <c r="F75" i="14"/>
  <c r="G75" i="14"/>
  <c r="A76" i="14"/>
  <c r="C76" i="14"/>
  <c r="D76" i="14"/>
  <c r="E76" i="14"/>
  <c r="F76" i="14"/>
  <c r="G76" i="14"/>
  <c r="A77" i="14"/>
  <c r="C77" i="14"/>
  <c r="Q77" i="14" s="1"/>
  <c r="D77" i="14"/>
  <c r="H77" i="14" s="1"/>
  <c r="E77" i="14"/>
  <c r="F77" i="14"/>
  <c r="G77" i="14"/>
  <c r="A78" i="14"/>
  <c r="C78" i="14"/>
  <c r="Q78" i="14" s="1"/>
  <c r="D78" i="14"/>
  <c r="E78" i="14"/>
  <c r="F78" i="14"/>
  <c r="G78" i="14"/>
  <c r="A79" i="14"/>
  <c r="C79" i="14"/>
  <c r="D79" i="14"/>
  <c r="E79" i="14"/>
  <c r="F79" i="14"/>
  <c r="G79" i="14"/>
  <c r="A80" i="14"/>
  <c r="C80" i="14"/>
  <c r="Q80" i="14" s="1"/>
  <c r="D80" i="14"/>
  <c r="E80" i="14"/>
  <c r="F80" i="14"/>
  <c r="G80" i="14"/>
  <c r="A81" i="14"/>
  <c r="C81" i="14"/>
  <c r="D81" i="14"/>
  <c r="O81" i="14" s="1"/>
  <c r="E81" i="14"/>
  <c r="F81" i="14"/>
  <c r="G81" i="14"/>
  <c r="A82" i="14"/>
  <c r="C82" i="14"/>
  <c r="D82" i="14"/>
  <c r="H82" i="14" s="1"/>
  <c r="E82" i="14"/>
  <c r="F82" i="14"/>
  <c r="G82" i="14"/>
  <c r="A83" i="14"/>
  <c r="C83" i="14"/>
  <c r="Q83" i="14" s="1"/>
  <c r="D83" i="14"/>
  <c r="H83" i="14" s="1"/>
  <c r="E83" i="14"/>
  <c r="F83" i="14"/>
  <c r="G83" i="14"/>
  <c r="A84" i="14"/>
  <c r="C84" i="14"/>
  <c r="D84" i="14"/>
  <c r="E84" i="14"/>
  <c r="F84" i="14"/>
  <c r="G84" i="14"/>
  <c r="A85" i="14"/>
  <c r="C85" i="14"/>
  <c r="Q85" i="14" s="1"/>
  <c r="D85" i="14"/>
  <c r="H85" i="14" s="1"/>
  <c r="E85" i="14"/>
  <c r="F85" i="14"/>
  <c r="G85" i="14"/>
  <c r="A86" i="14"/>
  <c r="C86" i="14"/>
  <c r="D86" i="14"/>
  <c r="E86" i="14"/>
  <c r="F86" i="14"/>
  <c r="G86" i="14"/>
  <c r="A87" i="14"/>
  <c r="C87" i="14"/>
  <c r="D87" i="14"/>
  <c r="E87" i="14"/>
  <c r="F87" i="14"/>
  <c r="G87" i="14"/>
  <c r="A88" i="14"/>
  <c r="C88" i="14"/>
  <c r="Q88" i="14" s="1"/>
  <c r="D88" i="14"/>
  <c r="O88" i="14" s="1"/>
  <c r="E88" i="14"/>
  <c r="F88" i="14"/>
  <c r="G88" i="14"/>
  <c r="A89" i="14"/>
  <c r="C89" i="14"/>
  <c r="Q89" i="14" s="1"/>
  <c r="D89" i="14"/>
  <c r="E89" i="14"/>
  <c r="F89" i="14"/>
  <c r="G89" i="14"/>
  <c r="A90" i="14"/>
  <c r="C90" i="14"/>
  <c r="D90" i="14"/>
  <c r="E90" i="14"/>
  <c r="F90" i="14"/>
  <c r="G90" i="14"/>
  <c r="A91" i="14"/>
  <c r="C91" i="14"/>
  <c r="D91" i="14"/>
  <c r="O91" i="14" s="1"/>
  <c r="E91" i="14"/>
  <c r="F91" i="14"/>
  <c r="G91" i="14"/>
  <c r="A92" i="14"/>
  <c r="C92" i="14"/>
  <c r="D92" i="14"/>
  <c r="O92" i="14" s="1"/>
  <c r="E92" i="14"/>
  <c r="F92" i="14"/>
  <c r="G92" i="14"/>
  <c r="A93" i="14"/>
  <c r="C93" i="14"/>
  <c r="D93" i="14"/>
  <c r="E93" i="14"/>
  <c r="F93" i="14"/>
  <c r="G93" i="14"/>
  <c r="A94" i="14"/>
  <c r="C94" i="14"/>
  <c r="D94" i="14"/>
  <c r="O94" i="14" s="1"/>
  <c r="E94" i="14"/>
  <c r="F94" i="14"/>
  <c r="G94" i="14"/>
  <c r="A95" i="14"/>
  <c r="C95" i="14"/>
  <c r="D95" i="14"/>
  <c r="H95" i="14" s="1"/>
  <c r="E95" i="14"/>
  <c r="F95" i="14"/>
  <c r="G95" i="14"/>
  <c r="A96" i="14"/>
  <c r="C96" i="14"/>
  <c r="Q96" i="14" s="1"/>
  <c r="D96" i="14"/>
  <c r="E96" i="14"/>
  <c r="F96" i="14"/>
  <c r="G96" i="14"/>
  <c r="A97" i="14"/>
  <c r="C97" i="14"/>
  <c r="L97" i="14" s="1"/>
  <c r="X97" i="14" s="1"/>
  <c r="D97" i="14"/>
  <c r="K97" i="14" s="1"/>
  <c r="E97" i="14"/>
  <c r="F97" i="14"/>
  <c r="G97" i="14"/>
  <c r="A98" i="14"/>
  <c r="C98" i="14"/>
  <c r="Q98" i="14" s="1"/>
  <c r="D98" i="14"/>
  <c r="O98" i="14" s="1"/>
  <c r="E98" i="14"/>
  <c r="F98" i="14"/>
  <c r="G98" i="14"/>
  <c r="A99" i="14"/>
  <c r="C99" i="14"/>
  <c r="D99" i="14"/>
  <c r="H99" i="14" s="1"/>
  <c r="E99" i="14"/>
  <c r="F99" i="14"/>
  <c r="G99" i="14"/>
  <c r="A100" i="14"/>
  <c r="C100" i="14"/>
  <c r="L100" i="14" s="1"/>
  <c r="X100" i="14" s="1"/>
  <c r="D100" i="14"/>
  <c r="O100" i="14" s="1"/>
  <c r="E100" i="14"/>
  <c r="F100" i="14"/>
  <c r="G100" i="14"/>
  <c r="A101" i="14"/>
  <c r="C101" i="14"/>
  <c r="N101" i="14" s="1"/>
  <c r="Z101" i="14" s="1"/>
  <c r="D101" i="14"/>
  <c r="H101" i="14" s="1"/>
  <c r="E101" i="14"/>
  <c r="F101" i="14"/>
  <c r="G101" i="14"/>
  <c r="A102" i="14"/>
  <c r="C102" i="14"/>
  <c r="N102" i="14" s="1"/>
  <c r="Z102" i="14" s="1"/>
  <c r="D102" i="14"/>
  <c r="E102" i="14"/>
  <c r="F102" i="14"/>
  <c r="G102" i="14"/>
  <c r="A103" i="14"/>
  <c r="C103" i="14"/>
  <c r="L103" i="14" s="1"/>
  <c r="X103" i="14" s="1"/>
  <c r="D103" i="14"/>
  <c r="E103" i="14"/>
  <c r="F103" i="14"/>
  <c r="G103" i="14"/>
  <c r="A104" i="14"/>
  <c r="C104" i="14"/>
  <c r="N104" i="14" s="1"/>
  <c r="Z104" i="14" s="1"/>
  <c r="D104" i="14"/>
  <c r="O104" i="14" s="1"/>
  <c r="E104" i="14"/>
  <c r="F104" i="14"/>
  <c r="G104" i="14"/>
  <c r="A105" i="14"/>
  <c r="C105" i="14"/>
  <c r="N105" i="14" s="1"/>
  <c r="Z105" i="14" s="1"/>
  <c r="D105" i="14"/>
  <c r="E105" i="14"/>
  <c r="F105" i="14"/>
  <c r="G105" i="14"/>
  <c r="A106" i="14"/>
  <c r="C106" i="14"/>
  <c r="D106" i="14"/>
  <c r="O106" i="14" s="1"/>
  <c r="E106" i="14"/>
  <c r="J106" i="14" s="1"/>
  <c r="F106" i="14"/>
  <c r="G106" i="14"/>
  <c r="L106" i="14"/>
  <c r="X106" i="14" s="1"/>
  <c r="A107" i="14"/>
  <c r="C107" i="14"/>
  <c r="N107" i="14" s="1"/>
  <c r="Z107" i="14" s="1"/>
  <c r="D107" i="14"/>
  <c r="H107" i="14" s="1"/>
  <c r="E107" i="14"/>
  <c r="F107" i="14"/>
  <c r="G107" i="14"/>
  <c r="A108" i="14"/>
  <c r="C108" i="14"/>
  <c r="L108" i="14" s="1"/>
  <c r="X108" i="14" s="1"/>
  <c r="D108" i="14"/>
  <c r="E108" i="14"/>
  <c r="F108" i="14"/>
  <c r="G108" i="14"/>
  <c r="A3" i="18"/>
  <c r="C3" i="18"/>
  <c r="D3" i="18"/>
  <c r="E3" i="18"/>
  <c r="F3" i="18"/>
  <c r="G3" i="18"/>
  <c r="A4" i="18"/>
  <c r="C4" i="18"/>
  <c r="D4" i="18"/>
  <c r="E4" i="18"/>
  <c r="F4" i="18"/>
  <c r="G4" i="18"/>
  <c r="A5" i="18"/>
  <c r="C5" i="18"/>
  <c r="N5" i="18" s="1"/>
  <c r="Z5" i="18" s="1"/>
  <c r="D5" i="18"/>
  <c r="E5" i="18"/>
  <c r="F5" i="18"/>
  <c r="G5" i="18"/>
  <c r="M5" i="18"/>
  <c r="Y5" i="18" s="1"/>
  <c r="P5" i="18"/>
  <c r="A6" i="18"/>
  <c r="C6" i="18"/>
  <c r="L6" i="18" s="1"/>
  <c r="X6" i="18" s="1"/>
  <c r="D6" i="18"/>
  <c r="O6" i="18" s="1"/>
  <c r="E6" i="18"/>
  <c r="J6" i="18" s="1"/>
  <c r="F6" i="18"/>
  <c r="G6" i="18"/>
  <c r="A7" i="18"/>
  <c r="C7" i="18"/>
  <c r="D7" i="18"/>
  <c r="H7" i="18" s="1"/>
  <c r="E7" i="18"/>
  <c r="F7" i="18"/>
  <c r="G7" i="18"/>
  <c r="A8" i="18"/>
  <c r="C8" i="18"/>
  <c r="M8" i="18" s="1"/>
  <c r="Y8" i="18" s="1"/>
  <c r="D8" i="18"/>
  <c r="O8" i="18" s="1"/>
  <c r="E8" i="18"/>
  <c r="F8" i="18"/>
  <c r="G8" i="18"/>
  <c r="A9" i="18"/>
  <c r="C9" i="18"/>
  <c r="D9" i="18"/>
  <c r="E9" i="18"/>
  <c r="F9" i="18"/>
  <c r="G9" i="18"/>
  <c r="A10" i="18"/>
  <c r="C10" i="18"/>
  <c r="D10" i="18"/>
  <c r="E10" i="18"/>
  <c r="F10" i="18"/>
  <c r="G10" i="18"/>
  <c r="A11" i="18"/>
  <c r="C11" i="18"/>
  <c r="D11" i="18"/>
  <c r="E11" i="18"/>
  <c r="I11" i="18" s="1"/>
  <c r="F11" i="18"/>
  <c r="G11" i="18"/>
  <c r="A12" i="18"/>
  <c r="C12" i="18"/>
  <c r="Q12" i="18" s="1"/>
  <c r="D12" i="18"/>
  <c r="H12" i="18" s="1"/>
  <c r="E12" i="18"/>
  <c r="F12" i="18"/>
  <c r="R12" i="18" s="1"/>
  <c r="G12" i="18"/>
  <c r="L12" i="18"/>
  <c r="X12" i="18" s="1"/>
  <c r="O12" i="18"/>
  <c r="A13" i="18"/>
  <c r="C13" i="18"/>
  <c r="N13" i="18" s="1"/>
  <c r="Z13" i="18" s="1"/>
  <c r="D13" i="18"/>
  <c r="E13" i="18"/>
  <c r="F13" i="18"/>
  <c r="G13" i="18"/>
  <c r="A14" i="18"/>
  <c r="C14" i="18"/>
  <c r="M14" i="18" s="1"/>
  <c r="Y14" i="18" s="1"/>
  <c r="D14" i="18"/>
  <c r="E14" i="18"/>
  <c r="F14" i="18"/>
  <c r="G14" i="18"/>
  <c r="A15" i="18"/>
  <c r="C15" i="18"/>
  <c r="D15" i="18"/>
  <c r="E15" i="18"/>
  <c r="F15" i="18"/>
  <c r="G15" i="18"/>
  <c r="A16" i="18"/>
  <c r="C16" i="18"/>
  <c r="D16" i="18"/>
  <c r="H16" i="18" s="1"/>
  <c r="E16" i="18"/>
  <c r="F16" i="18"/>
  <c r="G16" i="18"/>
  <c r="A17" i="18"/>
  <c r="C17" i="18"/>
  <c r="L17" i="18" s="1"/>
  <c r="X17" i="18" s="1"/>
  <c r="D17" i="18"/>
  <c r="H17" i="18" s="1"/>
  <c r="E17" i="18"/>
  <c r="J17" i="18" s="1"/>
  <c r="V17" i="18" s="1"/>
  <c r="F17" i="18"/>
  <c r="G17" i="18"/>
  <c r="A18" i="18"/>
  <c r="C18" i="18"/>
  <c r="M18" i="18" s="1"/>
  <c r="Y18" i="18" s="1"/>
  <c r="D18" i="18"/>
  <c r="H18" i="18" s="1"/>
  <c r="E18" i="18"/>
  <c r="F18" i="18"/>
  <c r="G18" i="18"/>
  <c r="A19" i="18"/>
  <c r="C19" i="18"/>
  <c r="D19" i="18"/>
  <c r="E19" i="18"/>
  <c r="F19" i="18"/>
  <c r="G19" i="18"/>
  <c r="A20" i="18"/>
  <c r="C20" i="18"/>
  <c r="N20" i="18" s="1"/>
  <c r="D20" i="18"/>
  <c r="E20" i="18"/>
  <c r="F20" i="18"/>
  <c r="G20" i="18"/>
  <c r="A21" i="18"/>
  <c r="C21" i="18"/>
  <c r="D21" i="18"/>
  <c r="E21" i="18"/>
  <c r="F21" i="18"/>
  <c r="G21" i="18"/>
  <c r="A22" i="18"/>
  <c r="C22" i="18"/>
  <c r="D22" i="18"/>
  <c r="E22" i="18"/>
  <c r="F22" i="18"/>
  <c r="G22" i="18"/>
  <c r="A23" i="18"/>
  <c r="C23" i="18"/>
  <c r="D23" i="18"/>
  <c r="E23" i="18"/>
  <c r="F23" i="18"/>
  <c r="G23" i="18"/>
  <c r="A24" i="18"/>
  <c r="C24" i="18"/>
  <c r="P24" i="18" s="1"/>
  <c r="D24" i="18"/>
  <c r="E24" i="18"/>
  <c r="F24" i="18"/>
  <c r="G24" i="18"/>
  <c r="A25" i="18"/>
  <c r="C25" i="18"/>
  <c r="D25" i="18"/>
  <c r="E25" i="18"/>
  <c r="F25" i="18"/>
  <c r="G25" i="18"/>
  <c r="A26" i="18"/>
  <c r="C26" i="18"/>
  <c r="D26" i="18"/>
  <c r="E26" i="18"/>
  <c r="F26" i="18"/>
  <c r="G26" i="18"/>
  <c r="A27" i="18"/>
  <c r="C27" i="18"/>
  <c r="D27" i="18"/>
  <c r="E27" i="18"/>
  <c r="F27" i="18"/>
  <c r="G27" i="18"/>
  <c r="A28" i="18"/>
  <c r="C28" i="18"/>
  <c r="D28" i="18"/>
  <c r="E28" i="18"/>
  <c r="F28" i="18"/>
  <c r="G28" i="18"/>
  <c r="A29" i="18"/>
  <c r="C29" i="18"/>
  <c r="D29" i="18"/>
  <c r="E29" i="18"/>
  <c r="F29" i="18"/>
  <c r="G29" i="18"/>
  <c r="A30" i="18"/>
  <c r="C30" i="18"/>
  <c r="D30" i="18"/>
  <c r="E30" i="18"/>
  <c r="F30" i="18"/>
  <c r="G30" i="18"/>
  <c r="A31" i="18"/>
  <c r="C31" i="18"/>
  <c r="D31" i="18"/>
  <c r="E31" i="18"/>
  <c r="F31" i="18"/>
  <c r="G31" i="18"/>
  <c r="A32" i="18"/>
  <c r="C32" i="18"/>
  <c r="D32" i="18"/>
  <c r="E32" i="18"/>
  <c r="F32" i="18"/>
  <c r="G32" i="18"/>
  <c r="A33" i="18"/>
  <c r="C33" i="18"/>
  <c r="D33" i="18"/>
  <c r="E33" i="18"/>
  <c r="F33" i="18"/>
  <c r="G33" i="18"/>
  <c r="A34" i="18"/>
  <c r="C34" i="18"/>
  <c r="D34" i="18"/>
  <c r="E34" i="18"/>
  <c r="F34" i="18"/>
  <c r="G34" i="18"/>
  <c r="A35" i="18"/>
  <c r="C35" i="18"/>
  <c r="D35" i="18"/>
  <c r="E35" i="18"/>
  <c r="F35" i="18"/>
  <c r="G35" i="18"/>
  <c r="A36" i="18"/>
  <c r="C36" i="18"/>
  <c r="D36" i="18"/>
  <c r="E36" i="18"/>
  <c r="F36" i="18"/>
  <c r="G36" i="18"/>
  <c r="A37" i="18"/>
  <c r="C37" i="18"/>
  <c r="D37" i="18"/>
  <c r="E37" i="18"/>
  <c r="F37" i="18"/>
  <c r="G37" i="18"/>
  <c r="A38" i="18"/>
  <c r="C38" i="18"/>
  <c r="D38" i="18"/>
  <c r="E38" i="18"/>
  <c r="F38" i="18"/>
  <c r="G38" i="18"/>
  <c r="A39" i="18"/>
  <c r="C39" i="18"/>
  <c r="D39" i="18"/>
  <c r="E39" i="18"/>
  <c r="F39" i="18"/>
  <c r="G39" i="18"/>
  <c r="A40" i="18"/>
  <c r="C40" i="18"/>
  <c r="D40" i="18"/>
  <c r="E40" i="18"/>
  <c r="F40" i="18"/>
  <c r="G40" i="18"/>
  <c r="A41" i="18"/>
  <c r="C41" i="18"/>
  <c r="D41" i="18"/>
  <c r="E41" i="18"/>
  <c r="F41" i="18"/>
  <c r="G41" i="18"/>
  <c r="A42" i="18"/>
  <c r="C42" i="18"/>
  <c r="D42" i="18"/>
  <c r="E42" i="18"/>
  <c r="F42" i="18"/>
  <c r="G42" i="18"/>
  <c r="A43" i="18"/>
  <c r="C43" i="18"/>
  <c r="D43" i="18"/>
  <c r="E43" i="18"/>
  <c r="F43" i="18"/>
  <c r="G43" i="18"/>
  <c r="A44" i="18"/>
  <c r="C44" i="18"/>
  <c r="D44" i="18"/>
  <c r="E44" i="18"/>
  <c r="F44" i="18"/>
  <c r="G44" i="18"/>
  <c r="A45" i="18"/>
  <c r="C45" i="18"/>
  <c r="D45" i="18"/>
  <c r="E45" i="18"/>
  <c r="F45" i="18"/>
  <c r="G45" i="18"/>
  <c r="A46" i="18"/>
  <c r="C46" i="18"/>
  <c r="P46" i="18" s="1"/>
  <c r="D46" i="18"/>
  <c r="E46" i="18"/>
  <c r="F46" i="18"/>
  <c r="G46" i="18"/>
  <c r="A47" i="18"/>
  <c r="C47" i="18"/>
  <c r="D47" i="18"/>
  <c r="E47" i="18"/>
  <c r="F47" i="18"/>
  <c r="G47" i="18"/>
  <c r="A48" i="18"/>
  <c r="C48" i="18"/>
  <c r="D48" i="18"/>
  <c r="E48" i="18"/>
  <c r="F48" i="18"/>
  <c r="G48" i="18"/>
  <c r="A49" i="18"/>
  <c r="C49" i="18"/>
  <c r="D49" i="18"/>
  <c r="E49" i="18"/>
  <c r="F49" i="18"/>
  <c r="G49" i="18"/>
  <c r="A50" i="18"/>
  <c r="C50" i="18"/>
  <c r="D50" i="18"/>
  <c r="E50" i="18"/>
  <c r="F50" i="18"/>
  <c r="G50" i="18"/>
  <c r="A51" i="18"/>
  <c r="C51" i="18"/>
  <c r="D51" i="18"/>
  <c r="E51" i="18"/>
  <c r="F51" i="18"/>
  <c r="G51" i="18"/>
  <c r="A52" i="18"/>
  <c r="C52" i="18"/>
  <c r="D52" i="18"/>
  <c r="E52" i="18"/>
  <c r="F52" i="18"/>
  <c r="G52" i="18"/>
  <c r="A53" i="18"/>
  <c r="C53" i="18"/>
  <c r="D53" i="18"/>
  <c r="E53" i="18"/>
  <c r="F53" i="18"/>
  <c r="G53" i="18"/>
  <c r="A54" i="18"/>
  <c r="C54" i="18"/>
  <c r="D54" i="18"/>
  <c r="E54" i="18"/>
  <c r="F54" i="18"/>
  <c r="G54" i="18"/>
  <c r="A55" i="18"/>
  <c r="C55" i="18"/>
  <c r="D55" i="18"/>
  <c r="E55" i="18"/>
  <c r="F55" i="18"/>
  <c r="G55" i="18"/>
  <c r="A56" i="18"/>
  <c r="C56" i="18"/>
  <c r="D56" i="18"/>
  <c r="E56" i="18"/>
  <c r="F56" i="18"/>
  <c r="G56" i="18"/>
  <c r="A57" i="18"/>
  <c r="C57" i="18"/>
  <c r="D57" i="18"/>
  <c r="E57" i="18"/>
  <c r="F57" i="18"/>
  <c r="G57" i="18"/>
  <c r="A58" i="18"/>
  <c r="C58" i="18"/>
  <c r="D58" i="18"/>
  <c r="E58" i="18"/>
  <c r="F58" i="18"/>
  <c r="G58" i="18"/>
  <c r="A59" i="18"/>
  <c r="C59" i="18"/>
  <c r="P59" i="18" s="1"/>
  <c r="D59" i="18"/>
  <c r="E59" i="18"/>
  <c r="F59" i="18"/>
  <c r="G59" i="18"/>
  <c r="A60" i="18"/>
  <c r="C60" i="18"/>
  <c r="D60" i="18"/>
  <c r="E60" i="18"/>
  <c r="F60" i="18"/>
  <c r="G60" i="18"/>
  <c r="A61" i="18"/>
  <c r="C61" i="18"/>
  <c r="D61" i="18"/>
  <c r="E61" i="18"/>
  <c r="F61" i="18"/>
  <c r="G61" i="18"/>
  <c r="A62" i="18"/>
  <c r="C62" i="18"/>
  <c r="D62" i="18"/>
  <c r="E62" i="18"/>
  <c r="F62" i="18"/>
  <c r="G62" i="18"/>
  <c r="A63" i="18"/>
  <c r="C63" i="18"/>
  <c r="D63" i="18"/>
  <c r="E63" i="18"/>
  <c r="F63" i="18"/>
  <c r="G63" i="18"/>
  <c r="A64" i="18"/>
  <c r="C64" i="18"/>
  <c r="Q64" i="18" s="1"/>
  <c r="D64" i="18"/>
  <c r="E64" i="18"/>
  <c r="F64" i="18"/>
  <c r="G64" i="18"/>
  <c r="O64" i="18"/>
  <c r="A65" i="18"/>
  <c r="C65" i="18"/>
  <c r="D65" i="18"/>
  <c r="H65" i="18" s="1"/>
  <c r="E65" i="18"/>
  <c r="F65" i="18"/>
  <c r="G65" i="18"/>
  <c r="A66" i="18"/>
  <c r="C66" i="18"/>
  <c r="Q66" i="18" s="1"/>
  <c r="D66" i="18"/>
  <c r="E66" i="18"/>
  <c r="M66" i="18" s="1"/>
  <c r="F66" i="18"/>
  <c r="G66" i="18"/>
  <c r="A67" i="18"/>
  <c r="C67" i="18"/>
  <c r="Q67" i="18" s="1"/>
  <c r="D67" i="18"/>
  <c r="E67" i="18"/>
  <c r="F67" i="18"/>
  <c r="G67" i="18"/>
  <c r="A68" i="18"/>
  <c r="C68" i="18"/>
  <c r="D68" i="18"/>
  <c r="O68" i="18" s="1"/>
  <c r="E68" i="18"/>
  <c r="F68" i="18"/>
  <c r="G68" i="18"/>
  <c r="A69" i="18"/>
  <c r="C69" i="18"/>
  <c r="D69" i="18"/>
  <c r="E69" i="18"/>
  <c r="F69" i="18"/>
  <c r="G69" i="18"/>
  <c r="A70" i="18"/>
  <c r="C70" i="18"/>
  <c r="D70" i="18"/>
  <c r="E70" i="18"/>
  <c r="F70" i="18"/>
  <c r="G70" i="18"/>
  <c r="A71" i="18"/>
  <c r="C71" i="18"/>
  <c r="D71" i="18"/>
  <c r="E71" i="18"/>
  <c r="F71" i="18"/>
  <c r="G71" i="18"/>
  <c r="A72" i="18"/>
  <c r="C72" i="18"/>
  <c r="D72" i="18"/>
  <c r="E72" i="18"/>
  <c r="F72" i="18"/>
  <c r="G72" i="18"/>
  <c r="A73" i="18"/>
  <c r="C73" i="18"/>
  <c r="D73" i="18"/>
  <c r="E73" i="18"/>
  <c r="F73" i="18"/>
  <c r="G73" i="18"/>
  <c r="A74" i="18"/>
  <c r="C74" i="18"/>
  <c r="D74" i="18"/>
  <c r="E74" i="18"/>
  <c r="F74" i="18"/>
  <c r="G74" i="18"/>
  <c r="A75" i="18"/>
  <c r="C75" i="18"/>
  <c r="D75" i="18"/>
  <c r="E75" i="18"/>
  <c r="F75" i="18"/>
  <c r="G75" i="18"/>
  <c r="A76" i="18"/>
  <c r="C76" i="18"/>
  <c r="D76" i="18"/>
  <c r="E76" i="18"/>
  <c r="F76" i="18"/>
  <c r="G76" i="18"/>
  <c r="A77" i="18"/>
  <c r="C77" i="18"/>
  <c r="D77" i="18"/>
  <c r="E77" i="18"/>
  <c r="F77" i="18"/>
  <c r="G77" i="18"/>
  <c r="A78" i="18"/>
  <c r="C78" i="18"/>
  <c r="D78" i="18"/>
  <c r="E78" i="18"/>
  <c r="F78" i="18"/>
  <c r="G78" i="18"/>
  <c r="A79" i="18"/>
  <c r="C79" i="18"/>
  <c r="D79" i="18"/>
  <c r="E79" i="18"/>
  <c r="F79" i="18"/>
  <c r="G79" i="18"/>
  <c r="A80" i="18"/>
  <c r="C80" i="18"/>
  <c r="D80" i="18"/>
  <c r="E80" i="18"/>
  <c r="F80" i="18"/>
  <c r="G80" i="18"/>
  <c r="A81" i="18"/>
  <c r="C81" i="18"/>
  <c r="Q81" i="18" s="1"/>
  <c r="D81" i="18"/>
  <c r="O81" i="18" s="1"/>
  <c r="E81" i="18"/>
  <c r="F81" i="18"/>
  <c r="G81" i="18"/>
  <c r="N81" i="18"/>
  <c r="A82" i="18"/>
  <c r="C82" i="18"/>
  <c r="Q82" i="18" s="1"/>
  <c r="D82" i="18"/>
  <c r="E82" i="18"/>
  <c r="F82" i="18"/>
  <c r="G82" i="18"/>
  <c r="A83" i="18"/>
  <c r="C83" i="18"/>
  <c r="Q83" i="18" s="1"/>
  <c r="D83" i="18"/>
  <c r="E83" i="18"/>
  <c r="K83" i="18" s="1"/>
  <c r="F83" i="18"/>
  <c r="G83" i="18"/>
  <c r="A84" i="18"/>
  <c r="C84" i="18"/>
  <c r="D84" i="18"/>
  <c r="E84" i="18"/>
  <c r="F84" i="18"/>
  <c r="G84" i="18"/>
  <c r="A85" i="18"/>
  <c r="C85" i="18"/>
  <c r="D85" i="18"/>
  <c r="E85" i="18"/>
  <c r="F85" i="18"/>
  <c r="G85" i="18"/>
  <c r="A86" i="18"/>
  <c r="C86" i="18"/>
  <c r="D86" i="18"/>
  <c r="E86" i="18"/>
  <c r="F86" i="18"/>
  <c r="G86" i="18"/>
  <c r="A87" i="18"/>
  <c r="C87" i="18"/>
  <c r="D87" i="18"/>
  <c r="E87" i="18"/>
  <c r="F87" i="18"/>
  <c r="G87" i="18"/>
  <c r="A88" i="18"/>
  <c r="C88" i="18"/>
  <c r="D88" i="18"/>
  <c r="E88" i="18"/>
  <c r="F88" i="18"/>
  <c r="G88" i="18"/>
  <c r="A89" i="18"/>
  <c r="C89" i="18"/>
  <c r="D89" i="18"/>
  <c r="O89" i="18" s="1"/>
  <c r="E89" i="18"/>
  <c r="F89" i="18"/>
  <c r="G89" i="18"/>
  <c r="A90" i="18"/>
  <c r="C90" i="18"/>
  <c r="D90" i="18"/>
  <c r="H90" i="18" s="1"/>
  <c r="E90" i="18"/>
  <c r="F90" i="18"/>
  <c r="G90" i="18"/>
  <c r="A91" i="18"/>
  <c r="C91" i="18"/>
  <c r="D91" i="18"/>
  <c r="E91" i="18"/>
  <c r="F91" i="18"/>
  <c r="G91" i="18"/>
  <c r="A92" i="18"/>
  <c r="C92" i="18"/>
  <c r="D92" i="18"/>
  <c r="E92" i="18"/>
  <c r="F92" i="18"/>
  <c r="G92" i="18"/>
  <c r="A93" i="18"/>
  <c r="C93" i="18"/>
  <c r="D93" i="18"/>
  <c r="E93" i="18"/>
  <c r="F93" i="18"/>
  <c r="G93" i="18"/>
  <c r="A94" i="18"/>
  <c r="C94" i="18"/>
  <c r="D94" i="18"/>
  <c r="E94" i="18"/>
  <c r="F94" i="18"/>
  <c r="G94" i="18"/>
  <c r="A95" i="18"/>
  <c r="C95" i="18"/>
  <c r="D95" i="18"/>
  <c r="E95" i="18"/>
  <c r="F95" i="18"/>
  <c r="G95" i="18"/>
  <c r="A96" i="18"/>
  <c r="C96" i="18"/>
  <c r="D96" i="18"/>
  <c r="E96" i="18"/>
  <c r="F96" i="18"/>
  <c r="G96" i="18"/>
  <c r="A97" i="18"/>
  <c r="C97" i="18"/>
  <c r="D97" i="18"/>
  <c r="E97" i="18"/>
  <c r="F97" i="18"/>
  <c r="G97" i="18"/>
  <c r="A98" i="18"/>
  <c r="C98" i="18"/>
  <c r="D98" i="18"/>
  <c r="E98" i="18"/>
  <c r="F98" i="18"/>
  <c r="G98" i="18"/>
  <c r="A99" i="18"/>
  <c r="C99" i="18"/>
  <c r="D99" i="18"/>
  <c r="E99" i="18"/>
  <c r="F99" i="18"/>
  <c r="G99" i="18"/>
  <c r="A100" i="18"/>
  <c r="C100" i="18"/>
  <c r="D100" i="18"/>
  <c r="E100" i="18"/>
  <c r="F100" i="18"/>
  <c r="G100" i="18"/>
  <c r="A101" i="18"/>
  <c r="C101" i="18"/>
  <c r="D101" i="18"/>
  <c r="E101" i="18"/>
  <c r="F101" i="18"/>
  <c r="G101" i="18"/>
  <c r="A102" i="18"/>
  <c r="C102" i="18"/>
  <c r="D102" i="18"/>
  <c r="E102" i="18"/>
  <c r="F102" i="18"/>
  <c r="G102" i="18"/>
  <c r="A103" i="18"/>
  <c r="C103" i="18"/>
  <c r="D103" i="18"/>
  <c r="E103" i="18"/>
  <c r="F103" i="18"/>
  <c r="G103" i="18"/>
  <c r="A104" i="18"/>
  <c r="C104" i="18"/>
  <c r="D104" i="18"/>
  <c r="E104" i="18"/>
  <c r="F104" i="18"/>
  <c r="G104" i="18"/>
  <c r="A105" i="18"/>
  <c r="C105" i="18"/>
  <c r="D105" i="18"/>
  <c r="E105" i="18"/>
  <c r="F105" i="18"/>
  <c r="G105" i="18"/>
  <c r="A106" i="18"/>
  <c r="C106" i="18"/>
  <c r="D106" i="18"/>
  <c r="O106" i="18" s="1"/>
  <c r="E106" i="18"/>
  <c r="F106" i="18"/>
  <c r="G106" i="18"/>
  <c r="G2" i="18"/>
  <c r="F2" i="18"/>
  <c r="E2" i="18"/>
  <c r="D2" i="18"/>
  <c r="C2" i="18"/>
  <c r="A2" i="18"/>
  <c r="J67" i="14" l="1"/>
  <c r="Q21" i="14"/>
  <c r="N100" i="14"/>
  <c r="Z100" i="14" s="1"/>
  <c r="N20" i="14"/>
  <c r="Z20" i="14" s="1"/>
  <c r="J105" i="14"/>
  <c r="K98" i="14"/>
  <c r="J26" i="14"/>
  <c r="M19" i="14"/>
  <c r="Y19" i="14" s="1"/>
  <c r="J4" i="14"/>
  <c r="H91" i="14"/>
  <c r="J74" i="14"/>
  <c r="V74" i="14" s="1"/>
  <c r="M102" i="14"/>
  <c r="Y102" i="14" s="1"/>
  <c r="K95" i="14"/>
  <c r="K64" i="14"/>
  <c r="J62" i="14"/>
  <c r="O49" i="14"/>
  <c r="O20" i="14"/>
  <c r="M9" i="14"/>
  <c r="Y9" i="14" s="1"/>
  <c r="H97" i="14"/>
  <c r="K89" i="14"/>
  <c r="W89" i="14" s="1"/>
  <c r="I86" i="14"/>
  <c r="I76" i="14"/>
  <c r="J75" i="14"/>
  <c r="M55" i="14"/>
  <c r="J32" i="14"/>
  <c r="O25" i="14"/>
  <c r="L19" i="14"/>
  <c r="X19" i="14" s="1"/>
  <c r="L3" i="14"/>
  <c r="X3" i="14" s="1"/>
  <c r="J97" i="14"/>
  <c r="P93" i="14"/>
  <c r="P48" i="14"/>
  <c r="N44" i="14"/>
  <c r="N46" i="14"/>
  <c r="Z46" i="14" s="1"/>
  <c r="K33" i="14"/>
  <c r="O60" i="14"/>
  <c r="Q48" i="14"/>
  <c r="I31" i="14"/>
  <c r="U31" i="14" s="1"/>
  <c r="P21" i="14"/>
  <c r="Q15" i="14"/>
  <c r="S15" i="14" s="1"/>
  <c r="M4" i="14"/>
  <c r="Y4" i="14" s="1"/>
  <c r="L102" i="14"/>
  <c r="X102" i="14" s="1"/>
  <c r="I60" i="14"/>
  <c r="J50" i="14"/>
  <c r="H40" i="14"/>
  <c r="P50" i="14"/>
  <c r="K48" i="14"/>
  <c r="J16" i="14"/>
  <c r="O105" i="8"/>
  <c r="P99" i="8"/>
  <c r="J95" i="8"/>
  <c r="H68" i="8"/>
  <c r="J65" i="8"/>
  <c r="R45" i="8"/>
  <c r="N4" i="8"/>
  <c r="Z4" i="8" s="1"/>
  <c r="L4" i="8"/>
  <c r="X4" i="8" s="1"/>
  <c r="L102" i="8"/>
  <c r="X102" i="8" s="1"/>
  <c r="J94" i="8"/>
  <c r="V94" i="8" s="1"/>
  <c r="M59" i="8"/>
  <c r="I46" i="8"/>
  <c r="P37" i="8"/>
  <c r="R22" i="8"/>
  <c r="K12" i="8"/>
  <c r="P7" i="8"/>
  <c r="O70" i="8"/>
  <c r="L47" i="8"/>
  <c r="M42" i="8"/>
  <c r="I41" i="8"/>
  <c r="H36" i="8"/>
  <c r="L13" i="8"/>
  <c r="X13" i="8" s="1"/>
  <c r="I9" i="8"/>
  <c r="L7" i="8"/>
  <c r="X7" i="8" s="1"/>
  <c r="K6" i="8"/>
  <c r="H94" i="8"/>
  <c r="J86" i="8"/>
  <c r="O82" i="14"/>
  <c r="I80" i="14"/>
  <c r="N23" i="14"/>
  <c r="I5" i="14"/>
  <c r="K84" i="14"/>
  <c r="J104" i="14"/>
  <c r="K82" i="14"/>
  <c r="L54" i="14"/>
  <c r="K39" i="14"/>
  <c r="H33" i="14"/>
  <c r="J18" i="14"/>
  <c r="V18" i="14" s="1"/>
  <c r="J17" i="14"/>
  <c r="V17" i="14" s="1"/>
  <c r="R14" i="14"/>
  <c r="K4" i="14"/>
  <c r="M101" i="14"/>
  <c r="Y101" i="14" s="1"/>
  <c r="M13" i="14"/>
  <c r="Y13" i="14" s="1"/>
  <c r="O67" i="14"/>
  <c r="M66" i="14"/>
  <c r="M58" i="14"/>
  <c r="J55" i="14"/>
  <c r="L46" i="14"/>
  <c r="I44" i="14"/>
  <c r="K41" i="14"/>
  <c r="W41" i="14" s="1"/>
  <c r="H39" i="14"/>
  <c r="N34" i="14"/>
  <c r="P29" i="14"/>
  <c r="J25" i="14"/>
  <c r="K22" i="14"/>
  <c r="K18" i="14"/>
  <c r="W18" i="14" s="1"/>
  <c r="O12" i="14"/>
  <c r="O6" i="14"/>
  <c r="I82" i="14"/>
  <c r="J79" i="14"/>
  <c r="N39" i="14"/>
  <c r="J95" i="14"/>
  <c r="Q102" i="14"/>
  <c r="R102" i="14" s="1"/>
  <c r="M100" i="14"/>
  <c r="Y100" i="14" s="1"/>
  <c r="P99" i="14"/>
  <c r="L85" i="14"/>
  <c r="X85" i="14" s="1"/>
  <c r="H81" i="14"/>
  <c r="N58" i="14"/>
  <c r="M57" i="14"/>
  <c r="Y57" i="14" s="1"/>
  <c r="R43" i="14"/>
  <c r="Q29" i="14"/>
  <c r="L20" i="14"/>
  <c r="X20" i="14" s="1"/>
  <c r="J3" i="14"/>
  <c r="P89" i="14"/>
  <c r="I39" i="14"/>
  <c r="N94" i="14"/>
  <c r="O99" i="14"/>
  <c r="J96" i="14"/>
  <c r="V96" i="14" s="1"/>
  <c r="K85" i="14"/>
  <c r="N57" i="14"/>
  <c r="Z57" i="14" s="1"/>
  <c r="I33" i="14"/>
  <c r="N33" i="14"/>
  <c r="P32" i="14"/>
  <c r="O28" i="14"/>
  <c r="T28" i="14" s="1"/>
  <c r="N19" i="14"/>
  <c r="Z19" i="14" s="1"/>
  <c r="L15" i="14"/>
  <c r="X15" i="14" s="1"/>
  <c r="P9" i="14"/>
  <c r="P105" i="18"/>
  <c r="O65" i="18"/>
  <c r="T65" i="18" s="1"/>
  <c r="P60" i="18"/>
  <c r="P53" i="18"/>
  <c r="J7" i="18"/>
  <c r="V7" i="18" s="1"/>
  <c r="Q5" i="18"/>
  <c r="P43" i="18"/>
  <c r="P41" i="18"/>
  <c r="P40" i="18"/>
  <c r="K7" i="18"/>
  <c r="W7" i="18" s="1"/>
  <c r="J90" i="18"/>
  <c r="V90" i="18" s="1"/>
  <c r="N90" i="18"/>
  <c r="Z90" i="18" s="1"/>
  <c r="L89" i="18"/>
  <c r="X89" i="18" s="1"/>
  <c r="S83" i="18"/>
  <c r="P19" i="18"/>
  <c r="L5" i="18"/>
  <c r="X5" i="18" s="1"/>
  <c r="J82" i="18"/>
  <c r="V82" i="18" s="1"/>
  <c r="R81" i="18"/>
  <c r="P76" i="18"/>
  <c r="R66" i="18"/>
  <c r="J64" i="18"/>
  <c r="K10" i="18"/>
  <c r="W10" i="18" s="1"/>
  <c r="H63" i="14"/>
  <c r="O63" i="14"/>
  <c r="N12" i="14"/>
  <c r="Z12" i="14" s="1"/>
  <c r="N10" i="14"/>
  <c r="Z10" i="14" s="1"/>
  <c r="Q10" i="14"/>
  <c r="S10" i="14" s="1"/>
  <c r="M82" i="18"/>
  <c r="Y82" i="18" s="1"/>
  <c r="M81" i="18"/>
  <c r="K18" i="18"/>
  <c r="W18" i="18" s="1"/>
  <c r="N17" i="18"/>
  <c r="Z17" i="18" s="1"/>
  <c r="I14" i="18"/>
  <c r="R5" i="18"/>
  <c r="I104" i="14"/>
  <c r="L101" i="14"/>
  <c r="X101" i="14" s="1"/>
  <c r="I97" i="14"/>
  <c r="P87" i="14"/>
  <c r="M70" i="14"/>
  <c r="O70" i="14"/>
  <c r="K49" i="14"/>
  <c r="H26" i="14"/>
  <c r="I26" i="14"/>
  <c r="U26" i="14" s="1"/>
  <c r="K16" i="14"/>
  <c r="P10" i="14"/>
  <c r="O73" i="8"/>
  <c r="P73" i="8"/>
  <c r="H48" i="8"/>
  <c r="K48" i="8"/>
  <c r="J18" i="8"/>
  <c r="V18" i="8" s="1"/>
  <c r="M17" i="18"/>
  <c r="Y17" i="18" s="1"/>
  <c r="K69" i="14"/>
  <c r="I69" i="14"/>
  <c r="H69" i="14"/>
  <c r="H27" i="8"/>
  <c r="N27" i="8"/>
  <c r="M101" i="18"/>
  <c r="Y101" i="18" s="1"/>
  <c r="L101" i="18"/>
  <c r="I68" i="18"/>
  <c r="R67" i="18"/>
  <c r="K66" i="18"/>
  <c r="P108" i="14"/>
  <c r="Q101" i="14"/>
  <c r="I98" i="14"/>
  <c r="U98" i="14" s="1"/>
  <c r="J86" i="14"/>
  <c r="H76" i="14"/>
  <c r="O76" i="14"/>
  <c r="L45" i="14"/>
  <c r="O45" i="14"/>
  <c r="P75" i="8"/>
  <c r="I62" i="8"/>
  <c r="O62" i="8"/>
  <c r="K42" i="8"/>
  <c r="W42" i="8" s="1"/>
  <c r="N19" i="8"/>
  <c r="Z19" i="8" s="1"/>
  <c r="Q19" i="8"/>
  <c r="R19" i="8" s="1"/>
  <c r="M19" i="8"/>
  <c r="Y19" i="8" s="1"/>
  <c r="J89" i="18"/>
  <c r="V89" i="18" s="1"/>
  <c r="P82" i="18"/>
  <c r="J81" i="18"/>
  <c r="V81" i="18" s="1"/>
  <c r="H68" i="18"/>
  <c r="J65" i="18"/>
  <c r="P52" i="18"/>
  <c r="Q18" i="18"/>
  <c r="I105" i="14"/>
  <c r="P103" i="14"/>
  <c r="O101" i="14"/>
  <c r="K101" i="14"/>
  <c r="W101" i="14" s="1"/>
  <c r="J100" i="14"/>
  <c r="H98" i="14"/>
  <c r="K91" i="14"/>
  <c r="P90" i="14"/>
  <c r="N89" i="14"/>
  <c r="Z89" i="14" s="1"/>
  <c r="N76" i="14"/>
  <c r="M76" i="14"/>
  <c r="J69" i="14"/>
  <c r="V69" i="14" s="1"/>
  <c r="M63" i="14"/>
  <c r="Y63" i="14" s="1"/>
  <c r="K59" i="14"/>
  <c r="W59" i="14" s="1"/>
  <c r="O51" i="14"/>
  <c r="K35" i="14"/>
  <c r="I24" i="14"/>
  <c r="J24" i="14"/>
  <c r="K3" i="14"/>
  <c r="Q100" i="8"/>
  <c r="R100" i="8" s="1"/>
  <c r="N100" i="8"/>
  <c r="Z100" i="8" s="1"/>
  <c r="H91" i="8"/>
  <c r="O91" i="8"/>
  <c r="H78" i="8"/>
  <c r="O78" i="8"/>
  <c r="O56" i="8"/>
  <c r="L51" i="8"/>
  <c r="H51" i="8"/>
  <c r="H25" i="8"/>
  <c r="N25" i="8"/>
  <c r="H15" i="8"/>
  <c r="O15" i="8"/>
  <c r="K68" i="18"/>
  <c r="Q108" i="14"/>
  <c r="R108" i="14" s="1"/>
  <c r="Q58" i="14"/>
  <c r="S58" i="14" s="1"/>
  <c r="P58" i="14"/>
  <c r="H18" i="8"/>
  <c r="I18" i="8"/>
  <c r="U18" i="8" s="1"/>
  <c r="O18" i="8"/>
  <c r="Q17" i="18"/>
  <c r="O97" i="14"/>
  <c r="J81" i="14"/>
  <c r="M65" i="14"/>
  <c r="Y65" i="14" s="1"/>
  <c r="J65" i="14"/>
  <c r="V65" i="14" s="1"/>
  <c r="N55" i="14"/>
  <c r="H44" i="14"/>
  <c r="O44" i="14"/>
  <c r="Q25" i="14"/>
  <c r="R25" i="14" s="1"/>
  <c r="N25" i="14"/>
  <c r="J102" i="8"/>
  <c r="L38" i="8"/>
  <c r="H38" i="8"/>
  <c r="Q31" i="8"/>
  <c r="P31" i="8"/>
  <c r="P17" i="18"/>
  <c r="H53" i="14"/>
  <c r="K53" i="14"/>
  <c r="Q49" i="14"/>
  <c r="P49" i="14"/>
  <c r="M47" i="14"/>
  <c r="O47" i="14"/>
  <c r="Q44" i="14"/>
  <c r="S44" i="14" s="1"/>
  <c r="P44" i="14"/>
  <c r="S41" i="14"/>
  <c r="M20" i="18"/>
  <c r="Y20" i="18" s="1"/>
  <c r="S78" i="14"/>
  <c r="J76" i="14"/>
  <c r="R72" i="14"/>
  <c r="J70" i="14"/>
  <c r="I67" i="14"/>
  <c r="L66" i="14"/>
  <c r="P64" i="14"/>
  <c r="J60" i="14"/>
  <c r="K58" i="14"/>
  <c r="I56" i="14"/>
  <c r="M46" i="14"/>
  <c r="Y46" i="14" s="1"/>
  <c r="J44" i="14"/>
  <c r="J29" i="14"/>
  <c r="L28" i="14"/>
  <c r="Q20" i="14"/>
  <c r="R20" i="14" s="1"/>
  <c r="P19" i="14"/>
  <c r="K7" i="14"/>
  <c r="O5" i="14"/>
  <c r="J104" i="8"/>
  <c r="P101" i="8"/>
  <c r="T101" i="8" s="1"/>
  <c r="P98" i="8"/>
  <c r="K96" i="8"/>
  <c r="R93" i="8"/>
  <c r="I91" i="8"/>
  <c r="K84" i="8"/>
  <c r="W84" i="8" s="1"/>
  <c r="H82" i="8"/>
  <c r="J80" i="8"/>
  <c r="L69" i="8"/>
  <c r="X69" i="8" s="1"/>
  <c r="N65" i="8"/>
  <c r="K59" i="8"/>
  <c r="J57" i="8"/>
  <c r="H54" i="8"/>
  <c r="J52" i="8"/>
  <c r="H50" i="8"/>
  <c r="M45" i="8"/>
  <c r="O40" i="8"/>
  <c r="P39" i="8"/>
  <c r="M34" i="8"/>
  <c r="Y34" i="8" s="1"/>
  <c r="N33" i="8"/>
  <c r="H30" i="8"/>
  <c r="M28" i="8"/>
  <c r="I26" i="8"/>
  <c r="P23" i="8"/>
  <c r="N21" i="8"/>
  <c r="Z21" i="8" s="1"/>
  <c r="P19" i="8"/>
  <c r="P13" i="8"/>
  <c r="M8" i="8"/>
  <c r="Y8" i="8" s="1"/>
  <c r="K3" i="8"/>
  <c r="S63" i="14"/>
  <c r="L62" i="14"/>
  <c r="P55" i="14"/>
  <c r="M40" i="14"/>
  <c r="N35" i="14"/>
  <c r="N21" i="14"/>
  <c r="Z21" i="14" s="1"/>
  <c r="J15" i="14"/>
  <c r="N13" i="14"/>
  <c r="Z13" i="14" s="1"/>
  <c r="P3" i="14"/>
  <c r="S102" i="8"/>
  <c r="J98" i="8"/>
  <c r="K89" i="8"/>
  <c r="W89" i="8" s="1"/>
  <c r="L88" i="8"/>
  <c r="X88" i="8" s="1"/>
  <c r="M83" i="8"/>
  <c r="K72" i="8"/>
  <c r="P58" i="8"/>
  <c r="N48" i="8"/>
  <c r="J40" i="8"/>
  <c r="M26" i="8"/>
  <c r="M7" i="8"/>
  <c r="Y7" i="8" s="1"/>
  <c r="S83" i="8"/>
  <c r="M70" i="8"/>
  <c r="R66" i="8"/>
  <c r="L61" i="8"/>
  <c r="M28" i="14"/>
  <c r="Y28" i="14" s="1"/>
  <c r="P28" i="14"/>
  <c r="L21" i="14"/>
  <c r="X21" i="14" s="1"/>
  <c r="L13" i="14"/>
  <c r="X13" i="14" s="1"/>
  <c r="N99" i="8"/>
  <c r="Z99" i="8" s="1"/>
  <c r="S96" i="8"/>
  <c r="R88" i="8"/>
  <c r="I87" i="8"/>
  <c r="K82" i="8"/>
  <c r="U75" i="8"/>
  <c r="P72" i="8"/>
  <c r="S69" i="8"/>
  <c r="L66" i="8"/>
  <c r="X66" i="8" s="1"/>
  <c r="O61" i="8"/>
  <c r="L57" i="8"/>
  <c r="N57" i="8"/>
  <c r="N53" i="8"/>
  <c r="J49" i="8"/>
  <c r="I36" i="8"/>
  <c r="N30" i="8"/>
  <c r="Z30" i="8" s="1"/>
  <c r="L29" i="8"/>
  <c r="O26" i="8"/>
  <c r="L14" i="8"/>
  <c r="X14" i="8" s="1"/>
  <c r="R8" i="8"/>
  <c r="N42" i="8"/>
  <c r="Z42" i="8" s="1"/>
  <c r="Q42" i="8"/>
  <c r="S42" i="8" s="1"/>
  <c r="J24" i="8"/>
  <c r="K24" i="8"/>
  <c r="N24" i="8"/>
  <c r="K95" i="18"/>
  <c r="W95" i="18" s="1"/>
  <c r="O95" i="18"/>
  <c r="I95" i="18"/>
  <c r="H95" i="18"/>
  <c r="J95" i="18"/>
  <c r="K93" i="18"/>
  <c r="O93" i="18"/>
  <c r="I93" i="18"/>
  <c r="U93" i="18" s="1"/>
  <c r="H93" i="18"/>
  <c r="J93" i="18"/>
  <c r="J91" i="18"/>
  <c r="O91" i="18"/>
  <c r="I91" i="18"/>
  <c r="U91" i="18" s="1"/>
  <c r="K91" i="18"/>
  <c r="H91" i="18"/>
  <c r="O75" i="18"/>
  <c r="I75" i="18"/>
  <c r="H75" i="18"/>
  <c r="K75" i="18"/>
  <c r="J75" i="18"/>
  <c r="V75" i="18" s="1"/>
  <c r="O73" i="18"/>
  <c r="I73" i="18"/>
  <c r="J73" i="18"/>
  <c r="H73" i="18"/>
  <c r="K73" i="18"/>
  <c r="H104" i="18"/>
  <c r="K104" i="18"/>
  <c r="O104" i="18"/>
  <c r="J104" i="18"/>
  <c r="I104" i="18"/>
  <c r="J72" i="18"/>
  <c r="O72" i="18"/>
  <c r="I72" i="18"/>
  <c r="K72" i="18"/>
  <c r="H72" i="18"/>
  <c r="O40" i="18"/>
  <c r="J40" i="18"/>
  <c r="I40" i="18"/>
  <c r="U40" i="18" s="1"/>
  <c r="K40" i="18"/>
  <c r="H40" i="18"/>
  <c r="O35" i="18"/>
  <c r="I35" i="18"/>
  <c r="H35" i="18"/>
  <c r="K35" i="18"/>
  <c r="W35" i="18" s="1"/>
  <c r="J35" i="18"/>
  <c r="M7" i="18"/>
  <c r="Y7" i="18" s="1"/>
  <c r="L7" i="18"/>
  <c r="X7" i="18" s="1"/>
  <c r="K23" i="14"/>
  <c r="O23" i="14"/>
  <c r="H23" i="14"/>
  <c r="L72" i="18"/>
  <c r="Q72" i="18"/>
  <c r="N72" i="18"/>
  <c r="M72" i="18"/>
  <c r="O69" i="18"/>
  <c r="I69" i="18"/>
  <c r="U69" i="18" s="1"/>
  <c r="J69" i="18"/>
  <c r="H69" i="18"/>
  <c r="K69" i="18"/>
  <c r="H66" i="18"/>
  <c r="J51" i="18"/>
  <c r="V51" i="18" s="1"/>
  <c r="O51" i="18"/>
  <c r="T51" i="18" s="1"/>
  <c r="I51" i="18"/>
  <c r="K51" i="18"/>
  <c r="H51" i="18"/>
  <c r="L38" i="18"/>
  <c r="Q38" i="18"/>
  <c r="R38" i="18" s="1"/>
  <c r="M38" i="18"/>
  <c r="N38" i="18"/>
  <c r="M35" i="18"/>
  <c r="L35" i="18"/>
  <c r="Q35" i="18"/>
  <c r="R35" i="18" s="1"/>
  <c r="N35" i="18"/>
  <c r="Z35" i="18" s="1"/>
  <c r="J32" i="18"/>
  <c r="O32" i="18"/>
  <c r="I32" i="18"/>
  <c r="K32" i="18"/>
  <c r="H32" i="18"/>
  <c r="K92" i="14"/>
  <c r="P83" i="14"/>
  <c r="N70" i="14"/>
  <c r="K66" i="14"/>
  <c r="W66" i="14" s="1"/>
  <c r="O66" i="14"/>
  <c r="S64" i="14"/>
  <c r="N89" i="8"/>
  <c r="Z89" i="8" s="1"/>
  <c r="O2" i="18"/>
  <c r="K2" i="18"/>
  <c r="J2" i="18"/>
  <c r="I2" i="18"/>
  <c r="H2" i="18"/>
  <c r="M88" i="18"/>
  <c r="L88" i="18"/>
  <c r="N88" i="18"/>
  <c r="Q88" i="18"/>
  <c r="R88" i="18" s="1"/>
  <c r="J85" i="18"/>
  <c r="O85" i="18"/>
  <c r="I85" i="18"/>
  <c r="U85" i="18" s="1"/>
  <c r="K85" i="18"/>
  <c r="H85" i="18"/>
  <c r="O84" i="18"/>
  <c r="I84" i="18"/>
  <c r="J84" i="18"/>
  <c r="H84" i="18"/>
  <c r="K84" i="18"/>
  <c r="M67" i="18"/>
  <c r="L63" i="18"/>
  <c r="Q63" i="18"/>
  <c r="R63" i="18" s="1"/>
  <c r="M63" i="18"/>
  <c r="N63" i="18"/>
  <c r="Z63" i="18" s="1"/>
  <c r="L51" i="18"/>
  <c r="X51" i="18" s="1"/>
  <c r="Q51" i="18"/>
  <c r="R51" i="18" s="1"/>
  <c r="N51" i="18"/>
  <c r="M51" i="18"/>
  <c r="M50" i="18"/>
  <c r="L50" i="18"/>
  <c r="Q50" i="18"/>
  <c r="R50" i="18" s="1"/>
  <c r="N50" i="18"/>
  <c r="J47" i="18"/>
  <c r="O47" i="18"/>
  <c r="I47" i="18"/>
  <c r="K47" i="18"/>
  <c r="H47" i="18"/>
  <c r="L34" i="18"/>
  <c r="Q34" i="18"/>
  <c r="M34" i="18"/>
  <c r="N34" i="18"/>
  <c r="M33" i="18"/>
  <c r="Y33" i="18" s="1"/>
  <c r="L33" i="18"/>
  <c r="X33" i="18" s="1"/>
  <c r="N33" i="18"/>
  <c r="Q33" i="18"/>
  <c r="R33" i="18" s="1"/>
  <c r="L32" i="18"/>
  <c r="Q32" i="18"/>
  <c r="R32" i="18" s="1"/>
  <c r="N32" i="18"/>
  <c r="M32" i="18"/>
  <c r="M31" i="18"/>
  <c r="L31" i="18"/>
  <c r="Q31" i="18"/>
  <c r="N31" i="18"/>
  <c r="J30" i="18"/>
  <c r="V30" i="18" s="1"/>
  <c r="O30" i="18"/>
  <c r="T30" i="18" s="1"/>
  <c r="I30" i="18"/>
  <c r="K30" i="18"/>
  <c r="H30" i="18"/>
  <c r="O29" i="18"/>
  <c r="I29" i="18"/>
  <c r="U29" i="18" s="1"/>
  <c r="J29" i="18"/>
  <c r="H29" i="18"/>
  <c r="K29" i="18"/>
  <c r="J28" i="18"/>
  <c r="O28" i="18"/>
  <c r="I28" i="18"/>
  <c r="U28" i="18" s="1"/>
  <c r="K28" i="18"/>
  <c r="W28" i="18" s="1"/>
  <c r="H28" i="18"/>
  <c r="P27" i="18"/>
  <c r="O27" i="18"/>
  <c r="I27" i="18"/>
  <c r="H27" i="18"/>
  <c r="T27" i="18" s="1"/>
  <c r="K27" i="18"/>
  <c r="W27" i="18" s="1"/>
  <c r="J27" i="18"/>
  <c r="J26" i="18"/>
  <c r="O26" i="18"/>
  <c r="I26" i="18"/>
  <c r="K26" i="18"/>
  <c r="W26" i="18" s="1"/>
  <c r="H26" i="18"/>
  <c r="O25" i="18"/>
  <c r="I25" i="18"/>
  <c r="J25" i="18"/>
  <c r="H25" i="18"/>
  <c r="K25" i="18"/>
  <c r="W25" i="18" s="1"/>
  <c r="M13" i="18"/>
  <c r="Y13" i="18" s="1"/>
  <c r="Q13" i="18"/>
  <c r="H6" i="18"/>
  <c r="I6" i="18"/>
  <c r="S5" i="18"/>
  <c r="K106" i="14"/>
  <c r="H105" i="14"/>
  <c r="J102" i="14"/>
  <c r="K102" i="14"/>
  <c r="W102" i="14" s="1"/>
  <c r="L96" i="14"/>
  <c r="I92" i="14"/>
  <c r="H88" i="14"/>
  <c r="R85" i="14"/>
  <c r="J66" i="14"/>
  <c r="Q66" i="14"/>
  <c r="S66" i="14" s="1"/>
  <c r="N66" i="14"/>
  <c r="R64" i="14"/>
  <c r="J56" i="14"/>
  <c r="K47" i="14"/>
  <c r="I23" i="14"/>
  <c r="H21" i="14"/>
  <c r="J21" i="14"/>
  <c r="V21" i="14" s="1"/>
  <c r="I20" i="14"/>
  <c r="J13" i="14"/>
  <c r="V13" i="14" s="1"/>
  <c r="P13" i="14"/>
  <c r="H13" i="14"/>
  <c r="H8" i="14"/>
  <c r="P5" i="14"/>
  <c r="K99" i="8"/>
  <c r="O99" i="8"/>
  <c r="H99" i="8"/>
  <c r="K95" i="8"/>
  <c r="W95" i="8" s="1"/>
  <c r="H95" i="8"/>
  <c r="L95" i="8"/>
  <c r="X95" i="8" s="1"/>
  <c r="M90" i="8"/>
  <c r="Y90" i="8" s="1"/>
  <c r="J68" i="8"/>
  <c r="I68" i="8"/>
  <c r="U68" i="8" s="1"/>
  <c r="K103" i="18"/>
  <c r="O103" i="18"/>
  <c r="I103" i="18"/>
  <c r="U103" i="18" s="1"/>
  <c r="H103" i="18"/>
  <c r="T103" i="18" s="1"/>
  <c r="J103" i="18"/>
  <c r="N93" i="18"/>
  <c r="Q93" i="18"/>
  <c r="R93" i="18" s="1"/>
  <c r="M93" i="18"/>
  <c r="L93" i="18"/>
  <c r="X93" i="18" s="1"/>
  <c r="P75" i="18"/>
  <c r="M75" i="18"/>
  <c r="L75" i="18"/>
  <c r="Q75" i="18"/>
  <c r="N75" i="18"/>
  <c r="N67" i="18"/>
  <c r="Z67" i="18" s="1"/>
  <c r="J66" i="18"/>
  <c r="V66" i="18" s="1"/>
  <c r="O39" i="18"/>
  <c r="I39" i="18"/>
  <c r="H39" i="18"/>
  <c r="K39" i="18"/>
  <c r="J39" i="18"/>
  <c r="V39" i="18" s="1"/>
  <c r="J36" i="18"/>
  <c r="V36" i="18" s="1"/>
  <c r="O36" i="18"/>
  <c r="I36" i="18"/>
  <c r="K36" i="18"/>
  <c r="H36" i="18"/>
  <c r="P95" i="14"/>
  <c r="Q95" i="14"/>
  <c r="R95" i="14" s="1"/>
  <c r="Q91" i="14"/>
  <c r="P91" i="14"/>
  <c r="N52" i="14"/>
  <c r="P52" i="14"/>
  <c r="Q52" i="14"/>
  <c r="R52" i="14" s="1"/>
  <c r="I89" i="8"/>
  <c r="U89" i="8" s="1"/>
  <c r="O89" i="8"/>
  <c r="H89" i="8"/>
  <c r="M78" i="8"/>
  <c r="L78" i="8"/>
  <c r="N104" i="18"/>
  <c r="Z104" i="18" s="1"/>
  <c r="L104" i="18"/>
  <c r="X104" i="18" s="1"/>
  <c r="M104" i="18"/>
  <c r="Y104" i="18" s="1"/>
  <c r="Q104" i="18"/>
  <c r="K101" i="18"/>
  <c r="O101" i="18"/>
  <c r="I101" i="18"/>
  <c r="U101" i="18" s="1"/>
  <c r="H101" i="18"/>
  <c r="J101" i="18"/>
  <c r="J70" i="18"/>
  <c r="O70" i="18"/>
  <c r="I70" i="18"/>
  <c r="K70" i="18"/>
  <c r="W70" i="18" s="1"/>
  <c r="H70" i="18"/>
  <c r="M52" i="18"/>
  <c r="L52" i="18"/>
  <c r="N52" i="18"/>
  <c r="Q52" i="18"/>
  <c r="J49" i="18"/>
  <c r="O49" i="18"/>
  <c r="I49" i="18"/>
  <c r="K49" i="18"/>
  <c r="H49" i="18"/>
  <c r="P39" i="18"/>
  <c r="M39" i="18"/>
  <c r="L39" i="18"/>
  <c r="Q39" i="18"/>
  <c r="R39" i="18" s="1"/>
  <c r="N39" i="18"/>
  <c r="L36" i="18"/>
  <c r="Q36" i="18"/>
  <c r="R36" i="18" s="1"/>
  <c r="N36" i="18"/>
  <c r="M36" i="18"/>
  <c r="Y36" i="18" s="1"/>
  <c r="O33" i="18"/>
  <c r="I33" i="18"/>
  <c r="J33" i="18"/>
  <c r="H33" i="18"/>
  <c r="K33" i="18"/>
  <c r="W33" i="18" s="1"/>
  <c r="Q8" i="18"/>
  <c r="S8" i="18" s="1"/>
  <c r="P8" i="18"/>
  <c r="J92" i="14"/>
  <c r="P88" i="14"/>
  <c r="H70" i="14"/>
  <c r="I70" i="14"/>
  <c r="L51" i="14"/>
  <c r="H38" i="14"/>
  <c r="J38" i="14"/>
  <c r="L35" i="14"/>
  <c r="J23" i="14"/>
  <c r="J19" i="14"/>
  <c r="V19" i="14" s="1"/>
  <c r="I8" i="14"/>
  <c r="P8" i="14"/>
  <c r="L8" i="14"/>
  <c r="X8" i="14" s="1"/>
  <c r="M8" i="14"/>
  <c r="Y8" i="14" s="1"/>
  <c r="N81" i="8"/>
  <c r="J81" i="8"/>
  <c r="V81" i="8" s="1"/>
  <c r="O81" i="8"/>
  <c r="H81" i="8"/>
  <c r="M81" i="8"/>
  <c r="Y81" i="8" s="1"/>
  <c r="M86" i="18"/>
  <c r="L86" i="18"/>
  <c r="Q86" i="18"/>
  <c r="R86" i="18" s="1"/>
  <c r="N86" i="18"/>
  <c r="O79" i="18"/>
  <c r="I79" i="18"/>
  <c r="H79" i="18"/>
  <c r="J79" i="18"/>
  <c r="K79" i="18"/>
  <c r="W79" i="18" s="1"/>
  <c r="P72" i="18"/>
  <c r="K64" i="18"/>
  <c r="J61" i="18"/>
  <c r="O61" i="18"/>
  <c r="I61" i="18"/>
  <c r="K61" i="18"/>
  <c r="H61" i="18"/>
  <c r="M48" i="18"/>
  <c r="L48" i="18"/>
  <c r="N48" i="18"/>
  <c r="Q48" i="18"/>
  <c r="R48" i="18" s="1"/>
  <c r="N100" i="18"/>
  <c r="Z100" i="18" s="1"/>
  <c r="L100" i="18"/>
  <c r="X100" i="18" s="1"/>
  <c r="M100" i="18"/>
  <c r="Q100" i="18"/>
  <c r="R100" i="18" s="1"/>
  <c r="H98" i="18"/>
  <c r="K98" i="18"/>
  <c r="I98" i="18"/>
  <c r="U98" i="18" s="1"/>
  <c r="J98" i="18"/>
  <c r="V98" i="18" s="1"/>
  <c r="O98" i="18"/>
  <c r="L85" i="18"/>
  <c r="Q85" i="18"/>
  <c r="R85" i="18" s="1"/>
  <c r="M85" i="18"/>
  <c r="N85" i="18"/>
  <c r="P84" i="18"/>
  <c r="M84" i="18"/>
  <c r="L84" i="18"/>
  <c r="N84" i="18"/>
  <c r="Q84" i="18"/>
  <c r="K82" i="18"/>
  <c r="P81" i="18"/>
  <c r="M79" i="18"/>
  <c r="L79" i="18"/>
  <c r="Q79" i="18"/>
  <c r="R79" i="18" s="1"/>
  <c r="N79" i="18"/>
  <c r="P79" i="18"/>
  <c r="T79" i="18" s="1"/>
  <c r="O77" i="18"/>
  <c r="I77" i="18"/>
  <c r="J77" i="18"/>
  <c r="H77" i="18"/>
  <c r="K77" i="18"/>
  <c r="L47" i="18"/>
  <c r="Q47" i="18"/>
  <c r="R47" i="18" s="1"/>
  <c r="M47" i="18"/>
  <c r="N47" i="18"/>
  <c r="J45" i="18"/>
  <c r="O45" i="18"/>
  <c r="I45" i="18"/>
  <c r="U45" i="18" s="1"/>
  <c r="K45" i="18"/>
  <c r="W45" i="18" s="1"/>
  <c r="H45" i="18"/>
  <c r="P34" i="18"/>
  <c r="L30" i="18"/>
  <c r="Q30" i="18"/>
  <c r="R30" i="18" s="1"/>
  <c r="M30" i="18"/>
  <c r="Y30" i="18" s="1"/>
  <c r="N30" i="18"/>
  <c r="Z30" i="18" s="1"/>
  <c r="M29" i="18"/>
  <c r="L29" i="18"/>
  <c r="N29" i="18"/>
  <c r="Q29" i="18"/>
  <c r="R29" i="18" s="1"/>
  <c r="P29" i="18"/>
  <c r="T29" i="18" s="1"/>
  <c r="P28" i="18"/>
  <c r="T28" i="18" s="1"/>
  <c r="L28" i="18"/>
  <c r="Q28" i="18"/>
  <c r="N28" i="18"/>
  <c r="M28" i="18"/>
  <c r="M27" i="18"/>
  <c r="L27" i="18"/>
  <c r="Q27" i="18"/>
  <c r="R27" i="18" s="1"/>
  <c r="N27" i="18"/>
  <c r="L26" i="18"/>
  <c r="Q26" i="18"/>
  <c r="R26" i="18" s="1"/>
  <c r="M26" i="18"/>
  <c r="Y26" i="18" s="1"/>
  <c r="N26" i="18"/>
  <c r="Z26" i="18" s="1"/>
  <c r="M25" i="18"/>
  <c r="L25" i="18"/>
  <c r="N25" i="18"/>
  <c r="Q25" i="18"/>
  <c r="R25" i="18" s="1"/>
  <c r="J24" i="18"/>
  <c r="O24" i="18"/>
  <c r="T24" i="18" s="1"/>
  <c r="I24" i="18"/>
  <c r="K24" i="18"/>
  <c r="H24" i="18"/>
  <c r="O23" i="18"/>
  <c r="I23" i="18"/>
  <c r="U23" i="18" s="1"/>
  <c r="H23" i="18"/>
  <c r="K23" i="18"/>
  <c r="J23" i="18"/>
  <c r="J22" i="18"/>
  <c r="O22" i="18"/>
  <c r="I22" i="18"/>
  <c r="K22" i="18"/>
  <c r="H22" i="18"/>
  <c r="P21" i="18"/>
  <c r="O21" i="18"/>
  <c r="I21" i="18"/>
  <c r="J21" i="18"/>
  <c r="H21" i="18"/>
  <c r="K21" i="18"/>
  <c r="J20" i="18"/>
  <c r="O20" i="18"/>
  <c r="I20" i="18"/>
  <c r="K20" i="18"/>
  <c r="W20" i="18" s="1"/>
  <c r="H20" i="18"/>
  <c r="O18" i="18"/>
  <c r="L16" i="18"/>
  <c r="Q16" i="18"/>
  <c r="R16" i="18" s="1"/>
  <c r="M16" i="18"/>
  <c r="N16" i="18"/>
  <c r="Z16" i="18" s="1"/>
  <c r="O15" i="18"/>
  <c r="I15" i="18"/>
  <c r="J15" i="18"/>
  <c r="H15" i="18"/>
  <c r="K15" i="18"/>
  <c r="L13" i="18"/>
  <c r="X13" i="18" s="1"/>
  <c r="Q7" i="18"/>
  <c r="S7" i="18" s="1"/>
  <c r="I106" i="14"/>
  <c r="M106" i="14"/>
  <c r="Y106" i="14" s="1"/>
  <c r="N106" i="14"/>
  <c r="Z106" i="14" s="1"/>
  <c r="K99" i="14"/>
  <c r="P97" i="14"/>
  <c r="M96" i="14"/>
  <c r="Y96" i="14" s="1"/>
  <c r="L94" i="14"/>
  <c r="P94" i="14"/>
  <c r="Q94" i="14"/>
  <c r="I93" i="14"/>
  <c r="J93" i="14"/>
  <c r="H92" i="14"/>
  <c r="L89" i="14"/>
  <c r="X89" i="14" s="1"/>
  <c r="H89" i="14"/>
  <c r="J89" i="14"/>
  <c r="V89" i="14" s="1"/>
  <c r="H84" i="14"/>
  <c r="I84" i="14"/>
  <c r="J84" i="14"/>
  <c r="J80" i="14"/>
  <c r="V80" i="14" s="1"/>
  <c r="K78" i="14"/>
  <c r="W78" i="14" s="1"/>
  <c r="H71" i="14"/>
  <c r="P71" i="14"/>
  <c r="K70" i="14"/>
  <c r="K67" i="14"/>
  <c r="H66" i="14"/>
  <c r="P61" i="14"/>
  <c r="J53" i="14"/>
  <c r="I48" i="14"/>
  <c r="U48" i="14" s="1"/>
  <c r="L48" i="14"/>
  <c r="P38" i="14"/>
  <c r="M34" i="14"/>
  <c r="P34" i="14"/>
  <c r="Q34" i="14"/>
  <c r="I30" i="14"/>
  <c r="U30" i="14" s="1"/>
  <c r="K30" i="14"/>
  <c r="W30" i="14" s="1"/>
  <c r="S28" i="14"/>
  <c r="N22" i="14"/>
  <c r="Z22" i="14" s="1"/>
  <c r="M22" i="14"/>
  <c r="Y22" i="14" s="1"/>
  <c r="Q22" i="14"/>
  <c r="R22" i="14" s="1"/>
  <c r="Q7" i="14"/>
  <c r="S7" i="14" s="1"/>
  <c r="M7" i="14"/>
  <c r="Y7" i="14" s="1"/>
  <c r="L7" i="14"/>
  <c r="X7" i="14" s="1"/>
  <c r="N7" i="14"/>
  <c r="Z7" i="14" s="1"/>
  <c r="P7" i="14"/>
  <c r="J101" i="8"/>
  <c r="V101" i="8" s="1"/>
  <c r="I101" i="8"/>
  <c r="S95" i="8"/>
  <c r="M91" i="8"/>
  <c r="P91" i="8"/>
  <c r="Q91" i="8"/>
  <c r="S91" i="8" s="1"/>
  <c r="L90" i="8"/>
  <c r="X90" i="8" s="1"/>
  <c r="J90" i="8"/>
  <c r="V90" i="8" s="1"/>
  <c r="L64" i="8"/>
  <c r="X64" i="8" s="1"/>
  <c r="O64" i="8"/>
  <c r="H64" i="8"/>
  <c r="N64" i="8"/>
  <c r="N96" i="18"/>
  <c r="L96" i="18"/>
  <c r="X96" i="18" s="1"/>
  <c r="M96" i="18"/>
  <c r="Q96" i="18"/>
  <c r="R96" i="18" s="1"/>
  <c r="H94" i="18"/>
  <c r="K94" i="18"/>
  <c r="I94" i="18"/>
  <c r="U94" i="18" s="1"/>
  <c r="O94" i="18"/>
  <c r="J94" i="18"/>
  <c r="H92" i="18"/>
  <c r="K92" i="18"/>
  <c r="O92" i="18"/>
  <c r="I92" i="18"/>
  <c r="J92" i="18"/>
  <c r="V92" i="18" s="1"/>
  <c r="J76" i="18"/>
  <c r="O76" i="18"/>
  <c r="I76" i="18"/>
  <c r="K76" i="18"/>
  <c r="H76" i="18"/>
  <c r="J74" i="18"/>
  <c r="V74" i="18" s="1"/>
  <c r="O74" i="18"/>
  <c r="I74" i="18"/>
  <c r="K74" i="18"/>
  <c r="H74" i="18"/>
  <c r="K105" i="18"/>
  <c r="W105" i="18" s="1"/>
  <c r="O105" i="18"/>
  <c r="T105" i="18" s="1"/>
  <c r="I105" i="18"/>
  <c r="H105" i="18"/>
  <c r="J105" i="18"/>
  <c r="P96" i="18"/>
  <c r="N95" i="18"/>
  <c r="Z95" i="18" s="1"/>
  <c r="Q95" i="18"/>
  <c r="Y95" i="18" s="1"/>
  <c r="L95" i="18"/>
  <c r="M95" i="18"/>
  <c r="N94" i="18"/>
  <c r="L94" i="18"/>
  <c r="M94" i="18"/>
  <c r="Q94" i="18"/>
  <c r="R94" i="18" s="1"/>
  <c r="P94" i="18"/>
  <c r="N92" i="18"/>
  <c r="L92" i="18"/>
  <c r="M92" i="18"/>
  <c r="Q92" i="18"/>
  <c r="Z92" i="18" s="1"/>
  <c r="L91" i="18"/>
  <c r="X91" i="18" s="1"/>
  <c r="Q91" i="18"/>
  <c r="R91" i="18" s="1"/>
  <c r="M91" i="18"/>
  <c r="N91" i="18"/>
  <c r="L76" i="18"/>
  <c r="Q76" i="18"/>
  <c r="R76" i="18" s="1"/>
  <c r="M76" i="18"/>
  <c r="Y76" i="18" s="1"/>
  <c r="N76" i="18"/>
  <c r="L74" i="18"/>
  <c r="Q74" i="18"/>
  <c r="R74" i="18" s="1"/>
  <c r="M74" i="18"/>
  <c r="N74" i="18"/>
  <c r="M73" i="18"/>
  <c r="L73" i="18"/>
  <c r="N73" i="18"/>
  <c r="Q73" i="18"/>
  <c r="R73" i="18" s="1"/>
  <c r="O71" i="18"/>
  <c r="I71" i="18"/>
  <c r="H71" i="18"/>
  <c r="J71" i="18"/>
  <c r="K71" i="18"/>
  <c r="R64" i="18"/>
  <c r="L41" i="18"/>
  <c r="Q41" i="18"/>
  <c r="R41" i="18" s="1"/>
  <c r="M41" i="18"/>
  <c r="N41" i="18"/>
  <c r="J38" i="18"/>
  <c r="O38" i="18"/>
  <c r="I38" i="18"/>
  <c r="K38" i="18"/>
  <c r="W38" i="18" s="1"/>
  <c r="H38" i="18"/>
  <c r="O37" i="18"/>
  <c r="I37" i="18"/>
  <c r="J37" i="18"/>
  <c r="H37" i="18"/>
  <c r="K37" i="18"/>
  <c r="K105" i="14"/>
  <c r="O105" i="14"/>
  <c r="L86" i="14"/>
  <c r="P86" i="14"/>
  <c r="P77" i="14"/>
  <c r="L52" i="14"/>
  <c r="H47" i="14"/>
  <c r="P47" i="14"/>
  <c r="I47" i="14"/>
  <c r="J47" i="14"/>
  <c r="Q35" i="14"/>
  <c r="S35" i="14" s="1"/>
  <c r="K8" i="14"/>
  <c r="Q2" i="18"/>
  <c r="S2" i="18" s="1"/>
  <c r="N2" i="18"/>
  <c r="M2" i="18"/>
  <c r="L2" i="18"/>
  <c r="N105" i="18"/>
  <c r="Z105" i="18" s="1"/>
  <c r="Q105" i="18"/>
  <c r="R105" i="18" s="1"/>
  <c r="L105" i="18"/>
  <c r="X105" i="18" s="1"/>
  <c r="M105" i="18"/>
  <c r="Y105" i="18" s="1"/>
  <c r="P103" i="18"/>
  <c r="N103" i="18"/>
  <c r="Q103" i="18"/>
  <c r="R103" i="18" s="1"/>
  <c r="L103" i="18"/>
  <c r="X103" i="18" s="1"/>
  <c r="M103" i="18"/>
  <c r="Y103" i="18" s="1"/>
  <c r="H102" i="18"/>
  <c r="K102" i="18"/>
  <c r="I102" i="18"/>
  <c r="O102" i="18"/>
  <c r="J102" i="18"/>
  <c r="V102" i="18" s="1"/>
  <c r="P95" i="18"/>
  <c r="M71" i="18"/>
  <c r="L71" i="18"/>
  <c r="Q71" i="18"/>
  <c r="R71" i="18" s="1"/>
  <c r="N71" i="18"/>
  <c r="O50" i="18"/>
  <c r="I50" i="18"/>
  <c r="H50" i="18"/>
  <c r="J50" i="18"/>
  <c r="K50" i="18"/>
  <c r="O48" i="18"/>
  <c r="I48" i="18"/>
  <c r="U48" i="18" s="1"/>
  <c r="J48" i="18"/>
  <c r="V48" i="18" s="1"/>
  <c r="H48" i="18"/>
  <c r="K48" i="18"/>
  <c r="M40" i="18"/>
  <c r="L40" i="18"/>
  <c r="N40" i="18"/>
  <c r="Z40" i="18" s="1"/>
  <c r="Q40" i="18"/>
  <c r="R40" i="18" s="1"/>
  <c r="M37" i="18"/>
  <c r="L37" i="18"/>
  <c r="N37" i="18"/>
  <c r="Q37" i="18"/>
  <c r="J34" i="18"/>
  <c r="O34" i="18"/>
  <c r="T34" i="18" s="1"/>
  <c r="I34" i="18"/>
  <c r="K34" i="18"/>
  <c r="H34" i="18"/>
  <c r="O31" i="18"/>
  <c r="I31" i="18"/>
  <c r="H31" i="18"/>
  <c r="K31" i="18"/>
  <c r="J31" i="18"/>
  <c r="S102" i="14"/>
  <c r="I87" i="14"/>
  <c r="I59" i="14"/>
  <c r="J59" i="14"/>
  <c r="K56" i="14"/>
  <c r="H56" i="14"/>
  <c r="I32" i="14"/>
  <c r="P23" i="14"/>
  <c r="Q90" i="18"/>
  <c r="P87" i="18"/>
  <c r="L87" i="18"/>
  <c r="Q87" i="18"/>
  <c r="M87" i="18"/>
  <c r="N87" i="18"/>
  <c r="L81" i="18"/>
  <c r="J80" i="18"/>
  <c r="O80" i="18"/>
  <c r="I80" i="18"/>
  <c r="K80" i="18"/>
  <c r="H80" i="18"/>
  <c r="L70" i="18"/>
  <c r="Q70" i="18"/>
  <c r="R70" i="18" s="1"/>
  <c r="M70" i="18"/>
  <c r="N70" i="18"/>
  <c r="M69" i="18"/>
  <c r="L69" i="18"/>
  <c r="X69" i="18" s="1"/>
  <c r="N69" i="18"/>
  <c r="Q69" i="18"/>
  <c r="P62" i="18"/>
  <c r="M62" i="18"/>
  <c r="L62" i="18"/>
  <c r="X62" i="18" s="1"/>
  <c r="Q62" i="18"/>
  <c r="R62" i="18" s="1"/>
  <c r="N62" i="18"/>
  <c r="L49" i="18"/>
  <c r="Q49" i="18"/>
  <c r="M49" i="18"/>
  <c r="N49" i="18"/>
  <c r="N99" i="18"/>
  <c r="Z99" i="18" s="1"/>
  <c r="Q99" i="18"/>
  <c r="R99" i="18" s="1"/>
  <c r="L99" i="18"/>
  <c r="X99" i="18" s="1"/>
  <c r="M99" i="18"/>
  <c r="K97" i="18"/>
  <c r="O97" i="18"/>
  <c r="I97" i="18"/>
  <c r="U97" i="18" s="1"/>
  <c r="H97" i="18"/>
  <c r="J97" i="18"/>
  <c r="P90" i="18"/>
  <c r="S82" i="18"/>
  <c r="K81" i="18"/>
  <c r="W81" i="18" s="1"/>
  <c r="L80" i="18"/>
  <c r="X80" i="18" s="1"/>
  <c r="Q80" i="18"/>
  <c r="R80" i="18" s="1"/>
  <c r="N80" i="18"/>
  <c r="M80" i="18"/>
  <c r="J78" i="18"/>
  <c r="O78" i="18"/>
  <c r="I78" i="18"/>
  <c r="U78" i="18" s="1"/>
  <c r="K78" i="18"/>
  <c r="H78" i="18"/>
  <c r="P70" i="18"/>
  <c r="P66" i="18"/>
  <c r="K65" i="18"/>
  <c r="W65" i="18" s="1"/>
  <c r="L61" i="18"/>
  <c r="X61" i="18" s="1"/>
  <c r="Q61" i="18"/>
  <c r="U61" i="18" s="1"/>
  <c r="M61" i="18"/>
  <c r="N61" i="18"/>
  <c r="O60" i="18"/>
  <c r="I60" i="18"/>
  <c r="U60" i="18" s="1"/>
  <c r="J60" i="18"/>
  <c r="V60" i="18" s="1"/>
  <c r="H60" i="18"/>
  <c r="K60" i="18"/>
  <c r="P51" i="18"/>
  <c r="O46" i="18"/>
  <c r="I46" i="18"/>
  <c r="H46" i="18"/>
  <c r="K46" i="18"/>
  <c r="J46" i="18"/>
  <c r="O44" i="18"/>
  <c r="I44" i="18"/>
  <c r="J44" i="18"/>
  <c r="V44" i="18" s="1"/>
  <c r="H44" i="18"/>
  <c r="K44" i="18"/>
  <c r="N106" i="18"/>
  <c r="L106" i="18"/>
  <c r="M106" i="18"/>
  <c r="Q106" i="18"/>
  <c r="N98" i="18"/>
  <c r="Z98" i="18" s="1"/>
  <c r="L98" i="18"/>
  <c r="X98" i="18" s="1"/>
  <c r="M98" i="18"/>
  <c r="Y98" i="18" s="1"/>
  <c r="Q98" i="18"/>
  <c r="P97" i="18"/>
  <c r="N97" i="18"/>
  <c r="Z97" i="18" s="1"/>
  <c r="Q97" i="18"/>
  <c r="R97" i="18" s="1"/>
  <c r="L97" i="18"/>
  <c r="X97" i="18" s="1"/>
  <c r="M97" i="18"/>
  <c r="H96" i="18"/>
  <c r="K96" i="18"/>
  <c r="O96" i="18"/>
  <c r="T96" i="18" s="1"/>
  <c r="J96" i="18"/>
  <c r="I96" i="18"/>
  <c r="U96" i="18" s="1"/>
  <c r="K90" i="18"/>
  <c r="W90" i="18" s="1"/>
  <c r="P85" i="18"/>
  <c r="P83" i="18"/>
  <c r="H81" i="18"/>
  <c r="T81" i="18" s="1"/>
  <c r="O66" i="18"/>
  <c r="I65" i="18"/>
  <c r="Q65" i="18"/>
  <c r="P65" i="18"/>
  <c r="P61" i="18"/>
  <c r="M60" i="18"/>
  <c r="Y60" i="18" s="1"/>
  <c r="L60" i="18"/>
  <c r="X60" i="18" s="1"/>
  <c r="N60" i="18"/>
  <c r="Q60" i="18"/>
  <c r="R60" i="18" s="1"/>
  <c r="J59" i="18"/>
  <c r="O59" i="18"/>
  <c r="I59" i="18"/>
  <c r="K59" i="18"/>
  <c r="W59" i="18" s="1"/>
  <c r="H59" i="18"/>
  <c r="O58" i="18"/>
  <c r="I58" i="18"/>
  <c r="H58" i="18"/>
  <c r="J58" i="18"/>
  <c r="K58" i="18"/>
  <c r="W58" i="18" s="1"/>
  <c r="J57" i="18"/>
  <c r="O57" i="18"/>
  <c r="I57" i="18"/>
  <c r="K57" i="18"/>
  <c r="H57" i="18"/>
  <c r="O56" i="18"/>
  <c r="T56" i="18" s="1"/>
  <c r="I56" i="18"/>
  <c r="J56" i="18"/>
  <c r="H56" i="18"/>
  <c r="K56" i="18"/>
  <c r="J55" i="18"/>
  <c r="O55" i="18"/>
  <c r="I55" i="18"/>
  <c r="K55" i="18"/>
  <c r="H55" i="18"/>
  <c r="O54" i="18"/>
  <c r="I54" i="18"/>
  <c r="H54" i="18"/>
  <c r="K54" i="18"/>
  <c r="J54" i="18"/>
  <c r="P47" i="18"/>
  <c r="M46" i="18"/>
  <c r="L46" i="18"/>
  <c r="X46" i="18" s="1"/>
  <c r="Q46" i="18"/>
  <c r="Y46" i="18" s="1"/>
  <c r="N46" i="18"/>
  <c r="L45" i="18"/>
  <c r="Q45" i="18"/>
  <c r="R45" i="18" s="1"/>
  <c r="M45" i="18"/>
  <c r="N45" i="18"/>
  <c r="Z45" i="18" s="1"/>
  <c r="P45" i="18"/>
  <c r="T45" i="18" s="1"/>
  <c r="M44" i="18"/>
  <c r="L44" i="18"/>
  <c r="N44" i="18"/>
  <c r="Q44" i="18"/>
  <c r="R44" i="18" s="1"/>
  <c r="J43" i="18"/>
  <c r="O43" i="18"/>
  <c r="I43" i="18"/>
  <c r="K43" i="18"/>
  <c r="H43" i="18"/>
  <c r="N43" i="18"/>
  <c r="M43" i="18"/>
  <c r="O42" i="18"/>
  <c r="I42" i="18"/>
  <c r="H42" i="18"/>
  <c r="J42" i="18"/>
  <c r="K42" i="18"/>
  <c r="P30" i="18"/>
  <c r="M15" i="18"/>
  <c r="Y15" i="18" s="1"/>
  <c r="L15" i="18"/>
  <c r="X15" i="18" s="1"/>
  <c r="N15" i="18"/>
  <c r="Q15" i="18"/>
  <c r="R15" i="18" s="1"/>
  <c r="H11" i="18"/>
  <c r="O11" i="18"/>
  <c r="K11" i="18"/>
  <c r="W11" i="18" s="1"/>
  <c r="H10" i="18"/>
  <c r="O10" i="18"/>
  <c r="K9" i="18"/>
  <c r="J9" i="18"/>
  <c r="H9" i="18"/>
  <c r="I9" i="18"/>
  <c r="U9" i="18" s="1"/>
  <c r="O9" i="18"/>
  <c r="P7" i="18"/>
  <c r="K6" i="18"/>
  <c r="J4" i="18"/>
  <c r="H4" i="18"/>
  <c r="I4" i="18"/>
  <c r="O4" i="18"/>
  <c r="K4" i="18"/>
  <c r="K3" i="18"/>
  <c r="J3" i="18"/>
  <c r="O3" i="18"/>
  <c r="I3" i="18"/>
  <c r="H3" i="18"/>
  <c r="H106" i="14"/>
  <c r="P104" i="14"/>
  <c r="Q104" i="14"/>
  <c r="S104" i="14" s="1"/>
  <c r="H103" i="14"/>
  <c r="K103" i="14"/>
  <c r="O103" i="14"/>
  <c r="J99" i="14"/>
  <c r="N95" i="14"/>
  <c r="H94" i="14"/>
  <c r="N91" i="14"/>
  <c r="M89" i="14"/>
  <c r="Y89" i="14" s="1"/>
  <c r="S89" i="14"/>
  <c r="N86" i="14"/>
  <c r="O84" i="14"/>
  <c r="R78" i="14"/>
  <c r="O69" i="14"/>
  <c r="O61" i="14"/>
  <c r="K57" i="14"/>
  <c r="W57" i="14" s="1"/>
  <c r="K55" i="14"/>
  <c r="O55" i="14"/>
  <c r="H55" i="14"/>
  <c r="I55" i="14"/>
  <c r="I53" i="14"/>
  <c r="R48" i="14"/>
  <c r="P40" i="14"/>
  <c r="Q40" i="14"/>
  <c r="Z40" i="14" s="1"/>
  <c r="M35" i="14"/>
  <c r="K24" i="14"/>
  <c r="K21" i="14"/>
  <c r="W21" i="14" s="1"/>
  <c r="H18" i="14"/>
  <c r="I18" i="14"/>
  <c r="U18" i="14" s="1"/>
  <c r="J14" i="14"/>
  <c r="V14" i="14" s="1"/>
  <c r="N9" i="14"/>
  <c r="Z9" i="14" s="1"/>
  <c r="Q9" i="14"/>
  <c r="J6" i="14"/>
  <c r="K6" i="14"/>
  <c r="I6" i="14"/>
  <c r="J5" i="14"/>
  <c r="S101" i="8"/>
  <c r="O95" i="8"/>
  <c r="L91" i="8"/>
  <c r="L59" i="18"/>
  <c r="Q59" i="18"/>
  <c r="R59" i="18" s="1"/>
  <c r="N59" i="18"/>
  <c r="M59" i="18"/>
  <c r="M58" i="18"/>
  <c r="L58" i="18"/>
  <c r="Q58" i="18"/>
  <c r="N58" i="18"/>
  <c r="L57" i="18"/>
  <c r="Q57" i="18"/>
  <c r="R57" i="18" s="1"/>
  <c r="M57" i="18"/>
  <c r="N57" i="18"/>
  <c r="P56" i="18"/>
  <c r="M56" i="18"/>
  <c r="L56" i="18"/>
  <c r="X56" i="18" s="1"/>
  <c r="N56" i="18"/>
  <c r="Q56" i="18"/>
  <c r="L55" i="18"/>
  <c r="Q55" i="18"/>
  <c r="M55" i="18"/>
  <c r="N55" i="18"/>
  <c r="P55" i="18"/>
  <c r="M54" i="18"/>
  <c r="L54" i="18"/>
  <c r="Q54" i="18"/>
  <c r="R54" i="18" s="1"/>
  <c r="N54" i="18"/>
  <c r="Z54" i="18" s="1"/>
  <c r="J53" i="18"/>
  <c r="O53" i="18"/>
  <c r="I53" i="18"/>
  <c r="K53" i="18"/>
  <c r="H53" i="18"/>
  <c r="M19" i="18"/>
  <c r="Y19" i="18" s="1"/>
  <c r="L19" i="18"/>
  <c r="X19" i="18" s="1"/>
  <c r="Q19" i="18"/>
  <c r="N19" i="18"/>
  <c r="Z19" i="18" s="1"/>
  <c r="R17" i="18"/>
  <c r="L11" i="18"/>
  <c r="X11" i="18" s="1"/>
  <c r="Q11" i="18"/>
  <c r="R11" i="18" s="1"/>
  <c r="N11" i="18"/>
  <c r="Z11" i="18" s="1"/>
  <c r="M11" i="18"/>
  <c r="Y11" i="18" s="1"/>
  <c r="P10" i="18"/>
  <c r="M10" i="18"/>
  <c r="Y10" i="18" s="1"/>
  <c r="Q10" i="18"/>
  <c r="N10" i="18"/>
  <c r="Z10" i="18" s="1"/>
  <c r="L10" i="18"/>
  <c r="X10" i="18" s="1"/>
  <c r="M9" i="18"/>
  <c r="Q9" i="18"/>
  <c r="R9" i="18" s="1"/>
  <c r="L9" i="18"/>
  <c r="X9" i="18" s="1"/>
  <c r="N9" i="18"/>
  <c r="N7" i="18"/>
  <c r="Z7" i="18" s="1"/>
  <c r="P4" i="18"/>
  <c r="Q4" i="18"/>
  <c r="S4" i="18" s="1"/>
  <c r="N4" i="18"/>
  <c r="Z4" i="18" s="1"/>
  <c r="M4" i="18"/>
  <c r="Y4" i="18" s="1"/>
  <c r="L4" i="18"/>
  <c r="P3" i="18"/>
  <c r="M3" i="18"/>
  <c r="Q3" i="18"/>
  <c r="S3" i="18" s="1"/>
  <c r="N3" i="18"/>
  <c r="Z3" i="18" s="1"/>
  <c r="L3" i="18"/>
  <c r="X3" i="18" s="1"/>
  <c r="M105" i="14"/>
  <c r="Y105" i="14" s="1"/>
  <c r="K100" i="14"/>
  <c r="H100" i="14"/>
  <c r="I100" i="14"/>
  <c r="L91" i="14"/>
  <c r="I90" i="14"/>
  <c r="U90" i="14" s="1"/>
  <c r="K90" i="14"/>
  <c r="W90" i="14" s="1"/>
  <c r="M86" i="14"/>
  <c r="K86" i="14"/>
  <c r="O86" i="14"/>
  <c r="H86" i="14"/>
  <c r="M82" i="14"/>
  <c r="N82" i="14"/>
  <c r="K75" i="14"/>
  <c r="H75" i="14"/>
  <c r="I75" i="14"/>
  <c r="I68" i="14"/>
  <c r="U68" i="14" s="1"/>
  <c r="J68" i="14"/>
  <c r="V68" i="14" s="1"/>
  <c r="M52" i="14"/>
  <c r="Y52" i="14" s="1"/>
  <c r="M41" i="14"/>
  <c r="Y41" i="14" s="1"/>
  <c r="I14" i="14"/>
  <c r="H14" i="14"/>
  <c r="K14" i="14"/>
  <c r="W14" i="14" s="1"/>
  <c r="K105" i="8"/>
  <c r="I105" i="8"/>
  <c r="P105" i="8"/>
  <c r="H105" i="8"/>
  <c r="H97" i="8"/>
  <c r="I97" i="8"/>
  <c r="U97" i="8" s="1"/>
  <c r="J97" i="8"/>
  <c r="V97" i="8" s="1"/>
  <c r="K83" i="8"/>
  <c r="P83" i="8"/>
  <c r="J77" i="8"/>
  <c r="K77" i="8"/>
  <c r="W77" i="8" s="1"/>
  <c r="O6" i="8"/>
  <c r="H6" i="8"/>
  <c r="N3" i="8"/>
  <c r="Z3" i="8" s="1"/>
  <c r="L3" i="8"/>
  <c r="X3" i="8" s="1"/>
  <c r="K73" i="8"/>
  <c r="P63" i="8"/>
  <c r="H63" i="8"/>
  <c r="J63" i="8"/>
  <c r="J56" i="8"/>
  <c r="K56" i="8"/>
  <c r="I50" i="8"/>
  <c r="P33" i="8"/>
  <c r="H33" i="8"/>
  <c r="L33" i="8"/>
  <c r="I24" i="8"/>
  <c r="O21" i="8"/>
  <c r="H21" i="8"/>
  <c r="H106" i="18"/>
  <c r="K106" i="18"/>
  <c r="I106" i="18"/>
  <c r="J106" i="18"/>
  <c r="N102" i="18"/>
  <c r="L102" i="18"/>
  <c r="M102" i="18"/>
  <c r="Y102" i="18" s="1"/>
  <c r="X101" i="18"/>
  <c r="N101" i="18"/>
  <c r="Z101" i="18" s="1"/>
  <c r="Q101" i="18"/>
  <c r="R101" i="18" s="1"/>
  <c r="H100" i="18"/>
  <c r="K100" i="18"/>
  <c r="W100" i="18" s="1"/>
  <c r="O100" i="18"/>
  <c r="I100" i="18"/>
  <c r="K99" i="18"/>
  <c r="O99" i="18"/>
  <c r="I99" i="18"/>
  <c r="H99" i="18"/>
  <c r="J99" i="18"/>
  <c r="O88" i="18"/>
  <c r="I88" i="18"/>
  <c r="J88" i="18"/>
  <c r="H88" i="18"/>
  <c r="K88" i="18"/>
  <c r="W88" i="18" s="1"/>
  <c r="J87" i="18"/>
  <c r="O87" i="18"/>
  <c r="I87" i="18"/>
  <c r="K87" i="18"/>
  <c r="H87" i="18"/>
  <c r="O86" i="18"/>
  <c r="I86" i="18"/>
  <c r="H86" i="18"/>
  <c r="L78" i="18"/>
  <c r="Q78" i="18"/>
  <c r="R78" i="18" s="1"/>
  <c r="M78" i="18"/>
  <c r="N78" i="18"/>
  <c r="Z78" i="18" s="1"/>
  <c r="M77" i="18"/>
  <c r="L77" i="18"/>
  <c r="N77" i="18"/>
  <c r="J68" i="18"/>
  <c r="J63" i="18"/>
  <c r="V63" i="18" s="1"/>
  <c r="O63" i="18"/>
  <c r="I63" i="18"/>
  <c r="K63" i="18"/>
  <c r="H63" i="18"/>
  <c r="O62" i="18"/>
  <c r="I62" i="18"/>
  <c r="H62" i="18"/>
  <c r="T62" i="18" s="1"/>
  <c r="L53" i="18"/>
  <c r="Q53" i="18"/>
  <c r="R53" i="18" s="1"/>
  <c r="M53" i="18"/>
  <c r="N53" i="18"/>
  <c r="O52" i="18"/>
  <c r="I52" i="18"/>
  <c r="U52" i="18" s="1"/>
  <c r="J52" i="18"/>
  <c r="H52" i="18"/>
  <c r="K52" i="18"/>
  <c r="L43" i="18"/>
  <c r="Q43" i="18"/>
  <c r="T43" i="18" s="1"/>
  <c r="M42" i="18"/>
  <c r="Y42" i="18" s="1"/>
  <c r="L42" i="18"/>
  <c r="Q42" i="18"/>
  <c r="R42" i="18" s="1"/>
  <c r="N42" i="18"/>
  <c r="J41" i="18"/>
  <c r="O41" i="18"/>
  <c r="I41" i="18"/>
  <c r="U41" i="18" s="1"/>
  <c r="K41" i="18"/>
  <c r="L24" i="18"/>
  <c r="Q24" i="18"/>
  <c r="R24" i="18" s="1"/>
  <c r="M23" i="18"/>
  <c r="L23" i="18"/>
  <c r="Q23" i="18"/>
  <c r="R23" i="18" s="1"/>
  <c r="N23" i="18"/>
  <c r="L22" i="18"/>
  <c r="Q22" i="18"/>
  <c r="M22" i="18"/>
  <c r="Y22" i="18" s="1"/>
  <c r="M21" i="18"/>
  <c r="L21" i="18"/>
  <c r="X21" i="18" s="1"/>
  <c r="N21" i="18"/>
  <c r="Z21" i="18" s="1"/>
  <c r="L20" i="18"/>
  <c r="Q20" i="18"/>
  <c r="R20" i="18" s="1"/>
  <c r="O19" i="18"/>
  <c r="I19" i="18"/>
  <c r="U19" i="18" s="1"/>
  <c r="H19" i="18"/>
  <c r="J16" i="18"/>
  <c r="O16" i="18"/>
  <c r="I16" i="18"/>
  <c r="K16" i="18"/>
  <c r="J8" i="18"/>
  <c r="V8" i="18" s="1"/>
  <c r="P101" i="14"/>
  <c r="J98" i="14"/>
  <c r="L93" i="14"/>
  <c r="R88" i="14"/>
  <c r="K81" i="14"/>
  <c r="M77" i="14"/>
  <c r="Y77" i="14" s="1"/>
  <c r="L65" i="14"/>
  <c r="X65" i="14" s="1"/>
  <c r="L58" i="14"/>
  <c r="M44" i="14"/>
  <c r="L36" i="14"/>
  <c r="M25" i="14"/>
  <c r="I17" i="14"/>
  <c r="U17" i="14" s="1"/>
  <c r="P15" i="14"/>
  <c r="Q4" i="14"/>
  <c r="W4" i="14" s="1"/>
  <c r="N3" i="14"/>
  <c r="Z3" i="14" s="1"/>
  <c r="K106" i="8"/>
  <c r="O106" i="8"/>
  <c r="N97" i="8"/>
  <c r="Z97" i="8" s="1"/>
  <c r="M97" i="8"/>
  <c r="Y97" i="8" s="1"/>
  <c r="S92" i="8"/>
  <c r="K92" i="8"/>
  <c r="W92" i="8" s="1"/>
  <c r="H92" i="8"/>
  <c r="S90" i="8"/>
  <c r="Q84" i="8"/>
  <c r="R77" i="8"/>
  <c r="L77" i="8"/>
  <c r="M75" i="8"/>
  <c r="Y75" i="8" s="1"/>
  <c r="K75" i="8"/>
  <c r="O75" i="8"/>
  <c r="H75" i="8"/>
  <c r="N73" i="8"/>
  <c r="S70" i="8"/>
  <c r="M68" i="8"/>
  <c r="Y68" i="8" s="1"/>
  <c r="Q68" i="8"/>
  <c r="J67" i="8"/>
  <c r="J66" i="8"/>
  <c r="M60" i="8"/>
  <c r="P60" i="8"/>
  <c r="M56" i="8"/>
  <c r="N56" i="8"/>
  <c r="Z56" i="8" s="1"/>
  <c r="H47" i="8"/>
  <c r="I47" i="8"/>
  <c r="O44" i="8"/>
  <c r="H44" i="8"/>
  <c r="J37" i="8"/>
  <c r="V37" i="8" s="1"/>
  <c r="N37" i="8"/>
  <c r="K25" i="8"/>
  <c r="W25" i="8" s="1"/>
  <c r="M25" i="8"/>
  <c r="K15" i="8"/>
  <c r="L15" i="8"/>
  <c r="X15" i="8" s="1"/>
  <c r="N15" i="8"/>
  <c r="Z15" i="8" s="1"/>
  <c r="Q15" i="8"/>
  <c r="S15" i="8" s="1"/>
  <c r="Q10" i="8"/>
  <c r="V10" i="8" s="1"/>
  <c r="L10" i="8"/>
  <c r="X10" i="8" s="1"/>
  <c r="I6" i="8"/>
  <c r="Q102" i="18"/>
  <c r="R102" i="18" s="1"/>
  <c r="M94" i="14"/>
  <c r="Y94" i="14" s="1"/>
  <c r="M83" i="14"/>
  <c r="Y83" i="14" s="1"/>
  <c r="J82" i="14"/>
  <c r="I81" i="14"/>
  <c r="K76" i="14"/>
  <c r="J64" i="14"/>
  <c r="J58" i="14"/>
  <c r="P57" i="14"/>
  <c r="T57" i="14" s="1"/>
  <c r="N49" i="14"/>
  <c r="K44" i="14"/>
  <c r="J39" i="14"/>
  <c r="J33" i="14"/>
  <c r="K31" i="14"/>
  <c r="J30" i="14"/>
  <c r="V30" i="14" s="1"/>
  <c r="K26" i="14"/>
  <c r="L25" i="14"/>
  <c r="K25" i="14"/>
  <c r="P20" i="14"/>
  <c r="R19" i="14"/>
  <c r="N15" i="14"/>
  <c r="Z15" i="14" s="1"/>
  <c r="M10" i="14"/>
  <c r="Y10" i="14" s="1"/>
  <c r="P4" i="14"/>
  <c r="M3" i="14"/>
  <c r="Y3" i="14" s="1"/>
  <c r="I3" i="14"/>
  <c r="U3" i="14" s="1"/>
  <c r="H3" i="14"/>
  <c r="I109" i="8"/>
  <c r="U109" i="8" s="1"/>
  <c r="P109" i="8"/>
  <c r="S104" i="8"/>
  <c r="H98" i="8"/>
  <c r="I98" i="8"/>
  <c r="O92" i="8"/>
  <c r="J87" i="8"/>
  <c r="P84" i="8"/>
  <c r="O82" i="8"/>
  <c r="R80" i="8"/>
  <c r="M80" i="8"/>
  <c r="J75" i="8"/>
  <c r="V75" i="8" s="1"/>
  <c r="S75" i="8"/>
  <c r="H73" i="8"/>
  <c r="I70" i="8"/>
  <c r="U70" i="8" s="1"/>
  <c r="N70" i="8"/>
  <c r="Z70" i="8" s="1"/>
  <c r="L67" i="8"/>
  <c r="X67" i="8" s="1"/>
  <c r="N63" i="8"/>
  <c r="H62" i="8"/>
  <c r="K62" i="8"/>
  <c r="J60" i="8"/>
  <c r="L56" i="8"/>
  <c r="O55" i="8"/>
  <c r="L55" i="8"/>
  <c r="X55" i="8" s="1"/>
  <c r="R52" i="8"/>
  <c r="P47" i="8"/>
  <c r="M44" i="8"/>
  <c r="N39" i="8"/>
  <c r="K39" i="8"/>
  <c r="W39" i="8" s="1"/>
  <c r="L37" i="8"/>
  <c r="X37" i="8" s="1"/>
  <c r="J36" i="8"/>
  <c r="K36" i="8"/>
  <c r="J30" i="8"/>
  <c r="K30" i="8"/>
  <c r="L27" i="8"/>
  <c r="X27" i="8" s="1"/>
  <c r="O27" i="8"/>
  <c r="J25" i="8"/>
  <c r="I15" i="8"/>
  <c r="U15" i="8" s="1"/>
  <c r="J12" i="8"/>
  <c r="M10" i="8"/>
  <c r="Y10" i="8" s="1"/>
  <c r="J9" i="8"/>
  <c r="V9" i="8" s="1"/>
  <c r="K9" i="8"/>
  <c r="W9" i="8" s="1"/>
  <c r="J19" i="18"/>
  <c r="Q21" i="18"/>
  <c r="R21" i="18" s="1"/>
  <c r="M24" i="18"/>
  <c r="Y24" i="18" s="1"/>
  <c r="J62" i="18"/>
  <c r="Q77" i="18"/>
  <c r="R77" i="18" s="1"/>
  <c r="J86" i="18"/>
  <c r="R41" i="14"/>
  <c r="S76" i="8"/>
  <c r="P74" i="8"/>
  <c r="N74" i="8"/>
  <c r="Z74" i="8" s="1"/>
  <c r="S72" i="8"/>
  <c r="M69" i="8"/>
  <c r="J69" i="8"/>
  <c r="V69" i="8" s="1"/>
  <c r="L65" i="8"/>
  <c r="P65" i="8"/>
  <c r="Q65" i="8"/>
  <c r="R65" i="8" s="1"/>
  <c r="M57" i="8"/>
  <c r="Y57" i="8" s="1"/>
  <c r="P57" i="8"/>
  <c r="Q57" i="8"/>
  <c r="J54" i="8"/>
  <c r="K54" i="8"/>
  <c r="H46" i="8"/>
  <c r="J46" i="8"/>
  <c r="V46" i="8" s="1"/>
  <c r="P20" i="8"/>
  <c r="O20" i="8"/>
  <c r="O12" i="8"/>
  <c r="H12" i="8"/>
  <c r="I12" i="8"/>
  <c r="K19" i="18"/>
  <c r="W19" i="18" s="1"/>
  <c r="N24" i="18"/>
  <c r="H41" i="18"/>
  <c r="K62" i="18"/>
  <c r="K86" i="18"/>
  <c r="H103" i="8"/>
  <c r="O103" i="8"/>
  <c r="M102" i="8"/>
  <c r="Y102" i="8" s="1"/>
  <c r="P102" i="8"/>
  <c r="S100" i="8"/>
  <c r="K98" i="8"/>
  <c r="R95" i="8"/>
  <c r="K94" i="8"/>
  <c r="W94" i="8" s="1"/>
  <c r="P94" i="8"/>
  <c r="I94" i="8"/>
  <c r="U94" i="8" s="1"/>
  <c r="J89" i="8"/>
  <c r="V89" i="8" s="1"/>
  <c r="O87" i="8"/>
  <c r="M84" i="8"/>
  <c r="Y84" i="8" s="1"/>
  <c r="L83" i="8"/>
  <c r="X83" i="8" s="1"/>
  <c r="M82" i="8"/>
  <c r="O76" i="8"/>
  <c r="L76" i="8"/>
  <c r="Q74" i="8"/>
  <c r="S74" i="8" s="1"/>
  <c r="M72" i="8"/>
  <c r="N59" i="8"/>
  <c r="Z59" i="8" s="1"/>
  <c r="P59" i="8"/>
  <c r="I54" i="8"/>
  <c r="P51" i="8"/>
  <c r="Q48" i="8"/>
  <c r="R48" i="8" s="1"/>
  <c r="O46" i="8"/>
  <c r="K45" i="8"/>
  <c r="W45" i="8" s="1"/>
  <c r="N45" i="8"/>
  <c r="O42" i="8"/>
  <c r="H42" i="8"/>
  <c r="X38" i="8"/>
  <c r="K31" i="8"/>
  <c r="W31" i="8" s="1"/>
  <c r="L31" i="8"/>
  <c r="X31" i="8" s="1"/>
  <c r="M16" i="8"/>
  <c r="Y16" i="8" s="1"/>
  <c r="P16" i="8"/>
  <c r="Q16" i="8"/>
  <c r="L9" i="8"/>
  <c r="X9" i="8" s="1"/>
  <c r="Q9" i="8"/>
  <c r="S9" i="8" s="1"/>
  <c r="N22" i="18"/>
  <c r="Z22" i="18" s="1"/>
  <c r="J100" i="18"/>
  <c r="V100" i="18" s="1"/>
  <c r="S64" i="8"/>
  <c r="M63" i="8"/>
  <c r="K41" i="8"/>
  <c r="L32" i="8"/>
  <c r="X32" i="8" s="1"/>
  <c r="M31" i="8"/>
  <c r="Y31" i="8" s="1"/>
  <c r="S27" i="8"/>
  <c r="I7" i="8"/>
  <c r="U7" i="8" s="1"/>
  <c r="O3" i="8"/>
  <c r="I3" i="8"/>
  <c r="R13" i="14"/>
  <c r="J9" i="14"/>
  <c r="J8" i="14"/>
  <c r="M105" i="8"/>
  <c r="Y105" i="8" s="1"/>
  <c r="I99" i="8"/>
  <c r="R96" i="8"/>
  <c r="P95" i="8"/>
  <c r="S94" i="8"/>
  <c r="N93" i="8"/>
  <c r="P89" i="8"/>
  <c r="K86" i="8"/>
  <c r="K79" i="8"/>
  <c r="W79" i="8" s="1"/>
  <c r="N77" i="8"/>
  <c r="Z77" i="8" s="1"/>
  <c r="M71" i="8"/>
  <c r="J70" i="8"/>
  <c r="J62" i="8"/>
  <c r="V62" i="8" s="1"/>
  <c r="I59" i="8"/>
  <c r="I56" i="8"/>
  <c r="U56" i="8" s="1"/>
  <c r="P56" i="8"/>
  <c r="T56" i="8" s="1"/>
  <c r="L50" i="8"/>
  <c r="I48" i="8"/>
  <c r="K46" i="8"/>
  <c r="W46" i="8" s="1"/>
  <c r="P43" i="8"/>
  <c r="J41" i="8"/>
  <c r="L41" i="8"/>
  <c r="J38" i="8"/>
  <c r="V38" i="8" s="1"/>
  <c r="M37" i="8"/>
  <c r="J31" i="8"/>
  <c r="J29" i="8"/>
  <c r="L26" i="8"/>
  <c r="L24" i="8"/>
  <c r="X24" i="8" s="1"/>
  <c r="K18" i="8"/>
  <c r="W18" i="8" s="1"/>
  <c r="R14" i="8"/>
  <c r="L8" i="8"/>
  <c r="X8" i="8" s="1"/>
  <c r="K7" i="8"/>
  <c r="R106" i="8"/>
  <c r="K100" i="8"/>
  <c r="W100" i="8" s="1"/>
  <c r="R89" i="8"/>
  <c r="M88" i="8"/>
  <c r="Y88" i="8" s="1"/>
  <c r="J82" i="8"/>
  <c r="L72" i="8"/>
  <c r="P70" i="8"/>
  <c r="K68" i="8"/>
  <c r="M65" i="8"/>
  <c r="N60" i="8"/>
  <c r="K57" i="8"/>
  <c r="S55" i="8"/>
  <c r="J47" i="8"/>
  <c r="M46" i="8"/>
  <c r="Y46" i="8" s="1"/>
  <c r="J44" i="8"/>
  <c r="V44" i="8" s="1"/>
  <c r="R37" i="8"/>
  <c r="S31" i="8"/>
  <c r="R30" i="8"/>
  <c r="P28" i="8"/>
  <c r="R25" i="8"/>
  <c r="S24" i="8"/>
  <c r="K16" i="8"/>
  <c r="J15" i="8"/>
  <c r="J10" i="8"/>
  <c r="J6" i="8"/>
  <c r="R10" i="18"/>
  <c r="N108" i="8"/>
  <c r="Z108" i="8" s="1"/>
  <c r="L108" i="8"/>
  <c r="X108" i="8" s="1"/>
  <c r="H108" i="8"/>
  <c r="J109" i="8"/>
  <c r="V109" i="8" s="1"/>
  <c r="M108" i="14"/>
  <c r="Y108" i="14" s="1"/>
  <c r="Q108" i="8"/>
  <c r="R108" i="8" s="1"/>
  <c r="P108" i="8"/>
  <c r="J108" i="8"/>
  <c r="S59" i="8"/>
  <c r="R55" i="8"/>
  <c r="Z48" i="8"/>
  <c r="Z37" i="8"/>
  <c r="R101" i="8"/>
  <c r="Y60" i="8"/>
  <c r="X57" i="8"/>
  <c r="Z81" i="8"/>
  <c r="W70" i="8"/>
  <c r="T75" i="18"/>
  <c r="T72" i="18"/>
  <c r="S72" i="14"/>
  <c r="W31" i="14"/>
  <c r="W98" i="14"/>
  <c r="R54" i="14"/>
  <c r="O107" i="8"/>
  <c r="K107" i="8"/>
  <c r="W107" i="8" s="1"/>
  <c r="P107" i="14"/>
  <c r="O107" i="14"/>
  <c r="J107" i="8"/>
  <c r="V107" i="8" s="1"/>
  <c r="Q107" i="14"/>
  <c r="R107" i="14" s="1"/>
  <c r="L107" i="14"/>
  <c r="X107" i="14" s="1"/>
  <c r="I107" i="8"/>
  <c r="U107" i="8" s="1"/>
  <c r="M107" i="14"/>
  <c r="Y107" i="14" s="1"/>
  <c r="K107" i="14"/>
  <c r="J11" i="18"/>
  <c r="K10" i="8"/>
  <c r="I10" i="18"/>
  <c r="J10" i="18"/>
  <c r="V10" i="18" s="1"/>
  <c r="V97" i="18"/>
  <c r="V42" i="18"/>
  <c r="Z29" i="18"/>
  <c r="W103" i="18"/>
  <c r="Z42" i="18"/>
  <c r="Z86" i="18"/>
  <c r="W60" i="18"/>
  <c r="S106" i="18"/>
  <c r="U35" i="18"/>
  <c r="Y45" i="18"/>
  <c r="R56" i="18"/>
  <c r="X53" i="18"/>
  <c r="R43" i="18"/>
  <c r="R49" i="18"/>
  <c r="R52" i="18"/>
  <c r="R55" i="18"/>
  <c r="R58" i="18"/>
  <c r="R72" i="18"/>
  <c r="R75" i="18"/>
  <c r="R84" i="18"/>
  <c r="R87" i="18"/>
  <c r="R92" i="18"/>
  <c r="R95" i="18"/>
  <c r="R98" i="18"/>
  <c r="R104" i="18"/>
  <c r="Y56" i="18"/>
  <c r="X25" i="18"/>
  <c r="Y61" i="18"/>
  <c r="W34" i="18"/>
  <c r="X106" i="18"/>
  <c r="Y100" i="18"/>
  <c r="Z15" i="18"/>
  <c r="U104" i="18"/>
  <c r="X2" i="18"/>
  <c r="S11" i="18"/>
  <c r="T40" i="18"/>
  <c r="W29" i="18"/>
  <c r="S9" i="18"/>
  <c r="S15" i="18"/>
  <c r="S20" i="18"/>
  <c r="S23" i="18"/>
  <c r="S26" i="18"/>
  <c r="S29" i="18"/>
  <c r="S32" i="18"/>
  <c r="S35" i="18"/>
  <c r="S38" i="18"/>
  <c r="T59" i="18"/>
  <c r="T70" i="18"/>
  <c r="T85" i="18"/>
  <c r="S31" i="18"/>
  <c r="S22" i="18"/>
  <c r="S28" i="18"/>
  <c r="S34" i="18"/>
  <c r="S37" i="18"/>
  <c r="Y28" i="18"/>
  <c r="R22" i="18"/>
  <c r="R28" i="18"/>
  <c r="R31" i="18"/>
  <c r="R34" i="18"/>
  <c r="R37" i="18"/>
  <c r="S25" i="18"/>
  <c r="W56" i="18"/>
  <c r="Z34" i="18"/>
  <c r="S10" i="18"/>
  <c r="S16" i="18"/>
  <c r="S24" i="18"/>
  <c r="S27" i="18"/>
  <c r="S30" i="18"/>
  <c r="S33" i="18"/>
  <c r="S36" i="18"/>
  <c r="T39" i="18"/>
  <c r="S39" i="18"/>
  <c r="T60" i="18"/>
  <c r="T94" i="18"/>
  <c r="X34" i="18"/>
  <c r="R106" i="18"/>
  <c r="S42" i="18"/>
  <c r="S44" i="18"/>
  <c r="S45" i="18"/>
  <c r="S48" i="18"/>
  <c r="S49" i="18"/>
  <c r="S51" i="18"/>
  <c r="S52" i="18"/>
  <c r="S53" i="18"/>
  <c r="S54" i="18"/>
  <c r="S55" i="18"/>
  <c r="S56" i="18"/>
  <c r="S57" i="18"/>
  <c r="S58" i="18"/>
  <c r="S59" i="18"/>
  <c r="S60" i="18"/>
  <c r="S61" i="18"/>
  <c r="S63" i="18"/>
  <c r="S69" i="18"/>
  <c r="S70" i="18"/>
  <c r="S71" i="18"/>
  <c r="S72" i="18"/>
  <c r="S73" i="18"/>
  <c r="S74" i="18"/>
  <c r="S75" i="18"/>
  <c r="S76" i="18"/>
  <c r="S77" i="18"/>
  <c r="S78" i="18"/>
  <c r="S79" i="18"/>
  <c r="S80" i="18"/>
  <c r="S84" i="18"/>
  <c r="S85" i="18"/>
  <c r="S86" i="18"/>
  <c r="S87" i="18"/>
  <c r="S88" i="18"/>
  <c r="S91" i="18"/>
  <c r="S93" i="18"/>
  <c r="S94" i="18"/>
  <c r="S96" i="18"/>
  <c r="S98" i="18"/>
  <c r="S99" i="18"/>
  <c r="S100" i="18"/>
  <c r="S101" i="18"/>
  <c r="S102" i="18"/>
  <c r="S103" i="18"/>
  <c r="S104" i="18"/>
  <c r="S105" i="18"/>
  <c r="V96" i="18"/>
  <c r="W104" i="18"/>
  <c r="Z36" i="18"/>
  <c r="U20" i="18"/>
  <c r="V91" i="18"/>
  <c r="R83" i="18"/>
  <c r="Z75" i="18"/>
  <c r="U75" i="18"/>
  <c r="W57" i="18"/>
  <c r="W36" i="18"/>
  <c r="Z31" i="18"/>
  <c r="U31" i="18"/>
  <c r="Y81" i="18"/>
  <c r="Z28" i="18"/>
  <c r="X28" i="18"/>
  <c r="U26" i="18"/>
  <c r="R82" i="18"/>
  <c r="S66" i="18"/>
  <c r="S64" i="18"/>
  <c r="Z57" i="18"/>
  <c r="R90" i="18"/>
  <c r="W98" i="18"/>
  <c r="W93" i="18"/>
  <c r="Y70" i="18"/>
  <c r="W63" i="18"/>
  <c r="U53" i="18"/>
  <c r="V88" i="18"/>
  <c r="Z85" i="18"/>
  <c r="W85" i="18"/>
  <c r="Z81" i="18"/>
  <c r="Y80" i="18"/>
  <c r="V78" i="18"/>
  <c r="W69" i="18"/>
  <c r="Y52" i="18"/>
  <c r="Z52" i="18"/>
  <c r="Z39" i="18"/>
  <c r="W66" i="18"/>
  <c r="Y66" i="18"/>
  <c r="U54" i="18"/>
  <c r="W52" i="18"/>
  <c r="Z25" i="18"/>
  <c r="R18" i="18"/>
  <c r="W83" i="18"/>
  <c r="Z70" i="18"/>
  <c r="S67" i="18"/>
  <c r="X63" i="18"/>
  <c r="W42" i="18"/>
  <c r="W31" i="18"/>
  <c r="W4" i="18"/>
  <c r="X54" i="14"/>
  <c r="X46" i="14"/>
  <c r="R96" i="14"/>
  <c r="X48" i="14"/>
  <c r="Y35" i="14"/>
  <c r="V98" i="14"/>
  <c r="S43" i="14"/>
  <c r="X28" i="14"/>
  <c r="R101" i="14"/>
  <c r="R94" i="14"/>
  <c r="R89" i="14"/>
  <c r="S19" i="14"/>
  <c r="R15" i="14"/>
  <c r="R28" i="14"/>
  <c r="X96" i="14"/>
  <c r="W85" i="14"/>
  <c r="S13" i="14"/>
  <c r="W71" i="8"/>
  <c r="S65" i="8"/>
  <c r="R53" i="8"/>
  <c r="R51" i="8"/>
  <c r="W59" i="8"/>
  <c r="Y56" i="8"/>
  <c r="Y45" i="8"/>
  <c r="R102" i="8"/>
  <c r="U101" i="8"/>
  <c r="V92" i="8"/>
  <c r="Y65" i="8"/>
  <c r="S43" i="8"/>
  <c r="R39" i="8"/>
  <c r="Z93" i="8"/>
  <c r="U74" i="8"/>
  <c r="X60" i="8"/>
  <c r="S18" i="18"/>
  <c r="R18" i="14"/>
  <c r="V104" i="8"/>
  <c r="V102" i="8"/>
  <c r="R90" i="8"/>
  <c r="R83" i="8"/>
  <c r="V77" i="8"/>
  <c r="R72" i="8"/>
  <c r="R71" i="8"/>
  <c r="R69" i="8"/>
  <c r="Y69" i="8"/>
  <c r="V60" i="8"/>
  <c r="Z45" i="8"/>
  <c r="S37" i="8"/>
  <c r="Z33" i="8"/>
  <c r="V25" i="8"/>
  <c r="V16" i="8"/>
  <c r="V7" i="8"/>
  <c r="R104" i="8"/>
  <c r="R91" i="8"/>
  <c r="V66" i="8"/>
  <c r="Y28" i="8"/>
  <c r="W7" i="8"/>
  <c r="Y72" i="8"/>
  <c r="X84" i="8"/>
  <c r="W83" i="8"/>
  <c r="Y80" i="8"/>
  <c r="W72" i="8"/>
  <c r="S66" i="8"/>
  <c r="U59" i="8"/>
  <c r="V57" i="8"/>
  <c r="Z25" i="8"/>
  <c r="Z24" i="8"/>
  <c r="S7" i="8"/>
  <c r="Z60" i="8"/>
  <c r="Y59" i="8"/>
  <c r="R56" i="8"/>
  <c r="R33" i="8"/>
  <c r="S28" i="8"/>
  <c r="Y25" i="8"/>
  <c r="R64" i="8"/>
  <c r="V52" i="8"/>
  <c r="R44" i="8"/>
  <c r="W106" i="8"/>
  <c r="Y91" i="8"/>
  <c r="Y83" i="8"/>
  <c r="R81" i="8"/>
  <c r="Z76" i="8"/>
  <c r="X76" i="8"/>
  <c r="Y70" i="8"/>
  <c r="V67" i="8"/>
  <c r="W48" i="8"/>
  <c r="V31" i="8"/>
  <c r="W16" i="8"/>
  <c r="T94" i="8"/>
  <c r="S51" i="8"/>
  <c r="Z27" i="8"/>
  <c r="S14" i="8"/>
  <c r="S8" i="8"/>
  <c r="R97" i="8"/>
  <c r="V95" i="8"/>
  <c r="R94" i="8"/>
  <c r="R84" i="8"/>
  <c r="R75" i="8"/>
  <c r="W68" i="8"/>
  <c r="R67" i="8"/>
  <c r="S60" i="8"/>
  <c r="R57" i="8"/>
  <c r="Y44" i="8"/>
  <c r="Z39" i="8"/>
  <c r="X33" i="8"/>
  <c r="W24" i="8"/>
  <c r="S106" i="8"/>
  <c r="W96" i="8"/>
  <c r="Y94" i="8"/>
  <c r="S88" i="8"/>
  <c r="V80" i="8"/>
  <c r="R79" i="8"/>
  <c r="X72" i="8"/>
  <c r="Y71" i="8"/>
  <c r="R70" i="8"/>
  <c r="W66" i="8"/>
  <c r="W57" i="8"/>
  <c r="Z53" i="8"/>
  <c r="X51" i="8"/>
  <c r="U46" i="8"/>
  <c r="S25" i="8"/>
  <c r="S22" i="8"/>
  <c r="S107" i="8"/>
  <c r="R107" i="8"/>
  <c r="S109" i="8"/>
  <c r="R109" i="8"/>
  <c r="S62" i="8"/>
  <c r="R62" i="8"/>
  <c r="U62" i="8"/>
  <c r="W62" i="8"/>
  <c r="L107" i="8"/>
  <c r="X107" i="8" s="1"/>
  <c r="M101" i="8"/>
  <c r="Y101" i="8" s="1"/>
  <c r="J100" i="8"/>
  <c r="V100" i="8" s="1"/>
  <c r="J106" i="8"/>
  <c r="V106" i="8" s="1"/>
  <c r="Q103" i="8"/>
  <c r="J103" i="8"/>
  <c r="P100" i="8"/>
  <c r="I100" i="8"/>
  <c r="U100" i="8" s="1"/>
  <c r="M93" i="8"/>
  <c r="Y93" i="8" s="1"/>
  <c r="N86" i="8"/>
  <c r="S77" i="8"/>
  <c r="N109" i="8"/>
  <c r="Z109" i="8" s="1"/>
  <c r="H109" i="8"/>
  <c r="O108" i="8"/>
  <c r="I108" i="8"/>
  <c r="U108" i="8" s="1"/>
  <c r="P107" i="8"/>
  <c r="P106" i="8"/>
  <c r="T106" i="8" s="1"/>
  <c r="I106" i="8"/>
  <c r="U106" i="8" s="1"/>
  <c r="N105" i="8"/>
  <c r="Z105" i="8" s="1"/>
  <c r="K104" i="8"/>
  <c r="W104" i="8" s="1"/>
  <c r="P103" i="8"/>
  <c r="I103" i="8"/>
  <c r="K101" i="8"/>
  <c r="W101" i="8" s="1"/>
  <c r="O100" i="8"/>
  <c r="H100" i="8"/>
  <c r="M99" i="8"/>
  <c r="Y99" i="8" s="1"/>
  <c r="Q98" i="8"/>
  <c r="O97" i="8"/>
  <c r="L96" i="8"/>
  <c r="X96" i="8" s="1"/>
  <c r="I95" i="8"/>
  <c r="U95" i="8" s="1"/>
  <c r="N94" i="8"/>
  <c r="Z94" i="8" s="1"/>
  <c r="S93" i="8"/>
  <c r="K93" i="8"/>
  <c r="W93" i="8" s="1"/>
  <c r="P92" i="8"/>
  <c r="I92" i="8"/>
  <c r="U92" i="8" s="1"/>
  <c r="M92" i="8"/>
  <c r="Y92" i="8" s="1"/>
  <c r="K90" i="8"/>
  <c r="W90" i="8" s="1"/>
  <c r="I90" i="8"/>
  <c r="U90" i="8" s="1"/>
  <c r="O90" i="8"/>
  <c r="J88" i="8"/>
  <c r="V88" i="8" s="1"/>
  <c r="K87" i="8"/>
  <c r="L86" i="8"/>
  <c r="M85" i="8"/>
  <c r="Y85" i="8" s="1"/>
  <c r="H84" i="8"/>
  <c r="J84" i="8"/>
  <c r="V84" i="8" s="1"/>
  <c r="I83" i="8"/>
  <c r="U83" i="8" s="1"/>
  <c r="O83" i="8"/>
  <c r="N83" i="8"/>
  <c r="Z83" i="8" s="1"/>
  <c r="J83" i="8"/>
  <c r="V83" i="8" s="1"/>
  <c r="P82" i="8"/>
  <c r="L82" i="8"/>
  <c r="N82" i="8"/>
  <c r="L79" i="8"/>
  <c r="X79" i="8" s="1"/>
  <c r="N75" i="8"/>
  <c r="Z75" i="8" s="1"/>
  <c r="H72" i="8"/>
  <c r="O72" i="8"/>
  <c r="J72" i="8"/>
  <c r="V72" i="8" s="1"/>
  <c r="J71" i="8"/>
  <c r="V71" i="8" s="1"/>
  <c r="H69" i="8"/>
  <c r="P68" i="8"/>
  <c r="T68" i="8" s="1"/>
  <c r="N67" i="8"/>
  <c r="Z67" i="8" s="1"/>
  <c r="N66" i="8"/>
  <c r="Z66" i="8" s="1"/>
  <c r="M66" i="8"/>
  <c r="Y66" i="8" s="1"/>
  <c r="P66" i="8"/>
  <c r="T66" i="8" s="1"/>
  <c r="Z64" i="8"/>
  <c r="J64" i="8"/>
  <c r="V64" i="8" s="1"/>
  <c r="K64" i="8"/>
  <c r="W64" i="8" s="1"/>
  <c r="I58" i="8"/>
  <c r="U58" i="8" s="1"/>
  <c r="S58" i="8"/>
  <c r="K58" i="8"/>
  <c r="W58" i="8" s="1"/>
  <c r="L58" i="8"/>
  <c r="X58" i="8" s="1"/>
  <c r="S52" i="8"/>
  <c r="Q49" i="8"/>
  <c r="V49" i="8" s="1"/>
  <c r="M49" i="8"/>
  <c r="L49" i="8"/>
  <c r="P49" i="8"/>
  <c r="N49" i="8"/>
  <c r="R42" i="8"/>
  <c r="J93" i="8"/>
  <c r="V93" i="8" s="1"/>
  <c r="P87" i="8"/>
  <c r="L87" i="8"/>
  <c r="K85" i="8"/>
  <c r="W85" i="8" s="1"/>
  <c r="L54" i="8"/>
  <c r="N54" i="8"/>
  <c r="Q54" i="8"/>
  <c r="M54" i="8"/>
  <c r="P54" i="8"/>
  <c r="S50" i="8"/>
  <c r="K35" i="8"/>
  <c r="O35" i="8"/>
  <c r="H35" i="8"/>
  <c r="P35" i="8"/>
  <c r="I35" i="8"/>
  <c r="J35" i="8"/>
  <c r="L35" i="8"/>
  <c r="H5" i="8"/>
  <c r="K5" i="8"/>
  <c r="I5" i="8"/>
  <c r="J5" i="8"/>
  <c r="O5" i="8"/>
  <c r="S3" i="8"/>
  <c r="R3" i="8"/>
  <c r="L109" i="8"/>
  <c r="X109" i="8" s="1"/>
  <c r="S108" i="8"/>
  <c r="N107" i="8"/>
  <c r="Z107" i="8" s="1"/>
  <c r="N106" i="8"/>
  <c r="Z106" i="8" s="1"/>
  <c r="P104" i="8"/>
  <c r="I104" i="8"/>
  <c r="U104" i="8" s="1"/>
  <c r="M103" i="8"/>
  <c r="Y103" i="8" s="1"/>
  <c r="K102" i="8"/>
  <c r="W102" i="8" s="1"/>
  <c r="I102" i="8"/>
  <c r="U102" i="8" s="1"/>
  <c r="O102" i="8"/>
  <c r="T102" i="8" s="1"/>
  <c r="M100" i="8"/>
  <c r="Y100" i="8" s="1"/>
  <c r="Q99" i="8"/>
  <c r="J99" i="8"/>
  <c r="O98" i="8"/>
  <c r="S97" i="8"/>
  <c r="L97" i="8"/>
  <c r="X97" i="8" s="1"/>
  <c r="J96" i="8"/>
  <c r="V96" i="8" s="1"/>
  <c r="N95" i="8"/>
  <c r="Z95" i="8" s="1"/>
  <c r="L94" i="8"/>
  <c r="X94" i="8" s="1"/>
  <c r="P93" i="8"/>
  <c r="I93" i="8"/>
  <c r="U93" i="8" s="1"/>
  <c r="L93" i="8"/>
  <c r="X93" i="8" s="1"/>
  <c r="N92" i="8"/>
  <c r="Z92" i="8" s="1"/>
  <c r="K91" i="8"/>
  <c r="P90" i="8"/>
  <c r="H90" i="8"/>
  <c r="T89" i="8"/>
  <c r="M89" i="8"/>
  <c r="Y89" i="8" s="1"/>
  <c r="P88" i="8"/>
  <c r="Q87" i="8"/>
  <c r="V87" i="8" s="1"/>
  <c r="I86" i="8"/>
  <c r="Q86" i="8"/>
  <c r="R86" i="8" s="1"/>
  <c r="M86" i="8"/>
  <c r="J85" i="8"/>
  <c r="V85" i="8" s="1"/>
  <c r="L85" i="8"/>
  <c r="X85" i="8" s="1"/>
  <c r="N85" i="8"/>
  <c r="Z85" i="8" s="1"/>
  <c r="I84" i="8"/>
  <c r="U84" i="8" s="1"/>
  <c r="H83" i="8"/>
  <c r="Q82" i="8"/>
  <c r="U82" i="8" s="1"/>
  <c r="K80" i="8"/>
  <c r="W80" i="8" s="1"/>
  <c r="N80" i="8"/>
  <c r="Z80" i="8" s="1"/>
  <c r="I80" i="8"/>
  <c r="U80" i="8" s="1"/>
  <c r="P80" i="8"/>
  <c r="T80" i="8" s="1"/>
  <c r="I79" i="8"/>
  <c r="U79" i="8" s="1"/>
  <c r="M79" i="8"/>
  <c r="Y79" i="8" s="1"/>
  <c r="N79" i="8"/>
  <c r="Z79" i="8" s="1"/>
  <c r="Q78" i="8"/>
  <c r="T75" i="8"/>
  <c r="L75" i="8"/>
  <c r="X75" i="8" s="1"/>
  <c r="K74" i="8"/>
  <c r="W74" i="8" s="1"/>
  <c r="H74" i="8"/>
  <c r="O74" i="8"/>
  <c r="I73" i="8"/>
  <c r="M73" i="8"/>
  <c r="Q73" i="8"/>
  <c r="W73" i="8" s="1"/>
  <c r="L73" i="8"/>
  <c r="I72" i="8"/>
  <c r="U72" i="8" s="1"/>
  <c r="S71" i="8"/>
  <c r="O69" i="8"/>
  <c r="I64" i="8"/>
  <c r="U64" i="8" s="1"/>
  <c r="P64" i="8"/>
  <c r="T64" i="8" s="1"/>
  <c r="M64" i="8"/>
  <c r="Y64" i="8" s="1"/>
  <c r="I53" i="8"/>
  <c r="U53" i="8" s="1"/>
  <c r="P53" i="8"/>
  <c r="K53" i="8"/>
  <c r="W53" i="8" s="1"/>
  <c r="H53" i="8"/>
  <c r="O53" i="8"/>
  <c r="J53" i="8"/>
  <c r="V53" i="8" s="1"/>
  <c r="L53" i="8"/>
  <c r="X53" i="8" s="1"/>
  <c r="J79" i="8"/>
  <c r="V79" i="8" s="1"/>
  <c r="J76" i="8"/>
  <c r="V76" i="8" s="1"/>
  <c r="K76" i="8"/>
  <c r="W76" i="8" s="1"/>
  <c r="I67" i="8"/>
  <c r="U67" i="8" s="1"/>
  <c r="P67" i="8"/>
  <c r="K67" i="8"/>
  <c r="W67" i="8" s="1"/>
  <c r="K109" i="8"/>
  <c r="W109" i="8" s="1"/>
  <c r="M107" i="8"/>
  <c r="Y107" i="8" s="1"/>
  <c r="Q105" i="8"/>
  <c r="W105" i="8" s="1"/>
  <c r="O104" i="8"/>
  <c r="L103" i="8"/>
  <c r="X103" i="8" s="1"/>
  <c r="N101" i="8"/>
  <c r="Z101" i="8" s="1"/>
  <c r="L100" i="8"/>
  <c r="X100" i="8" s="1"/>
  <c r="N98" i="8"/>
  <c r="Z98" i="8" s="1"/>
  <c r="P96" i="8"/>
  <c r="M95" i="8"/>
  <c r="Y95" i="8" s="1"/>
  <c r="O93" i="8"/>
  <c r="H93" i="8"/>
  <c r="L92" i="8"/>
  <c r="X92" i="8" s="1"/>
  <c r="T91" i="8"/>
  <c r="J91" i="8"/>
  <c r="V91" i="8" s="1"/>
  <c r="N91" i="8"/>
  <c r="N90" i="8"/>
  <c r="Z90" i="8" s="1"/>
  <c r="S89" i="8"/>
  <c r="L89" i="8"/>
  <c r="X89" i="8" s="1"/>
  <c r="N88" i="8"/>
  <c r="Z88" i="8" s="1"/>
  <c r="P86" i="8"/>
  <c r="H86" i="8"/>
  <c r="R85" i="8"/>
  <c r="I85" i="8"/>
  <c r="U85" i="8" s="1"/>
  <c r="S84" i="8"/>
  <c r="K81" i="8"/>
  <c r="W81" i="8" s="1"/>
  <c r="I81" i="8"/>
  <c r="U81" i="8" s="1"/>
  <c r="P81" i="8"/>
  <c r="T81" i="8" s="1"/>
  <c r="S79" i="8"/>
  <c r="H79" i="8"/>
  <c r="I78" i="8"/>
  <c r="K78" i="8"/>
  <c r="X77" i="8"/>
  <c r="I77" i="8"/>
  <c r="U77" i="8" s="1"/>
  <c r="O77" i="8"/>
  <c r="M77" i="8"/>
  <c r="Y77" i="8" s="1"/>
  <c r="H77" i="8"/>
  <c r="P77" i="8"/>
  <c r="I76" i="8"/>
  <c r="U76" i="8" s="1"/>
  <c r="P76" i="8"/>
  <c r="T76" i="8" s="1"/>
  <c r="M76" i="8"/>
  <c r="Y76" i="8" s="1"/>
  <c r="J74" i="8"/>
  <c r="V74" i="8" s="1"/>
  <c r="L74" i="8"/>
  <c r="X74" i="8" s="1"/>
  <c r="M74" i="8"/>
  <c r="Y74" i="8" s="1"/>
  <c r="P71" i="8"/>
  <c r="V68" i="8"/>
  <c r="H67" i="8"/>
  <c r="K63" i="8"/>
  <c r="I63" i="8"/>
  <c r="O63" i="8"/>
  <c r="X50" i="8"/>
  <c r="I43" i="8"/>
  <c r="U43" i="8" s="1"/>
  <c r="O43" i="8"/>
  <c r="K43" i="8"/>
  <c r="W43" i="8" s="1"/>
  <c r="N43" i="8"/>
  <c r="Z43" i="8" s="1"/>
  <c r="H43" i="8"/>
  <c r="M43" i="8"/>
  <c r="Y43" i="8" s="1"/>
  <c r="J43" i="8"/>
  <c r="V43" i="8" s="1"/>
  <c r="L43" i="8"/>
  <c r="X43" i="8" s="1"/>
  <c r="J21" i="8"/>
  <c r="V21" i="8" s="1"/>
  <c r="K21" i="8"/>
  <c r="W21" i="8" s="1"/>
  <c r="I21" i="8"/>
  <c r="U21" i="8" s="1"/>
  <c r="R92" i="8"/>
  <c r="N87" i="8"/>
  <c r="O86" i="8"/>
  <c r="P85" i="8"/>
  <c r="S81" i="8"/>
  <c r="S80" i="8"/>
  <c r="P79" i="8"/>
  <c r="K69" i="8"/>
  <c r="W69" i="8" s="1"/>
  <c r="N69" i="8"/>
  <c r="Z69" i="8" s="1"/>
  <c r="I69" i="8"/>
  <c r="U69" i="8" s="1"/>
  <c r="P69" i="8"/>
  <c r="L68" i="8"/>
  <c r="X68" i="8" s="1"/>
  <c r="N68" i="8"/>
  <c r="Z68" i="8" s="1"/>
  <c r="S67" i="8"/>
  <c r="M62" i="8"/>
  <c r="Y62" i="8" s="1"/>
  <c r="L62" i="8"/>
  <c r="X62" i="8" s="1"/>
  <c r="N62" i="8"/>
  <c r="Z62" i="8" s="1"/>
  <c r="P62" i="8"/>
  <c r="I96" i="8"/>
  <c r="U96" i="8" s="1"/>
  <c r="O96" i="8"/>
  <c r="L98" i="8"/>
  <c r="X98" i="8" s="1"/>
  <c r="N96" i="8"/>
  <c r="Z96" i="8" s="1"/>
  <c r="O109" i="8"/>
  <c r="L101" i="8"/>
  <c r="X101" i="8" s="1"/>
  <c r="W97" i="8"/>
  <c r="P97" i="8"/>
  <c r="M96" i="8"/>
  <c r="Y96" i="8" s="1"/>
  <c r="I88" i="8"/>
  <c r="U88" i="8" s="1"/>
  <c r="O88" i="8"/>
  <c r="K88" i="8"/>
  <c r="W88" i="8" s="1"/>
  <c r="M87" i="8"/>
  <c r="O85" i="8"/>
  <c r="O79" i="8"/>
  <c r="N78" i="8"/>
  <c r="P78" i="8"/>
  <c r="R76" i="8"/>
  <c r="R74" i="8"/>
  <c r="I71" i="8"/>
  <c r="U71" i="8" s="1"/>
  <c r="O71" i="8"/>
  <c r="L71" i="8"/>
  <c r="X71" i="8" s="1"/>
  <c r="N71" i="8"/>
  <c r="Z71" i="8" s="1"/>
  <c r="R68" i="8"/>
  <c r="S68" i="8"/>
  <c r="O67" i="8"/>
  <c r="J61" i="8"/>
  <c r="I61" i="8"/>
  <c r="K61" i="8"/>
  <c r="L81" i="8"/>
  <c r="X81" i="8" s="1"/>
  <c r="L80" i="8"/>
  <c r="X80" i="8" s="1"/>
  <c r="W75" i="8"/>
  <c r="N72" i="8"/>
  <c r="Z72" i="8" s="1"/>
  <c r="L70" i="8"/>
  <c r="X70" i="8" s="1"/>
  <c r="V70" i="8"/>
  <c r="I66" i="8"/>
  <c r="U66" i="8" s="1"/>
  <c r="Q61" i="8"/>
  <c r="X61" i="8" s="1"/>
  <c r="I60" i="8"/>
  <c r="U60" i="8" s="1"/>
  <c r="O60" i="8"/>
  <c r="K60" i="8"/>
  <c r="W60" i="8" s="1"/>
  <c r="H60" i="8"/>
  <c r="W56" i="8"/>
  <c r="S53" i="8"/>
  <c r="N51" i="8"/>
  <c r="Z51" i="8" s="1"/>
  <c r="J51" i="8"/>
  <c r="V51" i="8" s="1"/>
  <c r="K49" i="8"/>
  <c r="W49" i="8" s="1"/>
  <c r="H49" i="8"/>
  <c r="O49" i="8"/>
  <c r="K47" i="8"/>
  <c r="M47" i="8"/>
  <c r="Q47" i="8"/>
  <c r="U47" i="8" s="1"/>
  <c r="N47" i="8"/>
  <c r="P46" i="8"/>
  <c r="R46" i="8"/>
  <c r="S34" i="8"/>
  <c r="H34" i="8"/>
  <c r="P34" i="8"/>
  <c r="I34" i="8"/>
  <c r="U34" i="8" s="1"/>
  <c r="J34" i="8"/>
  <c r="V34" i="8" s="1"/>
  <c r="O34" i="8"/>
  <c r="H23" i="8"/>
  <c r="K23" i="8"/>
  <c r="O23" i="8"/>
  <c r="J23" i="8"/>
  <c r="I23" i="8"/>
  <c r="L23" i="8"/>
  <c r="S21" i="8"/>
  <c r="R21" i="8"/>
  <c r="N84" i="8"/>
  <c r="Z84" i="8" s="1"/>
  <c r="M67" i="8"/>
  <c r="Y67" i="8" s="1"/>
  <c r="I65" i="8"/>
  <c r="O65" i="8"/>
  <c r="H58" i="8"/>
  <c r="O58" i="8"/>
  <c r="J58" i="8"/>
  <c r="V58" i="8" s="1"/>
  <c r="S57" i="8"/>
  <c r="Z57" i="8"/>
  <c r="R50" i="8"/>
  <c r="J48" i="8"/>
  <c r="V48" i="8" s="1"/>
  <c r="M48" i="8"/>
  <c r="Y48" i="8" s="1"/>
  <c r="S45" i="8"/>
  <c r="U44" i="8"/>
  <c r="N44" i="8"/>
  <c r="Z44" i="8" s="1"/>
  <c r="P44" i="8"/>
  <c r="L44" i="8"/>
  <c r="X44" i="8" s="1"/>
  <c r="J42" i="8"/>
  <c r="I42" i="8"/>
  <c r="Y37" i="8"/>
  <c r="N35" i="8"/>
  <c r="K34" i="8"/>
  <c r="W34" i="8" s="1"/>
  <c r="N17" i="8"/>
  <c r="Z17" i="8" s="1"/>
  <c r="Q17" i="8"/>
  <c r="L17" i="8"/>
  <c r="X17" i="8" s="1"/>
  <c r="M17" i="8"/>
  <c r="Y17" i="8" s="1"/>
  <c r="P17" i="8"/>
  <c r="N61" i="8"/>
  <c r="P61" i="8"/>
  <c r="M61" i="8"/>
  <c r="M58" i="8"/>
  <c r="Y58" i="8" s="1"/>
  <c r="K55" i="8"/>
  <c r="W55" i="8" s="1"/>
  <c r="N55" i="8"/>
  <c r="Z55" i="8" s="1"/>
  <c r="I55" i="8"/>
  <c r="U55" i="8" s="1"/>
  <c r="P55" i="8"/>
  <c r="H52" i="8"/>
  <c r="I52" i="8"/>
  <c r="U52" i="8" s="1"/>
  <c r="M50" i="8"/>
  <c r="Y50" i="8" s="1"/>
  <c r="J50" i="8"/>
  <c r="V50" i="8" s="1"/>
  <c r="K50" i="8"/>
  <c r="W50" i="8" s="1"/>
  <c r="N46" i="8"/>
  <c r="Z46" i="8" s="1"/>
  <c r="L46" i="8"/>
  <c r="X46" i="8" s="1"/>
  <c r="Y42" i="8"/>
  <c r="N41" i="8"/>
  <c r="I40" i="8"/>
  <c r="K40" i="8"/>
  <c r="I22" i="8"/>
  <c r="U22" i="8" s="1"/>
  <c r="O22" i="8"/>
  <c r="J22" i="8"/>
  <c r="V22" i="8" s="1"/>
  <c r="H22" i="8"/>
  <c r="P22" i="8"/>
  <c r="K22" i="8"/>
  <c r="W22" i="8" s="1"/>
  <c r="H11" i="8"/>
  <c r="K11" i="8"/>
  <c r="P11" i="8"/>
  <c r="I11" i="8"/>
  <c r="J11" i="8"/>
  <c r="O11" i="8"/>
  <c r="L63" i="8"/>
  <c r="Q63" i="8"/>
  <c r="V63" i="8" s="1"/>
  <c r="J59" i="8"/>
  <c r="V59" i="8" s="1"/>
  <c r="L59" i="8"/>
  <c r="X59" i="8" s="1"/>
  <c r="X56" i="8"/>
  <c r="S56" i="8"/>
  <c r="J55" i="8"/>
  <c r="V55" i="8" s="1"/>
  <c r="K52" i="8"/>
  <c r="W52" i="8" s="1"/>
  <c r="N52" i="8"/>
  <c r="Z52" i="8" s="1"/>
  <c r="M52" i="8"/>
  <c r="Y52" i="8" s="1"/>
  <c r="P52" i="8"/>
  <c r="L52" i="8"/>
  <c r="X52" i="8" s="1"/>
  <c r="I45" i="8"/>
  <c r="U45" i="8" s="1"/>
  <c r="O45" i="8"/>
  <c r="J45" i="8"/>
  <c r="V45" i="8" s="1"/>
  <c r="L45" i="8"/>
  <c r="X45" i="8" s="1"/>
  <c r="H45" i="8"/>
  <c r="P45" i="8"/>
  <c r="R38" i="8"/>
  <c r="P36" i="8"/>
  <c r="L36" i="8"/>
  <c r="N36" i="8"/>
  <c r="Q36" i="8"/>
  <c r="U36" i="8" s="1"/>
  <c r="M36" i="8"/>
  <c r="H32" i="8"/>
  <c r="I32" i="8"/>
  <c r="U32" i="8" s="1"/>
  <c r="J32" i="8"/>
  <c r="V32" i="8" s="1"/>
  <c r="K32" i="8"/>
  <c r="W32" i="8" s="1"/>
  <c r="S30" i="8"/>
  <c r="W30" i="8"/>
  <c r="H29" i="8"/>
  <c r="K29" i="8"/>
  <c r="I29" i="8"/>
  <c r="O29" i="8"/>
  <c r="K51" i="8"/>
  <c r="W51" i="8" s="1"/>
  <c r="M51" i="8"/>
  <c r="Y51" i="8" s="1"/>
  <c r="U50" i="8"/>
  <c r="P50" i="8"/>
  <c r="T50" i="8" s="1"/>
  <c r="N50" i="8"/>
  <c r="Z50" i="8" s="1"/>
  <c r="X47" i="8"/>
  <c r="S46" i="8"/>
  <c r="S44" i="8"/>
  <c r="Q41" i="8"/>
  <c r="W41" i="8" s="1"/>
  <c r="M41" i="8"/>
  <c r="P41" i="8"/>
  <c r="M40" i="8"/>
  <c r="L40" i="8"/>
  <c r="N40" i="8"/>
  <c r="Q40" i="8"/>
  <c r="V40" i="8" s="1"/>
  <c r="P40" i="8"/>
  <c r="M39" i="8"/>
  <c r="Y39" i="8" s="1"/>
  <c r="I39" i="8"/>
  <c r="U39" i="8" s="1"/>
  <c r="O39" i="8"/>
  <c r="J39" i="8"/>
  <c r="V39" i="8" s="1"/>
  <c r="L39" i="8"/>
  <c r="X39" i="8" s="1"/>
  <c r="H39" i="8"/>
  <c r="S38" i="8"/>
  <c r="J33" i="8"/>
  <c r="V33" i="8" s="1"/>
  <c r="K33" i="8"/>
  <c r="W33" i="8" s="1"/>
  <c r="R32" i="8"/>
  <c r="S32" i="8"/>
  <c r="N29" i="8"/>
  <c r="Q29" i="8"/>
  <c r="X29" i="8" s="1"/>
  <c r="M29" i="8"/>
  <c r="P29" i="8"/>
  <c r="O59" i="8"/>
  <c r="T59" i="8" s="1"/>
  <c r="I57" i="8"/>
  <c r="U57" i="8" s="1"/>
  <c r="O57" i="8"/>
  <c r="T57" i="8" s="1"/>
  <c r="M55" i="8"/>
  <c r="Y55" i="8" s="1"/>
  <c r="P48" i="8"/>
  <c r="T48" i="8" s="1"/>
  <c r="L48" i="8"/>
  <c r="X48" i="8" s="1"/>
  <c r="K44" i="8"/>
  <c r="W44" i="8" s="1"/>
  <c r="O41" i="8"/>
  <c r="S39" i="8"/>
  <c r="I38" i="8"/>
  <c r="U38" i="8" s="1"/>
  <c r="N38" i="8"/>
  <c r="Z38" i="8" s="1"/>
  <c r="P38" i="8"/>
  <c r="T38" i="8" s="1"/>
  <c r="I37" i="8"/>
  <c r="U37" i="8" s="1"/>
  <c r="O37" i="8"/>
  <c r="T37" i="8" s="1"/>
  <c r="K37" i="8"/>
  <c r="W37" i="8" s="1"/>
  <c r="U30" i="8"/>
  <c r="M30" i="8"/>
  <c r="Y30" i="8" s="1"/>
  <c r="P30" i="8"/>
  <c r="T30" i="8" s="1"/>
  <c r="L30" i="8"/>
  <c r="X30" i="8" s="1"/>
  <c r="J28" i="8"/>
  <c r="V28" i="8" s="1"/>
  <c r="J27" i="8"/>
  <c r="V27" i="8" s="1"/>
  <c r="K27" i="8"/>
  <c r="W27" i="8" s="1"/>
  <c r="I27" i="8"/>
  <c r="U27" i="8" s="1"/>
  <c r="R24" i="8"/>
  <c r="J19" i="8"/>
  <c r="V19" i="8" s="1"/>
  <c r="K19" i="8"/>
  <c r="W19" i="8" s="1"/>
  <c r="R16" i="8"/>
  <c r="S16" i="8"/>
  <c r="I14" i="8"/>
  <c r="U14" i="8" s="1"/>
  <c r="O14" i="8"/>
  <c r="K14" i="8"/>
  <c r="W14" i="8" s="1"/>
  <c r="H14" i="8"/>
  <c r="P14" i="8"/>
  <c r="J14" i="8"/>
  <c r="V14" i="8" s="1"/>
  <c r="R13" i="8"/>
  <c r="S13" i="8"/>
  <c r="J13" i="8"/>
  <c r="V13" i="8" s="1"/>
  <c r="K13" i="8"/>
  <c r="W13" i="8" s="1"/>
  <c r="S10" i="8"/>
  <c r="R10" i="8"/>
  <c r="P5" i="8"/>
  <c r="N58" i="8"/>
  <c r="Z58" i="8" s="1"/>
  <c r="V56" i="8"/>
  <c r="P42" i="8"/>
  <c r="L42" i="8"/>
  <c r="M38" i="8"/>
  <c r="Y38" i="8" s="1"/>
  <c r="Q35" i="8"/>
  <c r="M35" i="8"/>
  <c r="L34" i="8"/>
  <c r="X34" i="8" s="1"/>
  <c r="N34" i="8"/>
  <c r="Z34" i="8" s="1"/>
  <c r="M33" i="8"/>
  <c r="Y33" i="8" s="1"/>
  <c r="I33" i="8"/>
  <c r="U33" i="8" s="1"/>
  <c r="O33" i="8"/>
  <c r="N32" i="8"/>
  <c r="Z32" i="8" s="1"/>
  <c r="M32" i="8"/>
  <c r="Y32" i="8" s="1"/>
  <c r="P32" i="8"/>
  <c r="U24" i="8"/>
  <c r="M23" i="8"/>
  <c r="M18" i="8"/>
  <c r="Y18" i="8" s="1"/>
  <c r="P18" i="8"/>
  <c r="Q18" i="8"/>
  <c r="L18" i="8"/>
  <c r="X18" i="8" s="1"/>
  <c r="R9" i="8"/>
  <c r="U9" i="8"/>
  <c r="H4" i="8"/>
  <c r="I4" i="8"/>
  <c r="U4" i="8" s="1"/>
  <c r="O4" i="8"/>
  <c r="P4" i="8"/>
  <c r="J4" i="8"/>
  <c r="V4" i="8" s="1"/>
  <c r="K4" i="8"/>
  <c r="W4" i="8" s="1"/>
  <c r="R34" i="8"/>
  <c r="R31" i="8"/>
  <c r="I28" i="8"/>
  <c r="U28" i="8" s="1"/>
  <c r="O28" i="8"/>
  <c r="N28" i="8"/>
  <c r="Z28" i="8" s="1"/>
  <c r="H28" i="8"/>
  <c r="R17" i="8"/>
  <c r="W3" i="8"/>
  <c r="M53" i="8"/>
  <c r="Y53" i="8" s="1"/>
  <c r="I51" i="8"/>
  <c r="U51" i="8" s="1"/>
  <c r="O51" i="8"/>
  <c r="T51" i="8" s="1"/>
  <c r="O47" i="8"/>
  <c r="H41" i="8"/>
  <c r="K38" i="8"/>
  <c r="W38" i="8" s="1"/>
  <c r="S33" i="8"/>
  <c r="Z31" i="8"/>
  <c r="K28" i="8"/>
  <c r="W28" i="8" s="1"/>
  <c r="L28" i="8"/>
  <c r="X28" i="8" s="1"/>
  <c r="R27" i="8"/>
  <c r="P27" i="8"/>
  <c r="M27" i="8"/>
  <c r="Y27" i="8" s="1"/>
  <c r="J26" i="8"/>
  <c r="Q26" i="8"/>
  <c r="Y26" i="8" s="1"/>
  <c r="N26" i="8"/>
  <c r="L25" i="8"/>
  <c r="X25" i="8" s="1"/>
  <c r="I25" i="8"/>
  <c r="U25" i="8" s="1"/>
  <c r="O25" i="8"/>
  <c r="T25" i="8" s="1"/>
  <c r="V24" i="8"/>
  <c r="P21" i="8"/>
  <c r="T21" i="8" s="1"/>
  <c r="M21" i="8"/>
  <c r="Y21" i="8" s="1"/>
  <c r="J20" i="8"/>
  <c r="Q20" i="8"/>
  <c r="U20" i="8" s="1"/>
  <c r="N20" i="8"/>
  <c r="Z20" i="8" s="1"/>
  <c r="I16" i="8"/>
  <c r="U16" i="8" s="1"/>
  <c r="O16" i="8"/>
  <c r="T16" i="8" s="1"/>
  <c r="V15" i="8"/>
  <c r="J8" i="8"/>
  <c r="V8" i="8" s="1"/>
  <c r="I31" i="8"/>
  <c r="U31" i="8" s="1"/>
  <c r="O31" i="8"/>
  <c r="T31" i="8" s="1"/>
  <c r="V30" i="8"/>
  <c r="M24" i="8"/>
  <c r="Y24" i="8" s="1"/>
  <c r="P24" i="8"/>
  <c r="T24" i="8" s="1"/>
  <c r="N23" i="8"/>
  <c r="Q23" i="8"/>
  <c r="S19" i="8"/>
  <c r="I19" i="8"/>
  <c r="U19" i="8" s="1"/>
  <c r="O19" i="8"/>
  <c r="T19" i="8" s="1"/>
  <c r="P15" i="8"/>
  <c r="M15" i="8"/>
  <c r="Y15" i="8" s="1"/>
  <c r="L11" i="8"/>
  <c r="X11" i="8" s="1"/>
  <c r="N11" i="8"/>
  <c r="Z11" i="8" s="1"/>
  <c r="Q11" i="8"/>
  <c r="N9" i="8"/>
  <c r="Z9" i="8" s="1"/>
  <c r="P9" i="8"/>
  <c r="M9" i="8"/>
  <c r="Y9" i="8" s="1"/>
  <c r="Q6" i="8"/>
  <c r="V6" i="8" s="1"/>
  <c r="L6" i="8"/>
  <c r="X6" i="8" s="1"/>
  <c r="M6" i="8"/>
  <c r="Y6" i="8" s="1"/>
  <c r="P6" i="8"/>
  <c r="L5" i="8"/>
  <c r="X5" i="8" s="1"/>
  <c r="M5" i="8"/>
  <c r="Y5" i="8" s="1"/>
  <c r="N5" i="8"/>
  <c r="Z5" i="8" s="1"/>
  <c r="Q5" i="8"/>
  <c r="U3" i="8"/>
  <c r="H17" i="8"/>
  <c r="K17" i="8"/>
  <c r="W17" i="8" s="1"/>
  <c r="I10" i="8"/>
  <c r="U10" i="8" s="1"/>
  <c r="O10" i="8"/>
  <c r="S4" i="8"/>
  <c r="R4" i="8"/>
  <c r="I8" i="8"/>
  <c r="U8" i="8" s="1"/>
  <c r="O8" i="8"/>
  <c r="K8" i="8"/>
  <c r="W8" i="8" s="1"/>
  <c r="H8" i="8"/>
  <c r="K26" i="8"/>
  <c r="H26" i="8"/>
  <c r="K20" i="8"/>
  <c r="H20" i="8"/>
  <c r="I17" i="8"/>
  <c r="U17" i="8" s="1"/>
  <c r="I13" i="8"/>
  <c r="U13" i="8" s="1"/>
  <c r="Q12" i="8"/>
  <c r="R12" i="8" s="1"/>
  <c r="M12" i="8"/>
  <c r="Y12" i="8" s="1"/>
  <c r="P12" i="8"/>
  <c r="P10" i="8"/>
  <c r="H10" i="8"/>
  <c r="N14" i="8"/>
  <c r="Z14" i="8" s="1"/>
  <c r="O13" i="8"/>
  <c r="T13" i="8" s="1"/>
  <c r="N8" i="8"/>
  <c r="Z8" i="8" s="1"/>
  <c r="O7" i="8"/>
  <c r="T7" i="8" s="1"/>
  <c r="M3" i="8"/>
  <c r="Y3" i="8" s="1"/>
  <c r="P3" i="8"/>
  <c r="T3" i="8" s="1"/>
  <c r="J3" i="8"/>
  <c r="V3" i="8" s="1"/>
  <c r="R80" i="14"/>
  <c r="S80" i="14"/>
  <c r="R74" i="14"/>
  <c r="S74" i="14"/>
  <c r="R68" i="14"/>
  <c r="S68" i="14"/>
  <c r="H73" i="14"/>
  <c r="O73" i="14"/>
  <c r="I73" i="14"/>
  <c r="J71" i="14"/>
  <c r="V71" i="14" s="1"/>
  <c r="K71" i="14"/>
  <c r="W71" i="14" s="1"/>
  <c r="L71" i="14"/>
  <c r="X71" i="14" s="1"/>
  <c r="W3" i="14"/>
  <c r="R3" i="14"/>
  <c r="K79" i="14"/>
  <c r="K73" i="14"/>
  <c r="N71" i="14"/>
  <c r="Z71" i="14" s="1"/>
  <c r="J108" i="14"/>
  <c r="H104" i="14"/>
  <c r="Q103" i="14"/>
  <c r="R103" i="14" s="1"/>
  <c r="I103" i="14"/>
  <c r="H102" i="14"/>
  <c r="I102" i="14"/>
  <c r="O102" i="14"/>
  <c r="I99" i="14"/>
  <c r="Q99" i="14"/>
  <c r="L99" i="14"/>
  <c r="X99" i="14" s="1"/>
  <c r="M97" i="14"/>
  <c r="Y97" i="14" s="1"/>
  <c r="Q97" i="14"/>
  <c r="W97" i="14" s="1"/>
  <c r="R83" i="14"/>
  <c r="S83" i="14"/>
  <c r="Q81" i="14"/>
  <c r="L81" i="14"/>
  <c r="M81" i="14"/>
  <c r="N81" i="14"/>
  <c r="R77" i="14"/>
  <c r="S77" i="14"/>
  <c r="Q75" i="14"/>
  <c r="L75" i="14"/>
  <c r="M75" i="14"/>
  <c r="N75" i="14"/>
  <c r="R71" i="14"/>
  <c r="S71" i="14"/>
  <c r="Q69" i="14"/>
  <c r="L69" i="14"/>
  <c r="M69" i="14"/>
  <c r="N69" i="14"/>
  <c r="K37" i="14"/>
  <c r="W37" i="14" s="1"/>
  <c r="I37" i="14"/>
  <c r="U37" i="14" s="1"/>
  <c r="R98" i="14"/>
  <c r="S98" i="14"/>
  <c r="L98" i="14"/>
  <c r="X98" i="14" s="1"/>
  <c r="M98" i="14"/>
  <c r="Y98" i="14" s="1"/>
  <c r="L92" i="14"/>
  <c r="M92" i="14"/>
  <c r="Q92" i="14"/>
  <c r="J88" i="14"/>
  <c r="V88" i="14" s="1"/>
  <c r="I88" i="14"/>
  <c r="U88" i="14" s="1"/>
  <c r="K88" i="14"/>
  <c r="W88" i="14" s="1"/>
  <c r="N88" i="14"/>
  <c r="Z88" i="14" s="1"/>
  <c r="H72" i="14"/>
  <c r="I72" i="14"/>
  <c r="U72" i="14" s="1"/>
  <c r="O72" i="14"/>
  <c r="P72" i="14"/>
  <c r="J72" i="14"/>
  <c r="V72" i="14" s="1"/>
  <c r="M72" i="14"/>
  <c r="Y72" i="14" s="1"/>
  <c r="P98" i="14"/>
  <c r="N90" i="14"/>
  <c r="Z90" i="14" s="1"/>
  <c r="M90" i="14"/>
  <c r="Y90" i="14" s="1"/>
  <c r="L90" i="14"/>
  <c r="X90" i="14" s="1"/>
  <c r="N84" i="14"/>
  <c r="L84" i="14"/>
  <c r="M84" i="14"/>
  <c r="M79" i="14"/>
  <c r="N79" i="14"/>
  <c r="P79" i="14"/>
  <c r="Q79" i="14"/>
  <c r="L79" i="14"/>
  <c r="L78" i="14"/>
  <c r="X78" i="14" s="1"/>
  <c r="N78" i="14"/>
  <c r="Z78" i="14" s="1"/>
  <c r="N77" i="14"/>
  <c r="Z77" i="14" s="1"/>
  <c r="M73" i="14"/>
  <c r="N73" i="14"/>
  <c r="P73" i="14"/>
  <c r="Q73" i="14"/>
  <c r="L73" i="14"/>
  <c r="L72" i="14"/>
  <c r="X72" i="14" s="1"/>
  <c r="N72" i="14"/>
  <c r="Z72" i="14" s="1"/>
  <c r="N53" i="14"/>
  <c r="L53" i="14"/>
  <c r="M53" i="14"/>
  <c r="P53" i="14"/>
  <c r="Q53" i="14"/>
  <c r="P106" i="14"/>
  <c r="Q106" i="14"/>
  <c r="K104" i="14"/>
  <c r="P102" i="14"/>
  <c r="N99" i="14"/>
  <c r="Z99" i="14" s="1"/>
  <c r="N97" i="14"/>
  <c r="Z97" i="14" s="1"/>
  <c r="H96" i="14"/>
  <c r="O96" i="14"/>
  <c r="I96" i="14"/>
  <c r="U96" i="14" s="1"/>
  <c r="K93" i="14"/>
  <c r="H93" i="14"/>
  <c r="O93" i="14"/>
  <c r="P92" i="14"/>
  <c r="I91" i="14"/>
  <c r="J91" i="14"/>
  <c r="V91" i="14" s="1"/>
  <c r="L88" i="14"/>
  <c r="X88" i="14" s="1"/>
  <c r="J87" i="14"/>
  <c r="Q87" i="14"/>
  <c r="M87" i="14"/>
  <c r="N87" i="14"/>
  <c r="L87" i="14"/>
  <c r="P81" i="14"/>
  <c r="O80" i="14"/>
  <c r="H80" i="14"/>
  <c r="K80" i="14"/>
  <c r="W80" i="14" s="1"/>
  <c r="P75" i="14"/>
  <c r="O74" i="14"/>
  <c r="H74" i="14"/>
  <c r="K74" i="14"/>
  <c r="W74" i="14" s="1"/>
  <c r="J73" i="14"/>
  <c r="K72" i="14"/>
  <c r="W72" i="14" s="1"/>
  <c r="M71" i="14"/>
  <c r="Y71" i="14" s="1"/>
  <c r="P69" i="14"/>
  <c r="O68" i="14"/>
  <c r="H68" i="14"/>
  <c r="K68" i="14"/>
  <c r="W68" i="14" s="1"/>
  <c r="M60" i="14"/>
  <c r="Q60" i="14"/>
  <c r="U60" i="14" s="1"/>
  <c r="L60" i="14"/>
  <c r="P60" i="14"/>
  <c r="N60" i="14"/>
  <c r="I101" i="14"/>
  <c r="U101" i="14" s="1"/>
  <c r="J101" i="14"/>
  <c r="V101" i="14" s="1"/>
  <c r="H90" i="14"/>
  <c r="O90" i="14"/>
  <c r="J83" i="14"/>
  <c r="V83" i="14" s="1"/>
  <c r="K83" i="14"/>
  <c r="W83" i="14" s="1"/>
  <c r="L83" i="14"/>
  <c r="X83" i="14" s="1"/>
  <c r="H79" i="14"/>
  <c r="O79" i="14"/>
  <c r="I79" i="14"/>
  <c r="J77" i="14"/>
  <c r="V77" i="14" s="1"/>
  <c r="K77" i="14"/>
  <c r="W77" i="14" s="1"/>
  <c r="L77" i="14"/>
  <c r="X77" i="14" s="1"/>
  <c r="Q56" i="14"/>
  <c r="M56" i="14"/>
  <c r="N56" i="14"/>
  <c r="L56" i="14"/>
  <c r="P56" i="14"/>
  <c r="M99" i="14"/>
  <c r="Y99" i="14" s="1"/>
  <c r="N98" i="14"/>
  <c r="Z98" i="14" s="1"/>
  <c r="K96" i="14"/>
  <c r="W96" i="14" s="1"/>
  <c r="N96" i="14"/>
  <c r="Z96" i="14" s="1"/>
  <c r="P96" i="14"/>
  <c r="Q93" i="14"/>
  <c r="N93" i="14"/>
  <c r="M93" i="14"/>
  <c r="Q84" i="14"/>
  <c r="L80" i="14"/>
  <c r="X80" i="14" s="1"/>
  <c r="M80" i="14"/>
  <c r="Y80" i="14" s="1"/>
  <c r="N80" i="14"/>
  <c r="Z80" i="14" s="1"/>
  <c r="P80" i="14"/>
  <c r="L74" i="14"/>
  <c r="X74" i="14" s="1"/>
  <c r="M74" i="14"/>
  <c r="Y74" i="14" s="1"/>
  <c r="N74" i="14"/>
  <c r="Z74" i="14" s="1"/>
  <c r="P74" i="14"/>
  <c r="L68" i="14"/>
  <c r="X68" i="14" s="1"/>
  <c r="M68" i="14"/>
  <c r="Y68" i="14" s="1"/>
  <c r="N68" i="14"/>
  <c r="Z68" i="14" s="1"/>
  <c r="P68" i="14"/>
  <c r="P67" i="14"/>
  <c r="L67" i="14"/>
  <c r="M67" i="14"/>
  <c r="N67" i="14"/>
  <c r="Q67" i="14"/>
  <c r="J45" i="14"/>
  <c r="I45" i="14"/>
  <c r="K45" i="14"/>
  <c r="H78" i="14"/>
  <c r="I78" i="14"/>
  <c r="U78" i="14" s="1"/>
  <c r="O78" i="14"/>
  <c r="P78" i="14"/>
  <c r="J78" i="14"/>
  <c r="V78" i="14" s="1"/>
  <c r="M78" i="14"/>
  <c r="Y78" i="14" s="1"/>
  <c r="S101" i="14"/>
  <c r="J90" i="14"/>
  <c r="V90" i="14" s="1"/>
  <c r="M88" i="14"/>
  <c r="Y88" i="14" s="1"/>
  <c r="K87" i="14"/>
  <c r="H87" i="14"/>
  <c r="O87" i="14"/>
  <c r="N83" i="14"/>
  <c r="Z83" i="14" s="1"/>
  <c r="H108" i="14"/>
  <c r="N108" i="14"/>
  <c r="Z108" i="14" s="1"/>
  <c r="I108" i="14"/>
  <c r="O108" i="14"/>
  <c r="Q105" i="14"/>
  <c r="L105" i="14"/>
  <c r="X105" i="14" s="1"/>
  <c r="K108" i="14"/>
  <c r="I107" i="14"/>
  <c r="U107" i="14" s="1"/>
  <c r="J107" i="14"/>
  <c r="V107" i="14" s="1"/>
  <c r="P105" i="14"/>
  <c r="R104" i="14"/>
  <c r="L104" i="14"/>
  <c r="X104" i="14" s="1"/>
  <c r="M104" i="14"/>
  <c r="Y104" i="14" s="1"/>
  <c r="J103" i="14"/>
  <c r="M103" i="14"/>
  <c r="Y103" i="14" s="1"/>
  <c r="N103" i="14"/>
  <c r="Z103" i="14" s="1"/>
  <c r="P100" i="14"/>
  <c r="Q100" i="14"/>
  <c r="S96" i="14"/>
  <c r="J94" i="14"/>
  <c r="I94" i="14"/>
  <c r="K94" i="14"/>
  <c r="W94" i="14" s="1"/>
  <c r="N92" i="14"/>
  <c r="Q90" i="14"/>
  <c r="S88" i="14"/>
  <c r="P84" i="14"/>
  <c r="U80" i="14"/>
  <c r="U74" i="14"/>
  <c r="S59" i="14"/>
  <c r="R59" i="14"/>
  <c r="S57" i="14"/>
  <c r="R57" i="14"/>
  <c r="J51" i="14"/>
  <c r="I51" i="14"/>
  <c r="K51" i="14"/>
  <c r="I95" i="14"/>
  <c r="O95" i="14"/>
  <c r="N85" i="14"/>
  <c r="Z85" i="14" s="1"/>
  <c r="P82" i="14"/>
  <c r="Q82" i="14"/>
  <c r="V82" i="14" s="1"/>
  <c r="P76" i="14"/>
  <c r="Q76" i="14"/>
  <c r="P70" i="14"/>
  <c r="Q70" i="14"/>
  <c r="S65" i="14"/>
  <c r="V64" i="14"/>
  <c r="Q62" i="14"/>
  <c r="P62" i="14"/>
  <c r="K54" i="14"/>
  <c r="W54" i="14" s="1"/>
  <c r="K43" i="14"/>
  <c r="W43" i="14" s="1"/>
  <c r="J34" i="14"/>
  <c r="V34" i="14" s="1"/>
  <c r="K34" i="14"/>
  <c r="L34" i="14"/>
  <c r="X34" i="14" s="1"/>
  <c r="R26" i="14"/>
  <c r="S26" i="14"/>
  <c r="W26" i="14"/>
  <c r="J63" i="14"/>
  <c r="V63" i="14" s="1"/>
  <c r="K63" i="14"/>
  <c r="W63" i="14" s="1"/>
  <c r="J61" i="14"/>
  <c r="V61" i="14" s="1"/>
  <c r="S61" i="14"/>
  <c r="H42" i="14"/>
  <c r="I42" i="14"/>
  <c r="O42" i="14"/>
  <c r="J42" i="14"/>
  <c r="K42" i="14"/>
  <c r="K27" i="14"/>
  <c r="W27" i="14" s="1"/>
  <c r="V3" i="14"/>
  <c r="S85" i="14"/>
  <c r="J85" i="14"/>
  <c r="V85" i="14" s="1"/>
  <c r="I77" i="14"/>
  <c r="U77" i="14" s="1"/>
  <c r="I71" i="14"/>
  <c r="U71" i="14" s="1"/>
  <c r="L63" i="14"/>
  <c r="X63" i="14" s="1"/>
  <c r="N61" i="14"/>
  <c r="Z61" i="14" s="1"/>
  <c r="I61" i="14"/>
  <c r="U61" i="14" s="1"/>
  <c r="V59" i="14"/>
  <c r="N59" i="14"/>
  <c r="Z59" i="14" s="1"/>
  <c r="M59" i="14"/>
  <c r="Y59" i="14" s="1"/>
  <c r="L59" i="14"/>
  <c r="X59" i="14" s="1"/>
  <c r="S54" i="14"/>
  <c r="P51" i="14"/>
  <c r="N51" i="14"/>
  <c r="M51" i="14"/>
  <c r="K50" i="14"/>
  <c r="O50" i="14"/>
  <c r="R46" i="14"/>
  <c r="S46" i="14"/>
  <c r="P45" i="14"/>
  <c r="M45" i="14"/>
  <c r="N45" i="14"/>
  <c r="Q45" i="14"/>
  <c r="R37" i="14"/>
  <c r="S37" i="14"/>
  <c r="L24" i="14"/>
  <c r="M24" i="14"/>
  <c r="N24" i="14"/>
  <c r="P24" i="14"/>
  <c r="Q24" i="14"/>
  <c r="U24" i="14" s="1"/>
  <c r="S21" i="14"/>
  <c r="R21" i="14"/>
  <c r="R12" i="14"/>
  <c r="S12" i="14"/>
  <c r="J12" i="14"/>
  <c r="V12" i="14" s="1"/>
  <c r="I12" i="14"/>
  <c r="U12" i="14" s="1"/>
  <c r="K12" i="14"/>
  <c r="W12" i="14" s="1"/>
  <c r="I83" i="14"/>
  <c r="U83" i="14" s="1"/>
  <c r="M95" i="14"/>
  <c r="P85" i="14"/>
  <c r="I85" i="14"/>
  <c r="U85" i="14" s="1"/>
  <c r="M85" i="14"/>
  <c r="Y85" i="14" s="1"/>
  <c r="L82" i="14"/>
  <c r="L76" i="14"/>
  <c r="L70" i="14"/>
  <c r="I63" i="14"/>
  <c r="U63" i="14" s="1"/>
  <c r="P63" i="14"/>
  <c r="N63" i="14"/>
  <c r="Z63" i="14" s="1"/>
  <c r="N62" i="14"/>
  <c r="K61" i="14"/>
  <c r="W61" i="14" s="1"/>
  <c r="U59" i="14"/>
  <c r="N54" i="14"/>
  <c r="Z54" i="14" s="1"/>
  <c r="H54" i="14"/>
  <c r="O54" i="14"/>
  <c r="I54" i="14"/>
  <c r="U54" i="14" s="1"/>
  <c r="P54" i="14"/>
  <c r="J54" i="14"/>
  <c r="V54" i="14" s="1"/>
  <c r="I50" i="14"/>
  <c r="Q50" i="14"/>
  <c r="L50" i="14"/>
  <c r="M50" i="14"/>
  <c r="N50" i="14"/>
  <c r="O43" i="14"/>
  <c r="H43" i="14"/>
  <c r="I43" i="14"/>
  <c r="U43" i="14" s="1"/>
  <c r="J43" i="14"/>
  <c r="V43" i="14" s="1"/>
  <c r="L42" i="14"/>
  <c r="L95" i="14"/>
  <c r="M91" i="14"/>
  <c r="I89" i="14"/>
  <c r="U89" i="14" s="1"/>
  <c r="O89" i="14"/>
  <c r="Q86" i="14"/>
  <c r="O85" i="14"/>
  <c r="R65" i="14"/>
  <c r="W64" i="14"/>
  <c r="I64" i="14"/>
  <c r="U64" i="14" s="1"/>
  <c r="O64" i="14"/>
  <c r="M64" i="14"/>
  <c r="Y64" i="14" s="1"/>
  <c r="L64" i="14"/>
  <c r="X64" i="14" s="1"/>
  <c r="N64" i="14"/>
  <c r="Z64" i="14" s="1"/>
  <c r="M62" i="14"/>
  <c r="K62" i="14"/>
  <c r="H62" i="14"/>
  <c r="O62" i="14"/>
  <c r="I62" i="14"/>
  <c r="O53" i="14"/>
  <c r="Q51" i="14"/>
  <c r="H50" i="14"/>
  <c r="S48" i="14"/>
  <c r="W48" i="14"/>
  <c r="I46" i="14"/>
  <c r="U46" i="14" s="1"/>
  <c r="O46" i="14"/>
  <c r="H46" i="14"/>
  <c r="P46" i="14"/>
  <c r="J46" i="14"/>
  <c r="V46" i="14" s="1"/>
  <c r="K46" i="14"/>
  <c r="W46" i="14" s="1"/>
  <c r="Q32" i="14"/>
  <c r="V32" i="14" s="1"/>
  <c r="L32" i="14"/>
  <c r="N32" i="14"/>
  <c r="M32" i="14"/>
  <c r="J31" i="14"/>
  <c r="V31" i="14" s="1"/>
  <c r="L31" i="14"/>
  <c r="X31" i="14" s="1"/>
  <c r="M31" i="14"/>
  <c r="Y31" i="14" s="1"/>
  <c r="P31" i="14"/>
  <c r="N31" i="14"/>
  <c r="Z31" i="14" s="1"/>
  <c r="L30" i="14"/>
  <c r="X30" i="14" s="1"/>
  <c r="M30" i="14"/>
  <c r="Y30" i="14" s="1"/>
  <c r="N30" i="14"/>
  <c r="Z30" i="14" s="1"/>
  <c r="P30" i="14"/>
  <c r="H11" i="14"/>
  <c r="K11" i="14"/>
  <c r="O11" i="14"/>
  <c r="I11" i="14"/>
  <c r="J11" i="14"/>
  <c r="H65" i="14"/>
  <c r="I65" i="14"/>
  <c r="U65" i="14" s="1"/>
  <c r="J57" i="14"/>
  <c r="V57" i="14" s="1"/>
  <c r="I57" i="14"/>
  <c r="U57" i="14" s="1"/>
  <c r="I49" i="14"/>
  <c r="J49" i="14"/>
  <c r="V49" i="14" s="1"/>
  <c r="H48" i="14"/>
  <c r="O48" i="14"/>
  <c r="N47" i="14"/>
  <c r="L47" i="14"/>
  <c r="L43" i="14"/>
  <c r="X43" i="14" s="1"/>
  <c r="M43" i="14"/>
  <c r="Y43" i="14" s="1"/>
  <c r="P43" i="14"/>
  <c r="N43" i="14"/>
  <c r="Z43" i="14" s="1"/>
  <c r="M42" i="14"/>
  <c r="N42" i="14"/>
  <c r="P42" i="14"/>
  <c r="Q42" i="14"/>
  <c r="H41" i="14"/>
  <c r="I41" i="14"/>
  <c r="U41" i="14" s="1"/>
  <c r="O41" i="14"/>
  <c r="J41" i="14"/>
  <c r="V41" i="14" s="1"/>
  <c r="P41" i="14"/>
  <c r="S40" i="14"/>
  <c r="P39" i="14"/>
  <c r="Q39" i="14"/>
  <c r="Z39" i="14" s="1"/>
  <c r="L39" i="14"/>
  <c r="M39" i="14"/>
  <c r="K38" i="14"/>
  <c r="O38" i="14"/>
  <c r="O37" i="14"/>
  <c r="H37" i="14"/>
  <c r="H36" i="14"/>
  <c r="I36" i="14"/>
  <c r="O36" i="14"/>
  <c r="R31" i="14"/>
  <c r="S31" i="14"/>
  <c r="R30" i="14"/>
  <c r="S30" i="14"/>
  <c r="K29" i="14"/>
  <c r="W29" i="14" s="1"/>
  <c r="H29" i="14"/>
  <c r="I29" i="14"/>
  <c r="U29" i="14" s="1"/>
  <c r="S27" i="14"/>
  <c r="R27" i="14"/>
  <c r="I27" i="14"/>
  <c r="U27" i="14" s="1"/>
  <c r="O27" i="14"/>
  <c r="M27" i="14"/>
  <c r="Y27" i="14" s="1"/>
  <c r="N27" i="14"/>
  <c r="Z27" i="14" s="1"/>
  <c r="H27" i="14"/>
  <c r="P27" i="14"/>
  <c r="J27" i="14"/>
  <c r="V27" i="14" s="1"/>
  <c r="S25" i="14"/>
  <c r="S9" i="14"/>
  <c r="O83" i="14"/>
  <c r="O77" i="14"/>
  <c r="O71" i="14"/>
  <c r="P66" i="14"/>
  <c r="I66" i="14"/>
  <c r="U66" i="14" s="1"/>
  <c r="K65" i="14"/>
  <c r="W65" i="14" s="1"/>
  <c r="N65" i="14"/>
  <c r="Z65" i="14" s="1"/>
  <c r="P65" i="14"/>
  <c r="R63" i="14"/>
  <c r="R61" i="14"/>
  <c r="T61" i="14"/>
  <c r="L61" i="14"/>
  <c r="X61" i="14" s="1"/>
  <c r="M61" i="14"/>
  <c r="Y61" i="14" s="1"/>
  <c r="K60" i="14"/>
  <c r="H59" i="14"/>
  <c r="O59" i="14"/>
  <c r="L57" i="14"/>
  <c r="X57" i="14" s="1"/>
  <c r="L55" i="14"/>
  <c r="Q55" i="14"/>
  <c r="J52" i="14"/>
  <c r="K52" i="14"/>
  <c r="M49" i="14"/>
  <c r="J48" i="14"/>
  <c r="V48" i="14" s="1"/>
  <c r="M48" i="14"/>
  <c r="Y48" i="14" s="1"/>
  <c r="N48" i="14"/>
  <c r="Z48" i="14" s="1"/>
  <c r="Q47" i="14"/>
  <c r="L41" i="14"/>
  <c r="X41" i="14" s="1"/>
  <c r="N41" i="14"/>
  <c r="Z41" i="14" s="1"/>
  <c r="J40" i="14"/>
  <c r="K40" i="14"/>
  <c r="W40" i="14" s="1"/>
  <c r="L40" i="14"/>
  <c r="I38" i="14"/>
  <c r="Q38" i="14"/>
  <c r="L38" i="14"/>
  <c r="N38" i="14"/>
  <c r="M38" i="14"/>
  <c r="J37" i="14"/>
  <c r="V37" i="14" s="1"/>
  <c r="L37" i="14"/>
  <c r="X37" i="14" s="1"/>
  <c r="M37" i="14"/>
  <c r="Y37" i="14" s="1"/>
  <c r="P37" i="14"/>
  <c r="N37" i="14"/>
  <c r="Z37" i="14" s="1"/>
  <c r="K36" i="14"/>
  <c r="M36" i="14"/>
  <c r="N36" i="14"/>
  <c r="P36" i="14"/>
  <c r="Q36" i="14"/>
  <c r="H35" i="14"/>
  <c r="I35" i="14"/>
  <c r="O35" i="14"/>
  <c r="J35" i="14"/>
  <c r="P35" i="14"/>
  <c r="S34" i="14"/>
  <c r="P33" i="14"/>
  <c r="Q33" i="14"/>
  <c r="L33" i="14"/>
  <c r="M33" i="14"/>
  <c r="K32" i="14"/>
  <c r="O32" i="14"/>
  <c r="O31" i="14"/>
  <c r="H31" i="14"/>
  <c r="O29" i="14"/>
  <c r="L27" i="14"/>
  <c r="X27" i="14" s="1"/>
  <c r="W22" i="14"/>
  <c r="S18" i="14"/>
  <c r="V15" i="14"/>
  <c r="S14" i="14"/>
  <c r="R9" i="14"/>
  <c r="S29" i="14"/>
  <c r="R29" i="14"/>
  <c r="P26" i="14"/>
  <c r="L26" i="14"/>
  <c r="X26" i="14" s="1"/>
  <c r="M26" i="14"/>
  <c r="Y26" i="14" s="1"/>
  <c r="H24" i="14"/>
  <c r="O24" i="14"/>
  <c r="I21" i="14"/>
  <c r="U21" i="14" s="1"/>
  <c r="O21" i="14"/>
  <c r="L18" i="14"/>
  <c r="X18" i="14" s="1"/>
  <c r="P18" i="14"/>
  <c r="M18" i="14"/>
  <c r="Y18" i="14" s="1"/>
  <c r="N18" i="14"/>
  <c r="Z18" i="14" s="1"/>
  <c r="M17" i="14"/>
  <c r="Y17" i="14" s="1"/>
  <c r="Q17" i="14"/>
  <c r="N17" i="14"/>
  <c r="Z17" i="14" s="1"/>
  <c r="P17" i="14"/>
  <c r="N16" i="14"/>
  <c r="Z16" i="14" s="1"/>
  <c r="L16" i="14"/>
  <c r="X16" i="14" s="1"/>
  <c r="P16" i="14"/>
  <c r="Q16" i="14"/>
  <c r="U14" i="14"/>
  <c r="P14" i="14"/>
  <c r="N14" i="14"/>
  <c r="Z14" i="14" s="1"/>
  <c r="L14" i="14"/>
  <c r="X14" i="14" s="1"/>
  <c r="M14" i="14"/>
  <c r="Y14" i="14" s="1"/>
  <c r="M54" i="14"/>
  <c r="Y54" i="14" s="1"/>
  <c r="I52" i="14"/>
  <c r="O52" i="14"/>
  <c r="L44" i="14"/>
  <c r="I40" i="14"/>
  <c r="I34" i="14"/>
  <c r="M29" i="14"/>
  <c r="Y29" i="14" s="1"/>
  <c r="L29" i="14"/>
  <c r="X29" i="14" s="1"/>
  <c r="N29" i="14"/>
  <c r="Z29" i="14" s="1"/>
  <c r="I28" i="14"/>
  <c r="U28" i="14" s="1"/>
  <c r="K28" i="14"/>
  <c r="W28" i="14" s="1"/>
  <c r="N26" i="14"/>
  <c r="Z26" i="14" s="1"/>
  <c r="M23" i="14"/>
  <c r="Q23" i="14"/>
  <c r="L23" i="14"/>
  <c r="M11" i="14"/>
  <c r="Y11" i="14" s="1"/>
  <c r="N11" i="14"/>
  <c r="Z11" i="14" s="1"/>
  <c r="Q11" i="14"/>
  <c r="P11" i="14"/>
  <c r="I58" i="14"/>
  <c r="U58" i="14" s="1"/>
  <c r="O58" i="14"/>
  <c r="L49" i="14"/>
  <c r="O30" i="14"/>
  <c r="H22" i="14"/>
  <c r="O22" i="14"/>
  <c r="I22" i="14"/>
  <c r="U22" i="14" s="1"/>
  <c r="J22" i="14"/>
  <c r="V22" i="14" s="1"/>
  <c r="L17" i="14"/>
  <c r="X17" i="14" s="1"/>
  <c r="K17" i="14"/>
  <c r="W17" i="14" s="1"/>
  <c r="O17" i="14"/>
  <c r="H17" i="14"/>
  <c r="M16" i="14"/>
  <c r="Y16" i="14" s="1"/>
  <c r="H16" i="14"/>
  <c r="O16" i="14"/>
  <c r="I16" i="14"/>
  <c r="H10" i="14"/>
  <c r="I10" i="14"/>
  <c r="O10" i="14"/>
  <c r="R7" i="14"/>
  <c r="R4" i="14"/>
  <c r="O40" i="14"/>
  <c r="O34" i="14"/>
  <c r="J28" i="14"/>
  <c r="V28" i="14" s="1"/>
  <c r="N28" i="14"/>
  <c r="Z28" i="14" s="1"/>
  <c r="V26" i="14"/>
  <c r="P25" i="14"/>
  <c r="I25" i="14"/>
  <c r="P22" i="14"/>
  <c r="K20" i="14"/>
  <c r="K15" i="14"/>
  <c r="W15" i="14" s="1"/>
  <c r="I15" i="14"/>
  <c r="U15" i="14" s="1"/>
  <c r="O15" i="14"/>
  <c r="L12" i="14"/>
  <c r="X12" i="14" s="1"/>
  <c r="M12" i="14"/>
  <c r="Y12" i="14" s="1"/>
  <c r="P12" i="14"/>
  <c r="T12" i="14" s="1"/>
  <c r="K10" i="14"/>
  <c r="W10" i="14" s="1"/>
  <c r="I9" i="14"/>
  <c r="H5" i="14"/>
  <c r="K5" i="14"/>
  <c r="K19" i="14"/>
  <c r="W19" i="14" s="1"/>
  <c r="I19" i="14"/>
  <c r="U19" i="14" s="1"/>
  <c r="O19" i="14"/>
  <c r="T19" i="14" s="1"/>
  <c r="K13" i="14"/>
  <c r="W13" i="14" s="1"/>
  <c r="I13" i="14"/>
  <c r="U13" i="14" s="1"/>
  <c r="O13" i="14"/>
  <c r="J10" i="14"/>
  <c r="V10" i="14" s="1"/>
  <c r="K9" i="14"/>
  <c r="Q6" i="14"/>
  <c r="L6" i="14"/>
  <c r="X6" i="14" s="1"/>
  <c r="M6" i="14"/>
  <c r="Y6" i="14" s="1"/>
  <c r="P6" i="14"/>
  <c r="L10" i="14"/>
  <c r="X10" i="14" s="1"/>
  <c r="N8" i="14"/>
  <c r="Z8" i="14" s="1"/>
  <c r="O7" i="14"/>
  <c r="I7" i="14"/>
  <c r="Q5" i="14"/>
  <c r="L4" i="14"/>
  <c r="X4" i="14" s="1"/>
  <c r="S3" i="14"/>
  <c r="Q8" i="14"/>
  <c r="V8" i="14" s="1"/>
  <c r="N5" i="14"/>
  <c r="Z5" i="14" s="1"/>
  <c r="O4" i="14"/>
  <c r="I4" i="14"/>
  <c r="U4" i="14" s="1"/>
  <c r="O9" i="14"/>
  <c r="T9" i="14" s="1"/>
  <c r="M5" i="14"/>
  <c r="Y5" i="14" s="1"/>
  <c r="O3" i="14"/>
  <c r="V79" i="18"/>
  <c r="S65" i="18"/>
  <c r="V65" i="18"/>
  <c r="Y79" i="18"/>
  <c r="V99" i="18"/>
  <c r="U106" i="18"/>
  <c r="Z96" i="18"/>
  <c r="Z91" i="18"/>
  <c r="H89" i="18"/>
  <c r="I89" i="18"/>
  <c r="U89" i="18" s="1"/>
  <c r="P106" i="18"/>
  <c r="Z102" i="18"/>
  <c r="W101" i="18"/>
  <c r="P100" i="18"/>
  <c r="U100" i="18"/>
  <c r="Y99" i="18"/>
  <c r="Y96" i="18"/>
  <c r="U95" i="18"/>
  <c r="P91" i="18"/>
  <c r="T91" i="18" s="1"/>
  <c r="S90" i="18"/>
  <c r="I90" i="18"/>
  <c r="U90" i="18" s="1"/>
  <c r="M90" i="18"/>
  <c r="Y90" i="18" s="1"/>
  <c r="K89" i="18"/>
  <c r="W89" i="18" s="1"/>
  <c r="N89" i="18"/>
  <c r="Z89" i="18" s="1"/>
  <c r="P89" i="18"/>
  <c r="X88" i="18"/>
  <c r="P86" i="18"/>
  <c r="X85" i="18"/>
  <c r="Y85" i="18"/>
  <c r="L83" i="18"/>
  <c r="X83" i="18" s="1"/>
  <c r="W82" i="18"/>
  <c r="I82" i="18"/>
  <c r="U82" i="18" s="1"/>
  <c r="O82" i="18"/>
  <c r="N82" i="18"/>
  <c r="Z82" i="18" s="1"/>
  <c r="L82" i="18"/>
  <c r="X82" i="18" s="1"/>
  <c r="X81" i="18"/>
  <c r="V80" i="18"/>
  <c r="P73" i="18"/>
  <c r="T73" i="18" s="1"/>
  <c r="V64" i="18"/>
  <c r="U63" i="18"/>
  <c r="Y63" i="18"/>
  <c r="P63" i="18"/>
  <c r="T63" i="18" s="1"/>
  <c r="P49" i="18"/>
  <c r="X72" i="18"/>
  <c r="P68" i="18"/>
  <c r="L68" i="18"/>
  <c r="Q68" i="18"/>
  <c r="W68" i="18" s="1"/>
  <c r="N68" i="18"/>
  <c r="V54" i="18"/>
  <c r="Z106" i="18"/>
  <c r="P104" i="18"/>
  <c r="V104" i="18"/>
  <c r="Z103" i="18"/>
  <c r="X102" i="18"/>
  <c r="P101" i="18"/>
  <c r="W99" i="18"/>
  <c r="P98" i="18"/>
  <c r="T98" i="18" s="1"/>
  <c r="Y97" i="18"/>
  <c r="W96" i="18"/>
  <c r="P93" i="18"/>
  <c r="W92" i="18"/>
  <c r="U92" i="18"/>
  <c r="P92" i="18"/>
  <c r="Y91" i="18"/>
  <c r="O90" i="18"/>
  <c r="T90" i="18" s="1"/>
  <c r="Q89" i="18"/>
  <c r="Y86" i="18"/>
  <c r="J83" i="18"/>
  <c r="V83" i="18" s="1"/>
  <c r="N83" i="18"/>
  <c r="Z83" i="18" s="1"/>
  <c r="H82" i="18"/>
  <c r="W78" i="18"/>
  <c r="P78" i="18"/>
  <c r="T78" i="18" s="1"/>
  <c r="P74" i="18"/>
  <c r="T74" i="18" s="1"/>
  <c r="U72" i="18"/>
  <c r="U62" i="18"/>
  <c r="Z60" i="18"/>
  <c r="U57" i="18"/>
  <c r="X57" i="18"/>
  <c r="V57" i="18"/>
  <c r="Y57" i="18"/>
  <c r="P57" i="18"/>
  <c r="Z51" i="18"/>
  <c r="W51" i="18"/>
  <c r="Y51" i="18"/>
  <c r="V101" i="18"/>
  <c r="U88" i="18"/>
  <c r="Y88" i="18"/>
  <c r="Y93" i="18"/>
  <c r="Z69" i="18"/>
  <c r="P69" i="18"/>
  <c r="Y67" i="18"/>
  <c r="K67" i="18"/>
  <c r="W67" i="18" s="1"/>
  <c r="I67" i="18"/>
  <c r="U67" i="18" s="1"/>
  <c r="P67" i="18"/>
  <c r="J67" i="18"/>
  <c r="V67" i="18" s="1"/>
  <c r="O67" i="18"/>
  <c r="W54" i="18"/>
  <c r="W48" i="18"/>
  <c r="V84" i="18"/>
  <c r="P77" i="18"/>
  <c r="Y106" i="18"/>
  <c r="I83" i="18"/>
  <c r="U83" i="18" s="1"/>
  <c r="X75" i="18"/>
  <c r="V71" i="18"/>
  <c r="V103" i="18"/>
  <c r="P102" i="18"/>
  <c r="T102" i="18" s="1"/>
  <c r="U102" i="18"/>
  <c r="P99" i="18"/>
  <c r="W97" i="18"/>
  <c r="L90" i="18"/>
  <c r="X90" i="18" s="1"/>
  <c r="M89" i="18"/>
  <c r="Y89" i="18" s="1"/>
  <c r="P88" i="18"/>
  <c r="T88" i="18" s="1"/>
  <c r="V86" i="18"/>
  <c r="S81" i="18"/>
  <c r="Y75" i="18"/>
  <c r="W75" i="18"/>
  <c r="P71" i="18"/>
  <c r="V69" i="18"/>
  <c r="L67" i="18"/>
  <c r="X67" i="18" s="1"/>
  <c r="U65" i="18"/>
  <c r="M65" i="18"/>
  <c r="Y65" i="18" s="1"/>
  <c r="L65" i="18"/>
  <c r="X65" i="18" s="1"/>
  <c r="N65" i="18"/>
  <c r="Z65" i="18" s="1"/>
  <c r="P58" i="18"/>
  <c r="T58" i="18" s="1"/>
  <c r="Y58" i="18"/>
  <c r="H83" i="18"/>
  <c r="O83" i="18"/>
  <c r="W102" i="18"/>
  <c r="Z93" i="18"/>
  <c r="Z88" i="18"/>
  <c r="M83" i="18"/>
  <c r="Y83" i="18" s="1"/>
  <c r="W80" i="18"/>
  <c r="U80" i="18"/>
  <c r="P80" i="18"/>
  <c r="U79" i="18"/>
  <c r="X79" i="18"/>
  <c r="Z79" i="18"/>
  <c r="Y74" i="18"/>
  <c r="U70" i="18"/>
  <c r="X70" i="18"/>
  <c r="V70" i="18"/>
  <c r="M68" i="18"/>
  <c r="H67" i="18"/>
  <c r="W64" i="18"/>
  <c r="N64" i="18"/>
  <c r="Z64" i="18" s="1"/>
  <c r="P64" i="18"/>
  <c r="M64" i="18"/>
  <c r="Y64" i="18" s="1"/>
  <c r="L64" i="18"/>
  <c r="X64" i="18" s="1"/>
  <c r="P50" i="18"/>
  <c r="T50" i="18" s="1"/>
  <c r="V93" i="18"/>
  <c r="I81" i="18"/>
  <c r="U81" i="18" s="1"/>
  <c r="Z80" i="18"/>
  <c r="Y78" i="18"/>
  <c r="U76" i="18"/>
  <c r="I66" i="18"/>
  <c r="U66" i="18" s="1"/>
  <c r="L66" i="18"/>
  <c r="X66" i="18" s="1"/>
  <c r="N66" i="18"/>
  <c r="Z66" i="18" s="1"/>
  <c r="H64" i="18"/>
  <c r="I64" i="18"/>
  <c r="U64" i="18" s="1"/>
  <c r="V53" i="18"/>
  <c r="Z53" i="18"/>
  <c r="Y53" i="18"/>
  <c r="V52" i="18"/>
  <c r="X52" i="18"/>
  <c r="X41" i="18"/>
  <c r="V33" i="18"/>
  <c r="U33" i="18"/>
  <c r="Y54" i="18"/>
  <c r="X54" i="18"/>
  <c r="V45" i="18"/>
  <c r="X45" i="18"/>
  <c r="P44" i="18"/>
  <c r="V24" i="18"/>
  <c r="W24" i="18"/>
  <c r="X24" i="18"/>
  <c r="R65" i="18"/>
  <c r="W61" i="18"/>
  <c r="U58" i="18"/>
  <c r="V56" i="18"/>
  <c r="U56" i="18"/>
  <c r="P54" i="18"/>
  <c r="Y39" i="18"/>
  <c r="V61" i="18"/>
  <c r="W53" i="18"/>
  <c r="Y48" i="18"/>
  <c r="X48" i="18"/>
  <c r="Z48" i="18"/>
  <c r="P48" i="18"/>
  <c r="T48" i="18" s="1"/>
  <c r="Z44" i="18"/>
  <c r="U46" i="18"/>
  <c r="P38" i="18"/>
  <c r="X36" i="18"/>
  <c r="U36" i="18"/>
  <c r="P36" i="18"/>
  <c r="T36" i="18" s="1"/>
  <c r="V35" i="18"/>
  <c r="Y35" i="18"/>
  <c r="X35" i="18"/>
  <c r="V31" i="18"/>
  <c r="Y31" i="18"/>
  <c r="U51" i="18"/>
  <c r="U39" i="18"/>
  <c r="V19" i="18"/>
  <c r="I13" i="18"/>
  <c r="U13" i="18" s="1"/>
  <c r="O13" i="18"/>
  <c r="J13" i="18"/>
  <c r="V13" i="18" s="1"/>
  <c r="P13" i="18"/>
  <c r="H13" i="18"/>
  <c r="K13" i="18"/>
  <c r="W13" i="18" s="1"/>
  <c r="X39" i="18"/>
  <c r="U37" i="18"/>
  <c r="P35" i="18"/>
  <c r="P33" i="18"/>
  <c r="T33" i="18" s="1"/>
  <c r="Z33" i="18"/>
  <c r="P32" i="18"/>
  <c r="T32" i="18" s="1"/>
  <c r="X30" i="18"/>
  <c r="X42" i="18"/>
  <c r="U42" i="18"/>
  <c r="Z41" i="18"/>
  <c r="Y41" i="18"/>
  <c r="W39" i="18"/>
  <c r="P37" i="18"/>
  <c r="T37" i="18" s="1"/>
  <c r="Y34" i="18"/>
  <c r="V34" i="18"/>
  <c r="W30" i="18"/>
  <c r="X29" i="18"/>
  <c r="V29" i="18"/>
  <c r="Y29" i="18"/>
  <c r="S17" i="18"/>
  <c r="Z32" i="18"/>
  <c r="U30" i="18"/>
  <c r="P42" i="18"/>
  <c r="P31" i="18"/>
  <c r="X31" i="18"/>
  <c r="U24" i="18"/>
  <c r="P22" i="18"/>
  <c r="T22" i="18" s="1"/>
  <c r="X22" i="18"/>
  <c r="V22" i="18"/>
  <c r="S12" i="18"/>
  <c r="U11" i="18"/>
  <c r="P11" i="18"/>
  <c r="P9" i="18"/>
  <c r="Y9" i="18"/>
  <c r="Z9" i="18"/>
  <c r="P23" i="18"/>
  <c r="V23" i="18"/>
  <c r="J18" i="18"/>
  <c r="V18" i="18" s="1"/>
  <c r="I18" i="18"/>
  <c r="U18" i="18" s="1"/>
  <c r="P16" i="18"/>
  <c r="T16" i="18" s="1"/>
  <c r="X16" i="18"/>
  <c r="Y16" i="18"/>
  <c r="X26" i="18"/>
  <c r="U25" i="18"/>
  <c r="P25" i="18"/>
  <c r="T25" i="18" s="1"/>
  <c r="P20" i="18"/>
  <c r="V20" i="18"/>
  <c r="K14" i="18"/>
  <c r="H14" i="18"/>
  <c r="P14" i="18"/>
  <c r="J14" i="18"/>
  <c r="O14" i="18"/>
  <c r="R13" i="18"/>
  <c r="S13" i="18"/>
  <c r="J12" i="18"/>
  <c r="V12" i="18" s="1"/>
  <c r="K12" i="18"/>
  <c r="W12" i="18" s="1"/>
  <c r="I12" i="18"/>
  <c r="U12" i="18" s="1"/>
  <c r="U34" i="18"/>
  <c r="V28" i="18"/>
  <c r="P26" i="18"/>
  <c r="V25" i="18"/>
  <c r="N18" i="18"/>
  <c r="Z18" i="18" s="1"/>
  <c r="P18" i="18"/>
  <c r="L18" i="18"/>
  <c r="X18" i="18" s="1"/>
  <c r="U16" i="18"/>
  <c r="H5" i="18"/>
  <c r="I5" i="18"/>
  <c r="U5" i="18" s="1"/>
  <c r="O5" i="18"/>
  <c r="K5" i="18"/>
  <c r="W5" i="18" s="1"/>
  <c r="J5" i="18"/>
  <c r="V5" i="18" s="1"/>
  <c r="Y25" i="18"/>
  <c r="Y21" i="18"/>
  <c r="X20" i="18"/>
  <c r="Z20" i="18"/>
  <c r="P15" i="18"/>
  <c r="Z24" i="18"/>
  <c r="I17" i="18"/>
  <c r="U17" i="18" s="1"/>
  <c r="O17" i="18"/>
  <c r="T17" i="18" s="1"/>
  <c r="K17" i="18"/>
  <c r="W17" i="18" s="1"/>
  <c r="V16" i="18"/>
  <c r="Q14" i="18"/>
  <c r="U14" i="18" s="1"/>
  <c r="L14" i="18"/>
  <c r="X14" i="18" s="1"/>
  <c r="N14" i="18"/>
  <c r="Z14" i="18" s="1"/>
  <c r="U10" i="18"/>
  <c r="W9" i="18"/>
  <c r="I7" i="18"/>
  <c r="I8" i="18"/>
  <c r="K8" i="18"/>
  <c r="H8" i="18"/>
  <c r="Q6" i="18"/>
  <c r="M6" i="18"/>
  <c r="Y6" i="18" s="1"/>
  <c r="N6" i="18"/>
  <c r="Z6" i="18" s="1"/>
  <c r="P6" i="18"/>
  <c r="W15" i="18"/>
  <c r="M12" i="18"/>
  <c r="Y12" i="18" s="1"/>
  <c r="N12" i="18"/>
  <c r="Z12" i="18" s="1"/>
  <c r="P12" i="18"/>
  <c r="T12" i="18" s="1"/>
  <c r="U4" i="18"/>
  <c r="V4" i="18"/>
  <c r="N8" i="18"/>
  <c r="Z8" i="18" s="1"/>
  <c r="O7" i="18"/>
  <c r="X4" i="18"/>
  <c r="Y3" i="18"/>
  <c r="L8" i="18"/>
  <c r="X8" i="18" s="1"/>
  <c r="W3" i="18"/>
  <c r="Z2" i="18"/>
  <c r="Y2" i="18"/>
  <c r="P2" i="18"/>
  <c r="T18" i="18" l="1"/>
  <c r="T66" i="18"/>
  <c r="T3" i="14"/>
  <c r="V4" i="14"/>
  <c r="U10" i="14"/>
  <c r="V33" i="14"/>
  <c r="U35" i="14"/>
  <c r="S20" i="14"/>
  <c r="V62" i="14"/>
  <c r="W104" i="14"/>
  <c r="R35" i="14"/>
  <c r="Y25" i="14"/>
  <c r="T13" i="14"/>
  <c r="W20" i="14"/>
  <c r="S4" i="14"/>
  <c r="V20" i="14"/>
  <c r="X36" i="14"/>
  <c r="R66" i="14"/>
  <c r="Y44" i="14"/>
  <c r="Z94" i="14"/>
  <c r="W105" i="14"/>
  <c r="U7" i="14"/>
  <c r="U25" i="14"/>
  <c r="V7" i="14"/>
  <c r="V35" i="14"/>
  <c r="T77" i="14"/>
  <c r="V75" i="14"/>
  <c r="V81" i="14"/>
  <c r="W99" i="14"/>
  <c r="X35" i="14"/>
  <c r="W25" i="14"/>
  <c r="Z91" i="14"/>
  <c r="T88" i="14"/>
  <c r="X66" i="14"/>
  <c r="Y66" i="14"/>
  <c r="Z66" i="14"/>
  <c r="T20" i="14"/>
  <c r="T7" i="14"/>
  <c r="T14" i="14"/>
  <c r="T83" i="14"/>
  <c r="T98" i="14"/>
  <c r="X25" i="14"/>
  <c r="W44" i="14"/>
  <c r="U20" i="14"/>
  <c r="Z35" i="14"/>
  <c r="W7" i="14"/>
  <c r="W35" i="14"/>
  <c r="U104" i="14"/>
  <c r="T26" i="14"/>
  <c r="Y58" i="14"/>
  <c r="R58" i="14"/>
  <c r="T58" i="14"/>
  <c r="X40" i="14"/>
  <c r="T104" i="14"/>
  <c r="R91" i="14"/>
  <c r="R40" i="14"/>
  <c r="T91" i="14"/>
  <c r="V104" i="14"/>
  <c r="V29" i="14"/>
  <c r="T49" i="14"/>
  <c r="Z58" i="14"/>
  <c r="W91" i="14"/>
  <c r="X58" i="14"/>
  <c r="Y40" i="14"/>
  <c r="T21" i="14"/>
  <c r="V40" i="14"/>
  <c r="S91" i="14"/>
  <c r="W58" i="14"/>
  <c r="U91" i="14"/>
  <c r="W106" i="14"/>
  <c r="U102" i="14"/>
  <c r="U40" i="14"/>
  <c r="S108" i="14"/>
  <c r="Y91" i="14"/>
  <c r="T15" i="14"/>
  <c r="T25" i="14"/>
  <c r="W86" i="14"/>
  <c r="V58" i="14"/>
  <c r="X91" i="14"/>
  <c r="Y34" i="14"/>
  <c r="V102" i="14"/>
  <c r="T89" i="14"/>
  <c r="Z76" i="14"/>
  <c r="U95" i="14"/>
  <c r="W108" i="14"/>
  <c r="W67" i="14"/>
  <c r="W49" i="14"/>
  <c r="V95" i="14"/>
  <c r="T4" i="14"/>
  <c r="U49" i="14"/>
  <c r="U92" i="14"/>
  <c r="W95" i="14"/>
  <c r="Z49" i="14"/>
  <c r="S49" i="14"/>
  <c r="Z95" i="14"/>
  <c r="R49" i="14"/>
  <c r="V25" i="14"/>
  <c r="Y49" i="14"/>
  <c r="X95" i="14"/>
  <c r="T40" i="14"/>
  <c r="Y95" i="14"/>
  <c r="S95" i="14"/>
  <c r="V108" i="14"/>
  <c r="V9" i="14"/>
  <c r="V66" i="14"/>
  <c r="Z25" i="14"/>
  <c r="X49" i="14"/>
  <c r="U108" i="14"/>
  <c r="T33" i="8"/>
  <c r="U65" i="8"/>
  <c r="T46" i="8"/>
  <c r="Z91" i="8"/>
  <c r="Y78" i="8"/>
  <c r="T84" i="8"/>
  <c r="U91" i="8"/>
  <c r="X91" i="8"/>
  <c r="U48" i="8"/>
  <c r="V42" i="8"/>
  <c r="T70" i="8"/>
  <c r="U42" i="8"/>
  <c r="T95" i="8"/>
  <c r="V65" i="8"/>
  <c r="T27" i="8"/>
  <c r="V47" i="8"/>
  <c r="T9" i="8"/>
  <c r="T15" i="8"/>
  <c r="X42" i="8"/>
  <c r="T55" i="8"/>
  <c r="W65" i="8"/>
  <c r="T92" i="8"/>
  <c r="S48" i="8"/>
  <c r="T42" i="8"/>
  <c r="T44" i="8"/>
  <c r="T65" i="8"/>
  <c r="T62" i="8"/>
  <c r="Z65" i="8"/>
  <c r="W91" i="8"/>
  <c r="T66" i="14"/>
  <c r="U9" i="14"/>
  <c r="U34" i="14"/>
  <c r="Z55" i="14"/>
  <c r="T44" i="14"/>
  <c r="U44" i="14"/>
  <c r="X44" i="14"/>
  <c r="T64" i="14"/>
  <c r="W34" i="14"/>
  <c r="X93" i="14"/>
  <c r="U69" i="14"/>
  <c r="S52" i="14"/>
  <c r="Z34" i="14"/>
  <c r="S94" i="14"/>
  <c r="T52" i="14"/>
  <c r="T18" i="14"/>
  <c r="X52" i="14"/>
  <c r="T34" i="14"/>
  <c r="Z23" i="14"/>
  <c r="U52" i="14"/>
  <c r="R10" i="14"/>
  <c r="W52" i="14"/>
  <c r="T71" i="14"/>
  <c r="Z70" i="14"/>
  <c r="U94" i="14"/>
  <c r="U84" i="14"/>
  <c r="V79" i="14"/>
  <c r="R44" i="14"/>
  <c r="R34" i="14"/>
  <c r="S22" i="14"/>
  <c r="X94" i="14"/>
  <c r="T94" i="14"/>
  <c r="V44" i="14"/>
  <c r="W9" i="14"/>
  <c r="V52" i="14"/>
  <c r="T63" i="14"/>
  <c r="T95" i="14"/>
  <c r="V94" i="14"/>
  <c r="Z44" i="14"/>
  <c r="T101" i="14"/>
  <c r="X50" i="18"/>
  <c r="W8" i="18"/>
  <c r="T15" i="18"/>
  <c r="W23" i="18"/>
  <c r="V11" i="18"/>
  <c r="W76" i="18"/>
  <c r="T42" i="18"/>
  <c r="T80" i="18"/>
  <c r="T71" i="18"/>
  <c r="X95" i="18"/>
  <c r="T77" i="18"/>
  <c r="T92" i="18"/>
  <c r="T101" i="18"/>
  <c r="T86" i="18"/>
  <c r="W94" i="18"/>
  <c r="T100" i="18"/>
  <c r="W86" i="18"/>
  <c r="S95" i="18"/>
  <c r="S43" i="18"/>
  <c r="T97" i="18"/>
  <c r="W40" i="18"/>
  <c r="T76" i="18"/>
  <c r="T41" i="18"/>
  <c r="S40" i="18"/>
  <c r="R46" i="18"/>
  <c r="X94" i="18"/>
  <c r="T19" i="18"/>
  <c r="T53" i="18"/>
  <c r="T55" i="18"/>
  <c r="T10" i="18"/>
  <c r="Z76" i="18"/>
  <c r="T2" i="18"/>
  <c r="T23" i="18"/>
  <c r="Y94" i="18"/>
  <c r="T7" i="18"/>
  <c r="T31" i="18"/>
  <c r="V41" i="18"/>
  <c r="T54" i="18"/>
  <c r="T44" i="18"/>
  <c r="W41" i="18"/>
  <c r="V62" i="18"/>
  <c r="X92" i="18"/>
  <c r="X86" i="18"/>
  <c r="X40" i="18"/>
  <c r="S92" i="18"/>
  <c r="S46" i="18"/>
  <c r="S21" i="18"/>
  <c r="X76" i="18"/>
  <c r="W46" i="18"/>
  <c r="Y92" i="18"/>
  <c r="T84" i="18"/>
  <c r="T8" i="18"/>
  <c r="V47" i="18"/>
  <c r="R7" i="18"/>
  <c r="T20" i="18"/>
  <c r="Y23" i="18"/>
  <c r="R8" i="18"/>
  <c r="U8" i="18"/>
  <c r="T69" i="18"/>
  <c r="T49" i="18"/>
  <c r="Z94" i="18"/>
  <c r="V94" i="18"/>
  <c r="Z46" i="18"/>
  <c r="S97" i="18"/>
  <c r="Y40" i="18"/>
  <c r="T21" i="18"/>
  <c r="T47" i="18"/>
  <c r="V76" i="18"/>
  <c r="T99" i="18"/>
  <c r="Y62" i="18"/>
  <c r="W62" i="18"/>
  <c r="S47" i="18"/>
  <c r="T9" i="18"/>
  <c r="T57" i="18"/>
  <c r="Z62" i="18"/>
  <c r="T104" i="18"/>
  <c r="U7" i="18"/>
  <c r="T26" i="18"/>
  <c r="T11" i="18"/>
  <c r="T35" i="18"/>
  <c r="T38" i="18"/>
  <c r="V46" i="18"/>
  <c r="U86" i="18"/>
  <c r="V95" i="18"/>
  <c r="T93" i="18"/>
  <c r="U105" i="18"/>
  <c r="T106" i="18"/>
  <c r="S62" i="18"/>
  <c r="S50" i="18"/>
  <c r="S41" i="18"/>
  <c r="R2" i="18"/>
  <c r="Y69" i="18"/>
  <c r="T87" i="18"/>
  <c r="U16" i="14"/>
  <c r="T30" i="14"/>
  <c r="W15" i="8"/>
  <c r="R3" i="18"/>
  <c r="W107" i="14"/>
  <c r="V108" i="8"/>
  <c r="Z23" i="18"/>
  <c r="Z52" i="14"/>
  <c r="Z92" i="14"/>
  <c r="Z93" i="14"/>
  <c r="T46" i="18"/>
  <c r="R19" i="18"/>
  <c r="R4" i="18"/>
  <c r="R69" i="18"/>
  <c r="R15" i="8"/>
  <c r="X23" i="18"/>
  <c r="S19" i="18"/>
  <c r="R61" i="18"/>
  <c r="T61" i="18"/>
  <c r="T3" i="18"/>
  <c r="T4" i="18"/>
  <c r="U99" i="18"/>
  <c r="Z61" i="18"/>
  <c r="V40" i="18"/>
  <c r="V85" i="18"/>
  <c r="W60" i="14"/>
  <c r="T8" i="8"/>
  <c r="T96" i="8"/>
  <c r="X65" i="8"/>
  <c r="X78" i="18"/>
  <c r="V105" i="18"/>
  <c r="V26" i="18"/>
  <c r="W14" i="18"/>
  <c r="Z68" i="18"/>
  <c r="W10" i="8"/>
  <c r="T52" i="18"/>
  <c r="T85" i="14"/>
  <c r="Z56" i="18"/>
  <c r="T95" i="18"/>
  <c r="W91" i="18"/>
  <c r="T108" i="8"/>
  <c r="W108" i="8"/>
  <c r="T107" i="8"/>
  <c r="Y40" i="8"/>
  <c r="T104" i="8"/>
  <c r="T72" i="8"/>
  <c r="T83" i="8"/>
  <c r="T97" i="8"/>
  <c r="U103" i="8"/>
  <c r="T58" i="8"/>
  <c r="T71" i="8"/>
  <c r="T52" i="8"/>
  <c r="U40" i="8"/>
  <c r="W47" i="8"/>
  <c r="R78" i="8"/>
  <c r="T34" i="8"/>
  <c r="Y36" i="8"/>
  <c r="T5" i="18"/>
  <c r="T82" i="18"/>
  <c r="V14" i="18"/>
  <c r="T13" i="18"/>
  <c r="Y68" i="18"/>
  <c r="W69" i="14"/>
  <c r="V103" i="14"/>
  <c r="Y69" i="14"/>
  <c r="W81" i="14"/>
  <c r="V39" i="14"/>
  <c r="T29" i="14"/>
  <c r="X33" i="14"/>
  <c r="U62" i="14"/>
  <c r="X81" i="14"/>
  <c r="U103" i="14"/>
  <c r="U99" i="14"/>
  <c r="Y36" i="14"/>
  <c r="T22" i="14"/>
  <c r="T10" i="14"/>
  <c r="T78" i="14"/>
  <c r="Y79" i="14"/>
  <c r="V70" i="14"/>
  <c r="T107" i="14"/>
  <c r="S107" i="14"/>
  <c r="W22" i="18"/>
  <c r="T83" i="18"/>
  <c r="V68" i="18"/>
  <c r="Z55" i="18"/>
  <c r="Z58" i="18"/>
  <c r="X49" i="18"/>
  <c r="Y55" i="18"/>
  <c r="Y71" i="18"/>
  <c r="X68" i="18"/>
  <c r="Z37" i="18"/>
  <c r="W55" i="18"/>
  <c r="U22" i="18"/>
  <c r="U43" i="18"/>
  <c r="U59" i="18"/>
  <c r="U87" i="18"/>
  <c r="T64" i="18"/>
  <c r="V58" i="18"/>
  <c r="T67" i="18"/>
  <c r="X55" i="18"/>
  <c r="X59" i="18"/>
  <c r="W87" i="18"/>
  <c r="V49" i="18"/>
  <c r="W106" i="18"/>
  <c r="V106" i="18"/>
  <c r="Y77" i="18"/>
  <c r="X32" i="18"/>
  <c r="U47" i="18"/>
  <c r="Z50" i="18"/>
  <c r="V55" i="18"/>
  <c r="Z59" i="18"/>
  <c r="V87" i="18"/>
  <c r="V93" i="14"/>
  <c r="T27" i="14"/>
  <c r="Y24" i="14"/>
  <c r="Y45" i="14"/>
  <c r="Y51" i="14"/>
  <c r="T68" i="14"/>
  <c r="R97" i="14"/>
  <c r="T41" i="14"/>
  <c r="Y62" i="14"/>
  <c r="T54" i="14"/>
  <c r="Z62" i="14"/>
  <c r="X24" i="14"/>
  <c r="V76" i="14"/>
  <c r="Y33" i="14"/>
  <c r="Z36" i="14"/>
  <c r="Y39" i="14"/>
  <c r="Z42" i="14"/>
  <c r="U93" i="14"/>
  <c r="U45" i="14"/>
  <c r="Y93" i="14"/>
  <c r="T31" i="14"/>
  <c r="W87" i="14"/>
  <c r="T74" i="14"/>
  <c r="V87" i="14"/>
  <c r="W36" i="14"/>
  <c r="X55" i="14"/>
  <c r="X39" i="14"/>
  <c r="Y42" i="14"/>
  <c r="T43" i="14"/>
  <c r="U50" i="14"/>
  <c r="U42" i="14"/>
  <c r="W93" i="14"/>
  <c r="V11" i="14"/>
  <c r="U11" i="14"/>
  <c r="V36" i="14"/>
  <c r="T72" i="14"/>
  <c r="T48" i="14"/>
  <c r="W11" i="14"/>
  <c r="U51" i="14"/>
  <c r="T108" i="14"/>
  <c r="Y60" i="14"/>
  <c r="X84" i="14"/>
  <c r="T102" i="14"/>
  <c r="Z87" i="14"/>
  <c r="X92" i="14"/>
  <c r="T65" i="14"/>
  <c r="Y32" i="14"/>
  <c r="Z50" i="14"/>
  <c r="T35" i="14"/>
  <c r="T59" i="14"/>
  <c r="X42" i="14"/>
  <c r="Y50" i="14"/>
  <c r="Z24" i="14"/>
  <c r="W42" i="14"/>
  <c r="X67" i="14"/>
  <c r="Y86" i="14"/>
  <c r="T96" i="14"/>
  <c r="Z60" i="14"/>
  <c r="T80" i="14"/>
  <c r="Y47" i="8"/>
  <c r="T10" i="8"/>
  <c r="U23" i="8"/>
  <c r="Z47" i="8"/>
  <c r="T60" i="8"/>
  <c r="T90" i="8"/>
  <c r="W20" i="8"/>
  <c r="Z26" i="8"/>
  <c r="T32" i="8"/>
  <c r="Z49" i="8"/>
  <c r="T100" i="8"/>
  <c r="V103" i="8"/>
  <c r="U11" i="8"/>
  <c r="T85" i="8"/>
  <c r="T77" i="8"/>
  <c r="U78" i="8"/>
  <c r="W26" i="8"/>
  <c r="V26" i="8"/>
  <c r="T4" i="8"/>
  <c r="X63" i="8"/>
  <c r="T88" i="8"/>
  <c r="Z87" i="8"/>
  <c r="T53" i="8"/>
  <c r="T74" i="8"/>
  <c r="W86" i="8"/>
  <c r="V78" i="8"/>
  <c r="T14" i="8"/>
  <c r="Z29" i="8"/>
  <c r="Y35" i="8"/>
  <c r="Z78" i="8"/>
  <c r="X73" i="8"/>
  <c r="Y86" i="8"/>
  <c r="Y54" i="8"/>
  <c r="U26" i="8"/>
  <c r="W78" i="8"/>
  <c r="V36" i="8"/>
  <c r="V11" i="8"/>
  <c r="Z61" i="8"/>
  <c r="V61" i="8"/>
  <c r="X41" i="8"/>
  <c r="X82" i="8"/>
  <c r="Y23" i="8"/>
  <c r="Z36" i="8"/>
  <c r="V23" i="8"/>
  <c r="T67" i="8"/>
  <c r="W5" i="8"/>
  <c r="T79" i="8"/>
  <c r="W29" i="8"/>
  <c r="X36" i="8"/>
  <c r="Y61" i="8"/>
  <c r="W61" i="8"/>
  <c r="Y63" i="8"/>
  <c r="Y73" i="8"/>
  <c r="U86" i="8"/>
  <c r="V99" i="8"/>
  <c r="T109" i="8"/>
  <c r="V12" i="8"/>
  <c r="Z23" i="8"/>
  <c r="Y29" i="8"/>
  <c r="X40" i="8"/>
  <c r="W40" i="8"/>
  <c r="W23" i="8"/>
  <c r="U61" i="8"/>
  <c r="T93" i="8"/>
  <c r="U73" i="8"/>
  <c r="X86" i="8"/>
  <c r="Z86" i="8"/>
  <c r="X78" i="8"/>
  <c r="S35" i="8"/>
  <c r="R35" i="8"/>
  <c r="T35" i="8"/>
  <c r="R5" i="8"/>
  <c r="S5" i="8"/>
  <c r="T5" i="8"/>
  <c r="S18" i="8"/>
  <c r="T18" i="8"/>
  <c r="R18" i="8"/>
  <c r="W6" i="8"/>
  <c r="R6" i="8"/>
  <c r="S6" i="8"/>
  <c r="T6" i="8"/>
  <c r="U6" i="8"/>
  <c r="T23" i="8"/>
  <c r="S23" i="8"/>
  <c r="R23" i="8"/>
  <c r="T26" i="8"/>
  <c r="S26" i="8"/>
  <c r="X26" i="8"/>
  <c r="R26" i="8"/>
  <c r="T29" i="8"/>
  <c r="R29" i="8"/>
  <c r="S29" i="8"/>
  <c r="Z40" i="8"/>
  <c r="U29" i="8"/>
  <c r="R36" i="8"/>
  <c r="T36" i="8"/>
  <c r="S36" i="8"/>
  <c r="W36" i="8"/>
  <c r="T17" i="8"/>
  <c r="S17" i="8"/>
  <c r="V82" i="8"/>
  <c r="X23" i="8"/>
  <c r="T61" i="8"/>
  <c r="S61" i="8"/>
  <c r="R61" i="8"/>
  <c r="V29" i="8"/>
  <c r="R105" i="8"/>
  <c r="S105" i="8"/>
  <c r="V105" i="8"/>
  <c r="T105" i="8"/>
  <c r="S73" i="8"/>
  <c r="T73" i="8"/>
  <c r="Z73" i="8"/>
  <c r="R73" i="8"/>
  <c r="V73" i="8"/>
  <c r="S86" i="8"/>
  <c r="T86" i="8"/>
  <c r="U5" i="8"/>
  <c r="Z82" i="8"/>
  <c r="W87" i="8"/>
  <c r="Y82" i="8"/>
  <c r="V86" i="8"/>
  <c r="T20" i="8"/>
  <c r="S20" i="8"/>
  <c r="R20" i="8"/>
  <c r="T22" i="8"/>
  <c r="T43" i="8"/>
  <c r="R87" i="8"/>
  <c r="S87" i="8"/>
  <c r="T87" i="8"/>
  <c r="R99" i="8"/>
  <c r="S99" i="8"/>
  <c r="T99" i="8"/>
  <c r="R54" i="8"/>
  <c r="S54" i="8"/>
  <c r="T54" i="8"/>
  <c r="W54" i="8"/>
  <c r="V54" i="8"/>
  <c r="X87" i="8"/>
  <c r="S98" i="8"/>
  <c r="T98" i="8"/>
  <c r="W98" i="8"/>
  <c r="T103" i="8"/>
  <c r="S103" i="8"/>
  <c r="R103" i="8"/>
  <c r="W82" i="8"/>
  <c r="V20" i="8"/>
  <c r="T28" i="8"/>
  <c r="Z41" i="8"/>
  <c r="Z35" i="8"/>
  <c r="S47" i="8"/>
  <c r="R47" i="8"/>
  <c r="T47" i="8"/>
  <c r="Y87" i="8"/>
  <c r="U63" i="8"/>
  <c r="T78" i="8"/>
  <c r="S78" i="8"/>
  <c r="X35" i="8"/>
  <c r="W35" i="8"/>
  <c r="Z54" i="8"/>
  <c r="X49" i="8"/>
  <c r="U87" i="8"/>
  <c r="R98" i="8"/>
  <c r="U98" i="8"/>
  <c r="R11" i="8"/>
  <c r="T11" i="8"/>
  <c r="S11" i="8"/>
  <c r="T39" i="8"/>
  <c r="Y41" i="8"/>
  <c r="T45" i="8"/>
  <c r="R63" i="8"/>
  <c r="T63" i="8"/>
  <c r="Z63" i="8"/>
  <c r="S63" i="8"/>
  <c r="W11" i="8"/>
  <c r="W63" i="8"/>
  <c r="V35" i="8"/>
  <c r="X54" i="8"/>
  <c r="Y49" i="8"/>
  <c r="V98" i="8"/>
  <c r="W99" i="8"/>
  <c r="W103" i="8"/>
  <c r="U99" i="8"/>
  <c r="W12" i="8"/>
  <c r="S12" i="8"/>
  <c r="T12" i="8"/>
  <c r="U12" i="8"/>
  <c r="R40" i="8"/>
  <c r="T40" i="8"/>
  <c r="S40" i="8"/>
  <c r="S41" i="8"/>
  <c r="T41" i="8"/>
  <c r="R41" i="8"/>
  <c r="V41" i="8"/>
  <c r="U41" i="8"/>
  <c r="S82" i="8"/>
  <c r="R82" i="8"/>
  <c r="T82" i="8"/>
  <c r="V5" i="8"/>
  <c r="U35" i="8"/>
  <c r="U54" i="8"/>
  <c r="T49" i="8"/>
  <c r="S49" i="8"/>
  <c r="R49" i="8"/>
  <c r="U49" i="8"/>
  <c r="T69" i="8"/>
  <c r="U105" i="8"/>
  <c r="R38" i="14"/>
  <c r="S38" i="14"/>
  <c r="T38" i="14"/>
  <c r="W82" i="14"/>
  <c r="S82" i="14"/>
  <c r="T82" i="14"/>
  <c r="U82" i="14"/>
  <c r="Y82" i="14"/>
  <c r="T53" i="14"/>
  <c r="S53" i="14"/>
  <c r="R53" i="14"/>
  <c r="W53" i="14"/>
  <c r="R8" i="14"/>
  <c r="S36" i="14"/>
  <c r="T36" i="14"/>
  <c r="R36" i="14"/>
  <c r="X38" i="14"/>
  <c r="U36" i="14"/>
  <c r="V38" i="14"/>
  <c r="S42" i="14"/>
  <c r="T42" i="14"/>
  <c r="R42" i="14"/>
  <c r="R51" i="14"/>
  <c r="S51" i="14"/>
  <c r="T51" i="14"/>
  <c r="S50" i="14"/>
  <c r="T50" i="14"/>
  <c r="R50" i="14"/>
  <c r="R24" i="14"/>
  <c r="T24" i="14"/>
  <c r="S24" i="14"/>
  <c r="W24" i="14"/>
  <c r="T90" i="14"/>
  <c r="S90" i="14"/>
  <c r="R90" i="14"/>
  <c r="V100" i="14"/>
  <c r="S100" i="14"/>
  <c r="T100" i="14"/>
  <c r="U100" i="14"/>
  <c r="W45" i="14"/>
  <c r="Y67" i="14"/>
  <c r="T84" i="14"/>
  <c r="S84" i="14"/>
  <c r="R84" i="14"/>
  <c r="W84" i="14"/>
  <c r="W100" i="14"/>
  <c r="Y56" i="14"/>
  <c r="S60" i="14"/>
  <c r="T60" i="14"/>
  <c r="R60" i="14"/>
  <c r="V60" i="14"/>
  <c r="T87" i="14"/>
  <c r="S87" i="14"/>
  <c r="R87" i="14"/>
  <c r="W23" i="14"/>
  <c r="V53" i="14"/>
  <c r="X73" i="14"/>
  <c r="Z79" i="14"/>
  <c r="V84" i="14"/>
  <c r="R69" i="14"/>
  <c r="T69" i="14"/>
  <c r="S69" i="14"/>
  <c r="X75" i="14"/>
  <c r="Y81" i="14"/>
  <c r="S97" i="14"/>
  <c r="U97" i="14"/>
  <c r="V97" i="14"/>
  <c r="T97" i="14"/>
  <c r="W73" i="14"/>
  <c r="W6" i="14"/>
  <c r="R6" i="14"/>
  <c r="S6" i="14"/>
  <c r="T6" i="14"/>
  <c r="U6" i="14"/>
  <c r="V106" i="14"/>
  <c r="S106" i="14"/>
  <c r="U106" i="14"/>
  <c r="T106" i="14"/>
  <c r="R75" i="14"/>
  <c r="T75" i="14"/>
  <c r="S75" i="14"/>
  <c r="S17" i="14"/>
  <c r="R17" i="14"/>
  <c r="T17" i="14"/>
  <c r="U38" i="14"/>
  <c r="T47" i="14"/>
  <c r="S47" i="14"/>
  <c r="U47" i="14"/>
  <c r="V47" i="14"/>
  <c r="W47" i="14"/>
  <c r="T37" i="14"/>
  <c r="X47" i="14"/>
  <c r="Z32" i="14"/>
  <c r="X70" i="14"/>
  <c r="X82" i="14"/>
  <c r="T45" i="14"/>
  <c r="R45" i="14"/>
  <c r="S45" i="14"/>
  <c r="S62" i="14"/>
  <c r="T62" i="14"/>
  <c r="X62" i="14"/>
  <c r="V50" i="14"/>
  <c r="V45" i="14"/>
  <c r="Z86" i="14"/>
  <c r="R70" i="14"/>
  <c r="R82" i="14"/>
  <c r="R47" i="14"/>
  <c r="R92" i="14"/>
  <c r="S92" i="14"/>
  <c r="T92" i="14"/>
  <c r="V92" i="14"/>
  <c r="W92" i="14"/>
  <c r="X45" i="14"/>
  <c r="U75" i="14"/>
  <c r="R81" i="14"/>
  <c r="T81" i="14"/>
  <c r="S81" i="14"/>
  <c r="W79" i="14"/>
  <c r="W8" i="14"/>
  <c r="T8" i="14"/>
  <c r="S8" i="14"/>
  <c r="U8" i="14"/>
  <c r="T56" i="14"/>
  <c r="V56" i="14"/>
  <c r="R56" i="14"/>
  <c r="S56" i="14"/>
  <c r="V6" i="14"/>
  <c r="X23" i="14"/>
  <c r="W33" i="14"/>
  <c r="T33" i="14"/>
  <c r="S33" i="14"/>
  <c r="R33" i="14"/>
  <c r="R55" i="14"/>
  <c r="S55" i="14"/>
  <c r="T55" i="14"/>
  <c r="U55" i="14"/>
  <c r="V55" i="14"/>
  <c r="W55" i="14"/>
  <c r="W39" i="14"/>
  <c r="T39" i="14"/>
  <c r="S39" i="14"/>
  <c r="R39" i="14"/>
  <c r="Z47" i="14"/>
  <c r="X32" i="14"/>
  <c r="Z45" i="14"/>
  <c r="W50" i="14"/>
  <c r="Y47" i="14"/>
  <c r="W75" i="14"/>
  <c r="W51" i="14"/>
  <c r="X87" i="14"/>
  <c r="Y53" i="14"/>
  <c r="Z73" i="14"/>
  <c r="X79" i="14"/>
  <c r="Y84" i="14"/>
  <c r="U56" i="14"/>
  <c r="Y92" i="14"/>
  <c r="Z69" i="14"/>
  <c r="U81" i="14"/>
  <c r="R99" i="14"/>
  <c r="T99" i="14"/>
  <c r="S99" i="14"/>
  <c r="S103" i="14"/>
  <c r="T103" i="14"/>
  <c r="W103" i="14"/>
  <c r="Z82" i="14"/>
  <c r="R100" i="14"/>
  <c r="U87" i="14"/>
  <c r="S73" i="14"/>
  <c r="T73" i="14"/>
  <c r="R73" i="14"/>
  <c r="R5" i="14"/>
  <c r="S5" i="14"/>
  <c r="T5" i="14"/>
  <c r="U5" i="14"/>
  <c r="V5" i="14"/>
  <c r="S23" i="14"/>
  <c r="T23" i="14"/>
  <c r="U23" i="14"/>
  <c r="V23" i="14"/>
  <c r="U53" i="14"/>
  <c r="W76" i="14"/>
  <c r="S76" i="14"/>
  <c r="T76" i="14"/>
  <c r="U76" i="14"/>
  <c r="Y76" i="14"/>
  <c r="X86" i="14"/>
  <c r="R105" i="14"/>
  <c r="S105" i="14"/>
  <c r="T105" i="14"/>
  <c r="V105" i="14"/>
  <c r="U105" i="14"/>
  <c r="X51" i="14"/>
  <c r="S67" i="14"/>
  <c r="T67" i="14"/>
  <c r="V67" i="14"/>
  <c r="R67" i="14"/>
  <c r="U67" i="14"/>
  <c r="X56" i="14"/>
  <c r="V73" i="14"/>
  <c r="X53" i="14"/>
  <c r="Y73" i="14"/>
  <c r="S79" i="14"/>
  <c r="T79" i="14"/>
  <c r="R79" i="14"/>
  <c r="Z75" i="14"/>
  <c r="U73" i="14"/>
  <c r="R106" i="14"/>
  <c r="V99" i="14"/>
  <c r="T16" i="14"/>
  <c r="R16" i="14"/>
  <c r="S16" i="14"/>
  <c r="V16" i="14"/>
  <c r="W70" i="14"/>
  <c r="S70" i="14"/>
  <c r="T70" i="14"/>
  <c r="U70" i="14"/>
  <c r="Y70" i="14"/>
  <c r="R23" i="14"/>
  <c r="Y38" i="14"/>
  <c r="R32" i="14"/>
  <c r="T32" i="14"/>
  <c r="S32" i="14"/>
  <c r="R86" i="14"/>
  <c r="S86" i="14"/>
  <c r="T86" i="14"/>
  <c r="V86" i="14"/>
  <c r="U86" i="14"/>
  <c r="W5" i="14"/>
  <c r="S11" i="14"/>
  <c r="T11" i="14"/>
  <c r="R11" i="14"/>
  <c r="Y23" i="14"/>
  <c r="W16" i="14"/>
  <c r="W32" i="14"/>
  <c r="U33" i="14"/>
  <c r="Z38" i="14"/>
  <c r="W56" i="14"/>
  <c r="W38" i="14"/>
  <c r="U39" i="14"/>
  <c r="U32" i="14"/>
  <c r="T46" i="14"/>
  <c r="W62" i="14"/>
  <c r="X50" i="14"/>
  <c r="X76" i="14"/>
  <c r="V24" i="14"/>
  <c r="Z51" i="14"/>
  <c r="R62" i="14"/>
  <c r="V42" i="14"/>
  <c r="Y55" i="14"/>
  <c r="V51" i="14"/>
  <c r="Z33" i="14"/>
  <c r="Z67" i="14"/>
  <c r="T93" i="14"/>
  <c r="R93" i="14"/>
  <c r="S93" i="14"/>
  <c r="Z56" i="14"/>
  <c r="U79" i="14"/>
  <c r="X60" i="14"/>
  <c r="Y87" i="14"/>
  <c r="Z53" i="14"/>
  <c r="R76" i="14"/>
  <c r="Z84" i="14"/>
  <c r="X69" i="14"/>
  <c r="Y75" i="14"/>
  <c r="Z81" i="14"/>
  <c r="Y27" i="18"/>
  <c r="X38" i="18"/>
  <c r="Z43" i="18"/>
  <c r="Y38" i="18"/>
  <c r="R14" i="18"/>
  <c r="T14" i="18"/>
  <c r="S14" i="18"/>
  <c r="V21" i="18"/>
  <c r="V9" i="18"/>
  <c r="Z38" i="18"/>
  <c r="W47" i="18"/>
  <c r="Y37" i="18"/>
  <c r="Y59" i="18"/>
  <c r="W74" i="18"/>
  <c r="Z77" i="18"/>
  <c r="X87" i="18"/>
  <c r="V37" i="18"/>
  <c r="S68" i="18"/>
  <c r="R68" i="18"/>
  <c r="T68" i="18"/>
  <c r="U68" i="18"/>
  <c r="W49" i="18"/>
  <c r="U77" i="18"/>
  <c r="W84" i="18"/>
  <c r="W6" i="18"/>
  <c r="S6" i="18"/>
  <c r="T6" i="18"/>
  <c r="R6" i="18"/>
  <c r="X47" i="18"/>
  <c r="U73" i="18"/>
  <c r="V73" i="18"/>
  <c r="Z27" i="18"/>
  <c r="U21" i="18"/>
  <c r="Y32" i="18"/>
  <c r="U38" i="18"/>
  <c r="X27" i="18"/>
  <c r="Y44" i="18"/>
  <c r="Y47" i="18"/>
  <c r="Y50" i="18"/>
  <c r="Y73" i="18"/>
  <c r="Y84" i="18"/>
  <c r="U55" i="18"/>
  <c r="U71" i="18"/>
  <c r="V77" i="18"/>
  <c r="T89" i="18"/>
  <c r="S89" i="18"/>
  <c r="R89" i="18"/>
  <c r="Z87" i="18"/>
  <c r="U74" i="18"/>
  <c r="Z73" i="18"/>
  <c r="X73" i="18"/>
  <c r="Z84" i="18"/>
  <c r="Z72" i="18"/>
  <c r="Y87" i="18"/>
  <c r="U49" i="18"/>
  <c r="V72" i="18"/>
  <c r="W77" i="18"/>
  <c r="W73" i="18"/>
  <c r="Z74" i="18"/>
  <c r="V38" i="18"/>
  <c r="U6" i="18"/>
  <c r="V32" i="18"/>
  <c r="W37" i="18"/>
  <c r="X43" i="18"/>
  <c r="W44" i="18"/>
  <c r="Y43" i="18"/>
  <c r="W50" i="18"/>
  <c r="X84" i="18"/>
  <c r="Y72" i="18"/>
  <c r="X71" i="18"/>
  <c r="U32" i="18"/>
  <c r="X44" i="18"/>
  <c r="U84" i="18"/>
  <c r="X77" i="18"/>
  <c r="V15" i="18"/>
  <c r="U15" i="18"/>
  <c r="Z47" i="18"/>
  <c r="U3" i="18"/>
  <c r="V3" i="18"/>
  <c r="W21" i="18"/>
  <c r="V27" i="18"/>
  <c r="V6" i="18"/>
  <c r="W16" i="18"/>
  <c r="W32" i="18"/>
  <c r="U27" i="18"/>
  <c r="X37" i="18"/>
  <c r="U44" i="18"/>
  <c r="W43" i="18"/>
  <c r="U50" i="18"/>
  <c r="V59" i="18"/>
  <c r="W71" i="18"/>
  <c r="V50" i="18"/>
  <c r="X58" i="18"/>
  <c r="Z49" i="18"/>
  <c r="W72" i="18"/>
  <c r="Z71" i="18"/>
  <c r="V43" i="18"/>
  <c r="Y49" i="18"/>
  <c r="X74" i="18"/>
  <c r="U2" i="18"/>
  <c r="W2" i="18"/>
  <c r="V2" i="18"/>
  <c r="S105" i="2" l="1"/>
  <c r="T105" i="2"/>
  <c r="U105" i="2"/>
  <c r="V105" i="2"/>
  <c r="G2" i="14" l="1"/>
  <c r="F2" i="14"/>
  <c r="E2" i="14"/>
  <c r="D2" i="14"/>
  <c r="C2" i="14"/>
  <c r="Q2" i="14" s="1"/>
  <c r="A2" i="14"/>
  <c r="J2" i="14" l="1"/>
  <c r="L2" i="14"/>
  <c r="X2" i="14" s="1"/>
  <c r="P2" i="14"/>
  <c r="M2" i="14"/>
  <c r="Y2" i="14" s="1"/>
  <c r="K2" i="14"/>
  <c r="W2" i="14" s="1"/>
  <c r="H2" i="14"/>
  <c r="N2" i="14"/>
  <c r="Z2" i="14" s="1"/>
  <c r="I2" i="14"/>
  <c r="O2" i="14"/>
  <c r="R2" i="14"/>
  <c r="S2" i="14"/>
  <c r="T2" i="14" l="1"/>
  <c r="U2" i="14"/>
  <c r="V2" i="14"/>
  <c r="S99" i="2" l="1"/>
  <c r="T99" i="2"/>
  <c r="V104" i="2" l="1"/>
  <c r="U104" i="2"/>
  <c r="T104" i="2"/>
  <c r="S104" i="2"/>
  <c r="V103" i="2"/>
  <c r="U103" i="2"/>
  <c r="T103" i="2"/>
  <c r="S103" i="2"/>
  <c r="V98" i="2" l="1"/>
  <c r="U98" i="2"/>
  <c r="T98" i="2"/>
  <c r="S98" i="2"/>
  <c r="C2" i="8" l="1"/>
  <c r="L2" i="8" s="1"/>
  <c r="X2" i="8" s="1"/>
  <c r="M2" i="8" l="1"/>
  <c r="Y2" i="8" s="1"/>
  <c r="N2" i="8"/>
  <c r="Z2" i="8" s="1"/>
  <c r="V102" i="2"/>
  <c r="U102" i="2"/>
  <c r="T102" i="2"/>
  <c r="S102" i="2"/>
  <c r="V101" i="2"/>
  <c r="U101" i="2"/>
  <c r="T101" i="2"/>
  <c r="S101" i="2"/>
  <c r="V100" i="2"/>
  <c r="U100" i="2"/>
  <c r="T100" i="2"/>
  <c r="S100" i="2"/>
  <c r="S96" i="2" l="1"/>
  <c r="V97" i="2" l="1"/>
  <c r="U97" i="2"/>
  <c r="T97" i="2"/>
  <c r="S97" i="2"/>
  <c r="F97" i="2"/>
  <c r="E97" i="2"/>
  <c r="V96" i="2"/>
  <c r="U96" i="2"/>
  <c r="T96" i="2"/>
  <c r="F96" i="2"/>
  <c r="E96" i="2"/>
  <c r="S95" i="2" l="1"/>
  <c r="F72" i="11" l="1"/>
  <c r="H72" i="11" s="1"/>
  <c r="F98" i="11" l="1"/>
  <c r="F99" i="11"/>
  <c r="F100" i="11"/>
  <c r="F101" i="11"/>
  <c r="F102" i="11"/>
  <c r="A87" i="11"/>
  <c r="B87" i="11"/>
  <c r="C87" i="11"/>
  <c r="D87" i="11"/>
  <c r="E87" i="11"/>
  <c r="A88" i="11"/>
  <c r="B88" i="11"/>
  <c r="C88" i="11"/>
  <c r="D88" i="11"/>
  <c r="E88" i="11"/>
  <c r="A89" i="11"/>
  <c r="B89" i="11"/>
  <c r="C89" i="11"/>
  <c r="D89" i="11"/>
  <c r="E89" i="11"/>
  <c r="A90" i="11"/>
  <c r="B90" i="11"/>
  <c r="C90" i="11"/>
  <c r="D90" i="11"/>
  <c r="E90" i="11"/>
  <c r="A91" i="11"/>
  <c r="B91" i="11"/>
  <c r="C91" i="11"/>
  <c r="D91" i="11"/>
  <c r="E91" i="11"/>
  <c r="A92" i="11"/>
  <c r="B92" i="11"/>
  <c r="C92" i="11"/>
  <c r="D92" i="11"/>
  <c r="E92" i="11"/>
  <c r="A93" i="11"/>
  <c r="B93" i="11"/>
  <c r="C93" i="11"/>
  <c r="D93" i="11"/>
  <c r="E93" i="11"/>
  <c r="A94" i="11"/>
  <c r="B94" i="11"/>
  <c r="C94" i="11"/>
  <c r="D94" i="11"/>
  <c r="E94" i="11"/>
  <c r="A95" i="11"/>
  <c r="B95" i="11"/>
  <c r="C95" i="11"/>
  <c r="D95" i="11"/>
  <c r="E95" i="11"/>
  <c r="A96" i="11"/>
  <c r="B96" i="11"/>
  <c r="C96" i="11"/>
  <c r="D96" i="11"/>
  <c r="E96" i="11"/>
  <c r="A97" i="11"/>
  <c r="B97" i="11"/>
  <c r="C97" i="11"/>
  <c r="D97" i="11"/>
  <c r="E97" i="11"/>
  <c r="A98" i="11"/>
  <c r="B98" i="11"/>
  <c r="C98" i="11"/>
  <c r="D98" i="11"/>
  <c r="E98" i="11"/>
  <c r="A99" i="11"/>
  <c r="B99" i="11"/>
  <c r="C99" i="11"/>
  <c r="D99" i="11"/>
  <c r="E99" i="11"/>
  <c r="A100" i="11"/>
  <c r="B100" i="11"/>
  <c r="C100" i="11"/>
  <c r="D100" i="11"/>
  <c r="E100" i="11"/>
  <c r="A101" i="11"/>
  <c r="B101" i="11"/>
  <c r="C101" i="11"/>
  <c r="D101" i="11"/>
  <c r="E101" i="11"/>
  <c r="A102" i="11"/>
  <c r="B102" i="11"/>
  <c r="C102" i="11"/>
  <c r="D102" i="11"/>
  <c r="E102" i="11"/>
  <c r="A4" i="11"/>
  <c r="B4" i="11"/>
  <c r="C4" i="11"/>
  <c r="D4" i="11"/>
  <c r="E4" i="11"/>
  <c r="A5" i="11"/>
  <c r="B5" i="11"/>
  <c r="C5" i="11"/>
  <c r="D5" i="11"/>
  <c r="E5" i="11"/>
  <c r="A6" i="11"/>
  <c r="B6" i="11"/>
  <c r="C6" i="11"/>
  <c r="D6" i="11"/>
  <c r="E6" i="11"/>
  <c r="A7" i="11"/>
  <c r="B7" i="11"/>
  <c r="C7" i="11"/>
  <c r="D7" i="11"/>
  <c r="E7" i="11"/>
  <c r="A8" i="11"/>
  <c r="B8" i="11"/>
  <c r="C8" i="11"/>
  <c r="D8" i="11"/>
  <c r="E8" i="11"/>
  <c r="A9" i="11"/>
  <c r="B9" i="11"/>
  <c r="C9" i="11"/>
  <c r="D9" i="11"/>
  <c r="E9" i="11"/>
  <c r="A10" i="11"/>
  <c r="B10" i="11"/>
  <c r="C10" i="11"/>
  <c r="D10" i="11"/>
  <c r="E10" i="11"/>
  <c r="A11" i="11"/>
  <c r="B11" i="11"/>
  <c r="C11" i="11"/>
  <c r="D11" i="11"/>
  <c r="E11" i="11"/>
  <c r="A12" i="11"/>
  <c r="B12" i="11"/>
  <c r="C12" i="11"/>
  <c r="D12" i="11"/>
  <c r="E12" i="11"/>
  <c r="A13" i="11"/>
  <c r="B13" i="11"/>
  <c r="C13" i="11"/>
  <c r="D13" i="11"/>
  <c r="E13" i="11"/>
  <c r="A14" i="11"/>
  <c r="B14" i="11"/>
  <c r="C14" i="11"/>
  <c r="D14" i="11"/>
  <c r="E14" i="11"/>
  <c r="A15" i="11"/>
  <c r="B15" i="11"/>
  <c r="C15" i="11"/>
  <c r="D15" i="11"/>
  <c r="E15" i="11"/>
  <c r="A16" i="11"/>
  <c r="B16" i="11"/>
  <c r="C16" i="11"/>
  <c r="D16" i="11"/>
  <c r="E16" i="11"/>
  <c r="A17" i="11"/>
  <c r="B17" i="11"/>
  <c r="C17" i="11"/>
  <c r="D17" i="11"/>
  <c r="E17" i="11"/>
  <c r="A18" i="11"/>
  <c r="B18" i="11"/>
  <c r="C18" i="11"/>
  <c r="D18" i="11"/>
  <c r="E18" i="11"/>
  <c r="A19" i="11"/>
  <c r="B19" i="11"/>
  <c r="C19" i="11"/>
  <c r="D19" i="11"/>
  <c r="E19" i="11"/>
  <c r="A20" i="11"/>
  <c r="B20" i="11"/>
  <c r="C20" i="11"/>
  <c r="D20" i="11"/>
  <c r="E20" i="11"/>
  <c r="A21" i="11"/>
  <c r="B21" i="11"/>
  <c r="C21" i="11"/>
  <c r="D21" i="11"/>
  <c r="E21" i="11"/>
  <c r="A22" i="11"/>
  <c r="B22" i="11"/>
  <c r="C22" i="11"/>
  <c r="D22" i="11"/>
  <c r="E22" i="11"/>
  <c r="A23" i="11"/>
  <c r="B23" i="11"/>
  <c r="C23" i="11"/>
  <c r="D23" i="11"/>
  <c r="E23" i="11"/>
  <c r="A24" i="11"/>
  <c r="B24" i="11"/>
  <c r="C24" i="11"/>
  <c r="D24" i="11"/>
  <c r="E24" i="11"/>
  <c r="A25" i="11"/>
  <c r="B25" i="11"/>
  <c r="C25" i="11"/>
  <c r="D25" i="11"/>
  <c r="E25" i="11"/>
  <c r="A26" i="11"/>
  <c r="B26" i="11"/>
  <c r="C26" i="11"/>
  <c r="D26" i="11"/>
  <c r="E26" i="11"/>
  <c r="A27" i="11"/>
  <c r="B27" i="11"/>
  <c r="C27" i="11"/>
  <c r="D27" i="11"/>
  <c r="E27" i="11"/>
  <c r="A28" i="11"/>
  <c r="B28" i="11"/>
  <c r="C28" i="11"/>
  <c r="D28" i="11"/>
  <c r="E28" i="11"/>
  <c r="A29" i="11"/>
  <c r="B29" i="11"/>
  <c r="C29" i="11"/>
  <c r="D29" i="11"/>
  <c r="E29" i="11"/>
  <c r="A30" i="11"/>
  <c r="B30" i="11"/>
  <c r="C30" i="11"/>
  <c r="D30" i="11"/>
  <c r="E30" i="11"/>
  <c r="A31" i="11"/>
  <c r="B31" i="11"/>
  <c r="C31" i="11"/>
  <c r="D31" i="11"/>
  <c r="E31" i="11"/>
  <c r="A32" i="11"/>
  <c r="B32" i="11"/>
  <c r="C32" i="11"/>
  <c r="D32" i="11"/>
  <c r="E32" i="11"/>
  <c r="A33" i="11"/>
  <c r="B33" i="11"/>
  <c r="C33" i="11"/>
  <c r="D33" i="11"/>
  <c r="E33" i="11"/>
  <c r="A34" i="11"/>
  <c r="B34" i="11"/>
  <c r="C34" i="11"/>
  <c r="D34" i="11"/>
  <c r="E34" i="11"/>
  <c r="A35" i="11"/>
  <c r="B35" i="11"/>
  <c r="C35" i="11"/>
  <c r="D35" i="11"/>
  <c r="E35" i="11"/>
  <c r="A36" i="11"/>
  <c r="B36" i="11"/>
  <c r="C36" i="11"/>
  <c r="D36" i="11"/>
  <c r="E36" i="11"/>
  <c r="A37" i="11"/>
  <c r="B37" i="11"/>
  <c r="C37" i="11"/>
  <c r="D37" i="11"/>
  <c r="E37" i="11"/>
  <c r="A38" i="11"/>
  <c r="B38" i="11"/>
  <c r="C38" i="11"/>
  <c r="D38" i="11"/>
  <c r="E38" i="11"/>
  <c r="A39" i="11"/>
  <c r="B39" i="11"/>
  <c r="C39" i="11"/>
  <c r="D39" i="11"/>
  <c r="E39" i="11"/>
  <c r="A40" i="11"/>
  <c r="B40" i="11"/>
  <c r="C40" i="11"/>
  <c r="D40" i="11"/>
  <c r="E40" i="11"/>
  <c r="A41" i="11"/>
  <c r="B41" i="11"/>
  <c r="C41" i="11"/>
  <c r="D41" i="11"/>
  <c r="E41" i="11"/>
  <c r="A42" i="11"/>
  <c r="B42" i="11"/>
  <c r="C42" i="11"/>
  <c r="D42" i="11"/>
  <c r="E42" i="11"/>
  <c r="A43" i="11"/>
  <c r="B43" i="11"/>
  <c r="C43" i="11"/>
  <c r="D43" i="11"/>
  <c r="E43" i="11"/>
  <c r="A44" i="11"/>
  <c r="B44" i="11"/>
  <c r="C44" i="11"/>
  <c r="D44" i="11"/>
  <c r="E44" i="11"/>
  <c r="A45" i="11"/>
  <c r="B45" i="11"/>
  <c r="C45" i="11"/>
  <c r="D45" i="11"/>
  <c r="E45" i="11"/>
  <c r="A46" i="11"/>
  <c r="B46" i="11"/>
  <c r="C46" i="11"/>
  <c r="D46" i="11"/>
  <c r="E46" i="11"/>
  <c r="A47" i="11"/>
  <c r="B47" i="11"/>
  <c r="C47" i="11"/>
  <c r="D47" i="11"/>
  <c r="E47" i="11"/>
  <c r="A48" i="11"/>
  <c r="B48" i="11"/>
  <c r="C48" i="11"/>
  <c r="D48" i="11"/>
  <c r="E48" i="11"/>
  <c r="A49" i="11"/>
  <c r="B49" i="11"/>
  <c r="C49" i="11"/>
  <c r="D49" i="11"/>
  <c r="E49" i="11"/>
  <c r="A50" i="11"/>
  <c r="B50" i="11"/>
  <c r="C50" i="11"/>
  <c r="D50" i="11"/>
  <c r="E50" i="11"/>
  <c r="A51" i="11"/>
  <c r="B51" i="11"/>
  <c r="C51" i="11"/>
  <c r="D51" i="11"/>
  <c r="E51" i="11"/>
  <c r="A52" i="11"/>
  <c r="B52" i="11"/>
  <c r="C52" i="11"/>
  <c r="D52" i="11"/>
  <c r="E52" i="11"/>
  <c r="A53" i="11"/>
  <c r="B53" i="11"/>
  <c r="C53" i="11"/>
  <c r="D53" i="11"/>
  <c r="E53" i="11"/>
  <c r="A54" i="11"/>
  <c r="B54" i="11"/>
  <c r="C54" i="11"/>
  <c r="D54" i="11"/>
  <c r="E54" i="11"/>
  <c r="A55" i="11"/>
  <c r="B55" i="11"/>
  <c r="C55" i="11"/>
  <c r="D55" i="11"/>
  <c r="E55" i="11"/>
  <c r="A56" i="11"/>
  <c r="B56" i="11"/>
  <c r="C56" i="11"/>
  <c r="D56" i="11"/>
  <c r="E56" i="11"/>
  <c r="A57" i="11"/>
  <c r="B57" i="11"/>
  <c r="C57" i="11"/>
  <c r="D57" i="11"/>
  <c r="E57" i="11"/>
  <c r="A58" i="11"/>
  <c r="B58" i="11"/>
  <c r="C58" i="11"/>
  <c r="D58" i="11"/>
  <c r="E58" i="11"/>
  <c r="A59" i="11"/>
  <c r="B59" i="11"/>
  <c r="C59" i="11"/>
  <c r="D59" i="11"/>
  <c r="E59" i="11"/>
  <c r="A60" i="11"/>
  <c r="B60" i="11"/>
  <c r="C60" i="11"/>
  <c r="D60" i="11"/>
  <c r="E60" i="11"/>
  <c r="A61" i="11"/>
  <c r="B61" i="11"/>
  <c r="C61" i="11"/>
  <c r="D61" i="11"/>
  <c r="E61" i="11"/>
  <c r="A62" i="11"/>
  <c r="B62" i="11"/>
  <c r="C62" i="11"/>
  <c r="D62" i="11"/>
  <c r="E62" i="11"/>
  <c r="A63" i="11"/>
  <c r="B63" i="11"/>
  <c r="C63" i="11"/>
  <c r="D63" i="11"/>
  <c r="E63" i="11"/>
  <c r="A64" i="11"/>
  <c r="B64" i="11"/>
  <c r="C64" i="11"/>
  <c r="D64" i="11"/>
  <c r="E64" i="11"/>
  <c r="A65" i="11"/>
  <c r="B65" i="11"/>
  <c r="C65" i="11"/>
  <c r="D65" i="11"/>
  <c r="E65" i="11"/>
  <c r="A66" i="11"/>
  <c r="B66" i="11"/>
  <c r="C66" i="11"/>
  <c r="D66" i="11"/>
  <c r="E66" i="11"/>
  <c r="A67" i="11"/>
  <c r="B67" i="11"/>
  <c r="C67" i="11"/>
  <c r="D67" i="11"/>
  <c r="E67" i="11"/>
  <c r="A68" i="11"/>
  <c r="B68" i="11"/>
  <c r="C68" i="11"/>
  <c r="D68" i="11"/>
  <c r="E68" i="11"/>
  <c r="A69" i="11"/>
  <c r="B69" i="11"/>
  <c r="C69" i="11"/>
  <c r="D69" i="11"/>
  <c r="E69" i="11"/>
  <c r="A70" i="11"/>
  <c r="B70" i="11"/>
  <c r="C70" i="11"/>
  <c r="D70" i="11"/>
  <c r="E70" i="11"/>
  <c r="A71" i="11"/>
  <c r="B71" i="11"/>
  <c r="C71" i="11"/>
  <c r="D71" i="11"/>
  <c r="E71" i="11"/>
  <c r="A72" i="11"/>
  <c r="B72" i="11"/>
  <c r="C72" i="11"/>
  <c r="D72" i="11"/>
  <c r="E72" i="11"/>
  <c r="A73" i="11"/>
  <c r="B73" i="11"/>
  <c r="C73" i="11"/>
  <c r="D73" i="11"/>
  <c r="E73" i="11"/>
  <c r="A74" i="11"/>
  <c r="B74" i="11"/>
  <c r="C74" i="11"/>
  <c r="D74" i="11"/>
  <c r="E74" i="11"/>
  <c r="A75" i="11"/>
  <c r="B75" i="11"/>
  <c r="C75" i="11"/>
  <c r="D75" i="11"/>
  <c r="E75" i="11"/>
  <c r="A76" i="11"/>
  <c r="B76" i="11"/>
  <c r="C76" i="11"/>
  <c r="D76" i="11"/>
  <c r="E76" i="11"/>
  <c r="A77" i="11"/>
  <c r="B77" i="11"/>
  <c r="C77" i="11"/>
  <c r="D77" i="11"/>
  <c r="E77" i="11"/>
  <c r="A78" i="11"/>
  <c r="B78" i="11"/>
  <c r="C78" i="11"/>
  <c r="D78" i="11"/>
  <c r="E78" i="11"/>
  <c r="A79" i="11"/>
  <c r="B79" i="11"/>
  <c r="C79" i="11"/>
  <c r="D79" i="11"/>
  <c r="E79" i="11"/>
  <c r="A80" i="11"/>
  <c r="B80" i="11"/>
  <c r="C80" i="11"/>
  <c r="D80" i="11"/>
  <c r="E80" i="11"/>
  <c r="A81" i="11"/>
  <c r="B81" i="11"/>
  <c r="C81" i="11"/>
  <c r="D81" i="11"/>
  <c r="E81" i="11"/>
  <c r="A82" i="11"/>
  <c r="B82" i="11"/>
  <c r="C82" i="11"/>
  <c r="D82" i="11"/>
  <c r="E82" i="11"/>
  <c r="A83" i="11"/>
  <c r="B83" i="11"/>
  <c r="C83" i="11"/>
  <c r="D83" i="11"/>
  <c r="E83" i="11"/>
  <c r="A84" i="11"/>
  <c r="B84" i="11"/>
  <c r="C84" i="11"/>
  <c r="D84" i="11"/>
  <c r="E84" i="11"/>
  <c r="A85" i="11"/>
  <c r="B85" i="11"/>
  <c r="C85" i="11"/>
  <c r="D85" i="11"/>
  <c r="E85" i="11"/>
  <c r="A86" i="11"/>
  <c r="B86" i="11"/>
  <c r="C86" i="11"/>
  <c r="D86" i="11"/>
  <c r="E86" i="11"/>
  <c r="E3" i="11"/>
  <c r="D3" i="11"/>
  <c r="C3" i="11"/>
  <c r="B3" i="11"/>
  <c r="A3" i="11"/>
  <c r="G82" i="11" l="1"/>
  <c r="J82" i="11"/>
  <c r="G40" i="11"/>
  <c r="J40" i="11"/>
  <c r="G28" i="11"/>
  <c r="J28" i="11"/>
  <c r="G61" i="11"/>
  <c r="J61" i="11"/>
  <c r="G55" i="11"/>
  <c r="J55" i="11"/>
  <c r="G86" i="11"/>
  <c r="J86" i="11"/>
  <c r="G50" i="11"/>
  <c r="J50" i="11"/>
  <c r="G38" i="11"/>
  <c r="J38" i="11"/>
  <c r="G81" i="11"/>
  <c r="J81" i="11"/>
  <c r="G75" i="11"/>
  <c r="J75" i="11"/>
  <c r="G63" i="11"/>
  <c r="J63" i="11"/>
  <c r="G57" i="11"/>
  <c r="J57" i="11"/>
  <c r="G96" i="11"/>
  <c r="J96" i="11"/>
  <c r="G90" i="11"/>
  <c r="J90" i="11"/>
  <c r="G76" i="11"/>
  <c r="J76" i="11"/>
  <c r="G97" i="11"/>
  <c r="J97" i="11"/>
  <c r="G77" i="11"/>
  <c r="J77" i="11"/>
  <c r="G59" i="11"/>
  <c r="J59" i="11"/>
  <c r="G42" i="11"/>
  <c r="J42" i="11"/>
  <c r="G36" i="11"/>
  <c r="J36" i="11"/>
  <c r="G30" i="11"/>
  <c r="J30" i="11"/>
  <c r="G24" i="11"/>
  <c r="J24" i="11"/>
  <c r="G93" i="11"/>
  <c r="J93" i="11"/>
  <c r="G87" i="11"/>
  <c r="J87" i="11"/>
  <c r="G52" i="11"/>
  <c r="J52" i="11"/>
  <c r="G34" i="11"/>
  <c r="J34" i="11"/>
  <c r="G78" i="11"/>
  <c r="J78" i="11"/>
  <c r="G73" i="11"/>
  <c r="J73" i="11"/>
  <c r="G25" i="11"/>
  <c r="J25" i="11"/>
  <c r="G94" i="11"/>
  <c r="J94" i="11"/>
  <c r="G88" i="11"/>
  <c r="J88" i="11"/>
  <c r="G70" i="11"/>
  <c r="J70" i="11"/>
  <c r="G46" i="11"/>
  <c r="J46" i="11"/>
  <c r="G71" i="11"/>
  <c r="J71" i="11"/>
  <c r="G53" i="11"/>
  <c r="J53" i="11"/>
  <c r="G48" i="11"/>
  <c r="J48" i="11"/>
  <c r="G80" i="11"/>
  <c r="J80" i="11"/>
  <c r="G74" i="11"/>
  <c r="J74" i="11"/>
  <c r="G44" i="11"/>
  <c r="J44" i="11"/>
  <c r="G32" i="11"/>
  <c r="J32" i="11"/>
  <c r="G26" i="11"/>
  <c r="J26" i="11"/>
  <c r="G95" i="11"/>
  <c r="J95" i="11"/>
  <c r="G72" i="11"/>
  <c r="I72" i="11" s="1"/>
  <c r="J72" i="11"/>
  <c r="S22" i="2"/>
  <c r="F24" i="11" s="1"/>
  <c r="H24" i="11" s="1"/>
  <c r="G2" i="8"/>
  <c r="Q2" i="8"/>
  <c r="S4" i="2"/>
  <c r="F5" i="11" s="1"/>
  <c r="F2" i="8"/>
  <c r="A2" i="8"/>
  <c r="E2" i="8"/>
  <c r="D2" i="8"/>
  <c r="I24" i="11" l="1"/>
  <c r="R2" i="8"/>
  <c r="I2" i="8"/>
  <c r="U2" i="8" s="1"/>
  <c r="J2" i="8"/>
  <c r="V2" i="8" s="1"/>
  <c r="O2" i="8"/>
  <c r="S2" i="8"/>
  <c r="P2" i="8"/>
  <c r="H2" i="8"/>
  <c r="K2" i="8"/>
  <c r="W2" i="8" s="1"/>
  <c r="V21" i="2"/>
  <c r="U21" i="2"/>
  <c r="V20" i="2"/>
  <c r="U20" i="2"/>
  <c r="V19" i="2"/>
  <c r="U19" i="2"/>
  <c r="V18" i="2"/>
  <c r="U18" i="2"/>
  <c r="V17" i="2"/>
  <c r="U17" i="2"/>
  <c r="V16" i="2"/>
  <c r="U16" i="2"/>
  <c r="V15" i="2"/>
  <c r="U15" i="2"/>
  <c r="V14" i="2"/>
  <c r="U14" i="2"/>
  <c r="V13" i="2"/>
  <c r="U13" i="2"/>
  <c r="V12" i="2"/>
  <c r="U12" i="2"/>
  <c r="V11" i="2"/>
  <c r="U11" i="2"/>
  <c r="V109" i="2"/>
  <c r="U109" i="2"/>
  <c r="V10" i="2"/>
  <c r="U10" i="2"/>
  <c r="V9" i="2"/>
  <c r="U9" i="2"/>
  <c r="V8" i="2"/>
  <c r="U8" i="2"/>
  <c r="V7" i="2"/>
  <c r="U7" i="2"/>
  <c r="V6" i="2"/>
  <c r="U6" i="2"/>
  <c r="V5" i="2"/>
  <c r="U5" i="2"/>
  <c r="V4" i="2"/>
  <c r="U4" i="2"/>
  <c r="V3" i="2"/>
  <c r="U3" i="2"/>
  <c r="V2" i="2"/>
  <c r="U2" i="2"/>
  <c r="T92" i="2"/>
  <c r="S92" i="2"/>
  <c r="F95" i="11" s="1"/>
  <c r="H95" i="11" s="1"/>
  <c r="I95" i="11" s="1"/>
  <c r="T91" i="2"/>
  <c r="S91" i="2"/>
  <c r="F94" i="11" s="1"/>
  <c r="H94" i="11" s="1"/>
  <c r="I94" i="11" s="1"/>
  <c r="T90" i="2"/>
  <c r="S90" i="2"/>
  <c r="F93" i="11" s="1"/>
  <c r="H93" i="11" s="1"/>
  <c r="I93" i="11" s="1"/>
  <c r="T89" i="2"/>
  <c r="S89" i="2"/>
  <c r="F92" i="11" s="1"/>
  <c r="T88" i="2"/>
  <c r="S88" i="2"/>
  <c r="F91" i="11" s="1"/>
  <c r="T87" i="2"/>
  <c r="S87" i="2"/>
  <c r="F90" i="11" s="1"/>
  <c r="H90" i="11" s="1"/>
  <c r="I90" i="11" s="1"/>
  <c r="T86" i="2"/>
  <c r="S86" i="2"/>
  <c r="F89" i="11" s="1"/>
  <c r="T85" i="2"/>
  <c r="S85" i="2"/>
  <c r="F88" i="11" s="1"/>
  <c r="H88" i="11" s="1"/>
  <c r="I88" i="11" s="1"/>
  <c r="T84" i="2"/>
  <c r="S84" i="2"/>
  <c r="F87" i="11" s="1"/>
  <c r="H87" i="11" s="1"/>
  <c r="I87" i="11" s="1"/>
  <c r="T83" i="2"/>
  <c r="S83" i="2"/>
  <c r="F86" i="11" s="1"/>
  <c r="H86" i="11" s="1"/>
  <c r="I86" i="11" s="1"/>
  <c r="T82" i="2"/>
  <c r="S82" i="2"/>
  <c r="F85" i="11" s="1"/>
  <c r="T81" i="2"/>
  <c r="S81" i="2"/>
  <c r="F84" i="11" s="1"/>
  <c r="T80" i="2"/>
  <c r="S80" i="2"/>
  <c r="F83" i="11" s="1"/>
  <c r="T79" i="2"/>
  <c r="S79" i="2"/>
  <c r="F82" i="11" s="1"/>
  <c r="H82" i="11" s="1"/>
  <c r="I82" i="11" s="1"/>
  <c r="T78" i="2"/>
  <c r="S78" i="2"/>
  <c r="F81" i="11" s="1"/>
  <c r="H81" i="11" s="1"/>
  <c r="I81" i="11" s="1"/>
  <c r="T77" i="2"/>
  <c r="S77" i="2"/>
  <c r="F80" i="11" s="1"/>
  <c r="H80" i="11" s="1"/>
  <c r="I80" i="11" s="1"/>
  <c r="T76" i="2"/>
  <c r="S76" i="2"/>
  <c r="F79" i="11" s="1"/>
  <c r="T75" i="2"/>
  <c r="S75" i="2"/>
  <c r="F78" i="11" s="1"/>
  <c r="H78" i="11" s="1"/>
  <c r="I78" i="11" s="1"/>
  <c r="T74" i="2"/>
  <c r="S74" i="2"/>
  <c r="F77" i="11" s="1"/>
  <c r="H77" i="11" s="1"/>
  <c r="I77" i="11" s="1"/>
  <c r="T73" i="2"/>
  <c r="S73" i="2"/>
  <c r="F76" i="11" s="1"/>
  <c r="H76" i="11" s="1"/>
  <c r="I76" i="11" s="1"/>
  <c r="T72" i="2"/>
  <c r="S72" i="2"/>
  <c r="F75" i="11" s="1"/>
  <c r="H75" i="11" s="1"/>
  <c r="I75" i="11" s="1"/>
  <c r="T71" i="2"/>
  <c r="S71" i="2"/>
  <c r="F74" i="11" s="1"/>
  <c r="H74" i="11" s="1"/>
  <c r="I74" i="11" s="1"/>
  <c r="T70" i="2"/>
  <c r="S70" i="2"/>
  <c r="F73" i="11" s="1"/>
  <c r="H73" i="11" s="1"/>
  <c r="I73" i="11" s="1"/>
  <c r="T69" i="2"/>
  <c r="S69" i="2"/>
  <c r="F71" i="11" s="1"/>
  <c r="H71" i="11" s="1"/>
  <c r="I71" i="11" s="1"/>
  <c r="T68" i="2"/>
  <c r="S68" i="2"/>
  <c r="F70" i="11" s="1"/>
  <c r="H70" i="11" s="1"/>
  <c r="I70" i="11" s="1"/>
  <c r="T67" i="2"/>
  <c r="S67" i="2"/>
  <c r="F69" i="11" s="1"/>
  <c r="T66" i="2"/>
  <c r="S66" i="2"/>
  <c r="F68" i="11" s="1"/>
  <c r="T65" i="2"/>
  <c r="S65" i="2"/>
  <c r="F67" i="11" s="1"/>
  <c r="T64" i="2"/>
  <c r="S64" i="2"/>
  <c r="F66" i="11" s="1"/>
  <c r="T63" i="2"/>
  <c r="S63" i="2"/>
  <c r="F65" i="11" s="1"/>
  <c r="T62" i="2"/>
  <c r="S62" i="2"/>
  <c r="F64" i="11" s="1"/>
  <c r="T61" i="2"/>
  <c r="S61" i="2"/>
  <c r="F63" i="11" s="1"/>
  <c r="H63" i="11" s="1"/>
  <c r="I63" i="11" s="1"/>
  <c r="T60" i="2"/>
  <c r="S60" i="2"/>
  <c r="F62" i="11" s="1"/>
  <c r="T59" i="2"/>
  <c r="S59" i="2"/>
  <c r="F61" i="11" s="1"/>
  <c r="H61" i="11" s="1"/>
  <c r="I61" i="11" s="1"/>
  <c r="T58" i="2"/>
  <c r="S58" i="2"/>
  <c r="F60" i="11" s="1"/>
  <c r="T57" i="2"/>
  <c r="S57" i="2"/>
  <c r="F59" i="11" s="1"/>
  <c r="H59" i="11" s="1"/>
  <c r="I59" i="11" s="1"/>
  <c r="T56" i="2"/>
  <c r="S56" i="2"/>
  <c r="F58" i="11" s="1"/>
  <c r="T55" i="2"/>
  <c r="S55" i="2"/>
  <c r="F57" i="11" s="1"/>
  <c r="H57" i="11" s="1"/>
  <c r="I57" i="11" s="1"/>
  <c r="T54" i="2"/>
  <c r="S54" i="2"/>
  <c r="F56" i="11" s="1"/>
  <c r="T53" i="2"/>
  <c r="S53" i="2"/>
  <c r="F55" i="11" s="1"/>
  <c r="H55" i="11" s="1"/>
  <c r="I55" i="11" s="1"/>
  <c r="T52" i="2"/>
  <c r="S52" i="2"/>
  <c r="F54" i="11" s="1"/>
  <c r="T51" i="2"/>
  <c r="S51" i="2"/>
  <c r="F53" i="11" s="1"/>
  <c r="H53" i="11" s="1"/>
  <c r="I53" i="11" s="1"/>
  <c r="T50" i="2"/>
  <c r="S50" i="2"/>
  <c r="F52" i="11" s="1"/>
  <c r="H52" i="11" s="1"/>
  <c r="I52" i="11" s="1"/>
  <c r="T49" i="2"/>
  <c r="S49" i="2"/>
  <c r="F51" i="11" s="1"/>
  <c r="T48" i="2"/>
  <c r="S48" i="2"/>
  <c r="F50" i="11" s="1"/>
  <c r="H50" i="11" s="1"/>
  <c r="I50" i="11" s="1"/>
  <c r="T47" i="2"/>
  <c r="S47" i="2"/>
  <c r="F49" i="11" s="1"/>
  <c r="T46" i="2"/>
  <c r="S46" i="2"/>
  <c r="F48" i="11" s="1"/>
  <c r="H48" i="11" s="1"/>
  <c r="I48" i="11" s="1"/>
  <c r="T45" i="2"/>
  <c r="S45" i="2"/>
  <c r="F47" i="11" s="1"/>
  <c r="T44" i="2"/>
  <c r="S44" i="2"/>
  <c r="F46" i="11" s="1"/>
  <c r="H46" i="11" s="1"/>
  <c r="I46" i="11" s="1"/>
  <c r="T43" i="2"/>
  <c r="S43" i="2"/>
  <c r="F45" i="11" s="1"/>
  <c r="T42" i="2"/>
  <c r="S42" i="2"/>
  <c r="F44" i="11" s="1"/>
  <c r="H44" i="11" s="1"/>
  <c r="I44" i="11" s="1"/>
  <c r="T41" i="2"/>
  <c r="S41" i="2"/>
  <c r="F43" i="11" s="1"/>
  <c r="T40" i="2"/>
  <c r="S40" i="2"/>
  <c r="F42" i="11" s="1"/>
  <c r="H42" i="11" s="1"/>
  <c r="I42" i="11" s="1"/>
  <c r="T39" i="2"/>
  <c r="S39" i="2"/>
  <c r="F41" i="11" s="1"/>
  <c r="T38" i="2"/>
  <c r="S38" i="2"/>
  <c r="F40" i="11" s="1"/>
  <c r="H40" i="11" s="1"/>
  <c r="I40" i="11" s="1"/>
  <c r="T37" i="2"/>
  <c r="S37" i="2"/>
  <c r="F39" i="11" s="1"/>
  <c r="T36" i="2"/>
  <c r="S36" i="2"/>
  <c r="F38" i="11" s="1"/>
  <c r="H38" i="11" s="1"/>
  <c r="I38" i="11" s="1"/>
  <c r="T35" i="2"/>
  <c r="S35" i="2"/>
  <c r="F37" i="11" s="1"/>
  <c r="T34" i="2"/>
  <c r="S34" i="2"/>
  <c r="F36" i="11" s="1"/>
  <c r="H36" i="11" s="1"/>
  <c r="I36" i="11" s="1"/>
  <c r="T33" i="2"/>
  <c r="S33" i="2"/>
  <c r="F35" i="11" s="1"/>
  <c r="T32" i="2"/>
  <c r="S32" i="2"/>
  <c r="F34" i="11" s="1"/>
  <c r="H34" i="11" s="1"/>
  <c r="I34" i="11" s="1"/>
  <c r="T31" i="2"/>
  <c r="S31" i="2"/>
  <c r="F33" i="11" s="1"/>
  <c r="T30" i="2"/>
  <c r="S30" i="2"/>
  <c r="F32" i="11" s="1"/>
  <c r="H32" i="11" s="1"/>
  <c r="I32" i="11" s="1"/>
  <c r="T29" i="2"/>
  <c r="S29" i="2"/>
  <c r="F31" i="11" s="1"/>
  <c r="T28" i="2"/>
  <c r="S28" i="2"/>
  <c r="F30" i="11" s="1"/>
  <c r="H30" i="11" s="1"/>
  <c r="I30" i="11" s="1"/>
  <c r="T27" i="2"/>
  <c r="S27" i="2"/>
  <c r="F29" i="11" s="1"/>
  <c r="T26" i="2"/>
  <c r="S26" i="2"/>
  <c r="F28" i="11" s="1"/>
  <c r="H28" i="11" s="1"/>
  <c r="I28" i="11" s="1"/>
  <c r="T25" i="2"/>
  <c r="S25" i="2"/>
  <c r="F27" i="11" s="1"/>
  <c r="T24" i="2"/>
  <c r="S24" i="2"/>
  <c r="F26" i="11" s="1"/>
  <c r="H26" i="11" s="1"/>
  <c r="I26" i="11" s="1"/>
  <c r="T23" i="2"/>
  <c r="S23" i="2"/>
  <c r="F25" i="11" s="1"/>
  <c r="H25" i="11" s="1"/>
  <c r="I25" i="11" s="1"/>
  <c r="T22" i="2"/>
  <c r="T21" i="2"/>
  <c r="S21" i="2"/>
  <c r="F23" i="11" s="1"/>
  <c r="T20" i="2"/>
  <c r="S20" i="2"/>
  <c r="F22" i="11" s="1"/>
  <c r="T19" i="2"/>
  <c r="S19" i="2"/>
  <c r="F21" i="11" s="1"/>
  <c r="T18" i="2"/>
  <c r="S18" i="2"/>
  <c r="F20" i="11" s="1"/>
  <c r="T17" i="2"/>
  <c r="S17" i="2"/>
  <c r="F19" i="11" s="1"/>
  <c r="T16" i="2"/>
  <c r="S16" i="2"/>
  <c r="F18" i="11" s="1"/>
  <c r="T15" i="2"/>
  <c r="S15" i="2"/>
  <c r="F17" i="11" s="1"/>
  <c r="T14" i="2"/>
  <c r="S14" i="2"/>
  <c r="F16" i="11" s="1"/>
  <c r="T13" i="2"/>
  <c r="S13" i="2"/>
  <c r="F15" i="11" s="1"/>
  <c r="T12" i="2"/>
  <c r="S12" i="2"/>
  <c r="F14" i="11" s="1"/>
  <c r="T11" i="2"/>
  <c r="S11" i="2"/>
  <c r="F13" i="11" s="1"/>
  <c r="T109" i="2"/>
  <c r="S109" i="2"/>
  <c r="F12" i="11" s="1"/>
  <c r="T10" i="2"/>
  <c r="S10" i="2"/>
  <c r="F11" i="11" s="1"/>
  <c r="T9" i="2"/>
  <c r="S9" i="2"/>
  <c r="F10" i="11" s="1"/>
  <c r="T8" i="2"/>
  <c r="S8" i="2"/>
  <c r="F9" i="11" s="1"/>
  <c r="T7" i="2"/>
  <c r="S7" i="2"/>
  <c r="F8" i="11" s="1"/>
  <c r="T6" i="2"/>
  <c r="S6" i="2"/>
  <c r="F7" i="11" s="1"/>
  <c r="T5" i="2"/>
  <c r="S5" i="2"/>
  <c r="F6" i="11" s="1"/>
  <c r="T4" i="2"/>
  <c r="T3" i="2"/>
  <c r="S3" i="2"/>
  <c r="F4" i="11" s="1"/>
  <c r="T2" i="2"/>
  <c r="S2" i="2"/>
  <c r="F3" i="11" s="1"/>
  <c r="T2" i="8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71" i="4"/>
  <c r="E72" i="4"/>
  <c r="E73" i="4"/>
  <c r="E74" i="4"/>
  <c r="E75" i="4"/>
  <c r="E76" i="4"/>
  <c r="E2" i="4"/>
  <c r="F12" i="2"/>
  <c r="E12" i="2"/>
  <c r="F8" i="2"/>
  <c r="E8" i="2"/>
  <c r="F6" i="2"/>
  <c r="E6" i="2"/>
  <c r="F4" i="2"/>
  <c r="E4" i="2"/>
  <c r="F92" i="2" l="1"/>
  <c r="E92" i="2"/>
  <c r="F91" i="2"/>
  <c r="E91" i="2"/>
  <c r="F83" i="2"/>
  <c r="E83" i="2"/>
  <c r="E84" i="2"/>
  <c r="F84" i="2"/>
  <c r="F78" i="2"/>
  <c r="E78" i="2"/>
  <c r="F22" i="7"/>
  <c r="F49" i="2"/>
  <c r="E49" i="2"/>
  <c r="F48" i="2"/>
  <c r="E48" i="2"/>
  <c r="F47" i="2"/>
  <c r="E47" i="2"/>
  <c r="F46" i="2"/>
  <c r="E46" i="2"/>
  <c r="F45" i="2"/>
  <c r="E45" i="2"/>
  <c r="F44" i="2"/>
  <c r="E44" i="2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1" i="7"/>
  <c r="E27" i="2"/>
  <c r="F27" i="2"/>
  <c r="E25" i="2"/>
  <c r="F25" i="2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T94" i="2"/>
  <c r="T93" i="2"/>
  <c r="S94" i="2"/>
  <c r="F97" i="11" s="1"/>
  <c r="H97" i="11" s="1"/>
  <c r="I97" i="11" s="1"/>
  <c r="S93" i="2"/>
  <c r="F96" i="11" s="1"/>
  <c r="H96" i="11" s="1"/>
  <c r="I96" i="11" s="1"/>
  <c r="E94" i="2"/>
  <c r="E93" i="2"/>
  <c r="E90" i="2"/>
  <c r="E89" i="2"/>
  <c r="E88" i="2"/>
  <c r="E87" i="2"/>
  <c r="E86" i="2"/>
  <c r="E85" i="2"/>
  <c r="E82" i="2"/>
  <c r="E81" i="2"/>
  <c r="E80" i="2"/>
  <c r="E79" i="2"/>
  <c r="E77" i="2"/>
  <c r="E76" i="2"/>
  <c r="E75" i="2"/>
  <c r="E74" i="2"/>
  <c r="E73" i="2"/>
  <c r="E72" i="2"/>
  <c r="E71" i="2"/>
  <c r="E70" i="2"/>
  <c r="E69" i="2"/>
  <c r="E68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6" i="2"/>
  <c r="E24" i="2"/>
  <c r="E23" i="2"/>
  <c r="E22" i="2"/>
  <c r="E21" i="2"/>
  <c r="E20" i="2"/>
  <c r="E19" i="2"/>
  <c r="E18" i="2"/>
  <c r="E17" i="2"/>
  <c r="E16" i="2"/>
  <c r="E15" i="2"/>
  <c r="E14" i="2"/>
  <c r="E13" i="2"/>
  <c r="E11" i="2"/>
  <c r="E109" i="2"/>
  <c r="E10" i="2"/>
  <c r="E9" i="2"/>
  <c r="E7" i="2"/>
  <c r="E5" i="2"/>
  <c r="E3" i="2"/>
  <c r="E2" i="2"/>
  <c r="E1" i="7"/>
  <c r="G17" i="7" l="1"/>
  <c r="G5" i="7"/>
  <c r="G11" i="7"/>
  <c r="G41" i="7"/>
  <c r="G16" i="7"/>
  <c r="G10" i="7"/>
  <c r="G4" i="7"/>
  <c r="G21" i="7"/>
  <c r="G15" i="7"/>
  <c r="G9" i="7"/>
  <c r="G20" i="7"/>
  <c r="G14" i="7"/>
  <c r="G33" i="7"/>
  <c r="G2" i="7"/>
  <c r="G49" i="7"/>
  <c r="G19" i="7"/>
  <c r="G7" i="7"/>
  <c r="G12" i="7"/>
  <c r="G13" i="7"/>
  <c r="G8" i="7"/>
  <c r="G25" i="7"/>
  <c r="G53" i="7"/>
  <c r="G37" i="7"/>
  <c r="G29" i="7"/>
  <c r="G57" i="7"/>
  <c r="G61" i="7"/>
  <c r="G3" i="7"/>
  <c r="G6" i="7"/>
  <c r="G45" i="7"/>
  <c r="G54" i="7"/>
  <c r="G46" i="7"/>
  <c r="G38" i="7"/>
  <c r="G30" i="7"/>
  <c r="G55" i="7"/>
  <c r="G47" i="7"/>
  <c r="G39" i="7"/>
  <c r="G31" i="7"/>
  <c r="G23" i="7"/>
  <c r="G28" i="7"/>
  <c r="G18" i="7"/>
  <c r="G22" i="7"/>
  <c r="G59" i="7"/>
  <c r="G51" i="7"/>
  <c r="G43" i="7"/>
  <c r="G35" i="7"/>
  <c r="G27" i="7"/>
  <c r="G1" i="7"/>
  <c r="G58" i="7"/>
  <c r="G50" i="7"/>
  <c r="G42" i="7"/>
  <c r="G34" i="7"/>
  <c r="G26" i="7"/>
  <c r="G60" i="7"/>
  <c r="G52" i="7"/>
  <c r="G44" i="7"/>
  <c r="G36" i="7"/>
  <c r="G56" i="7"/>
  <c r="G48" i="7"/>
  <c r="G40" i="7"/>
  <c r="G32" i="7"/>
  <c r="G24" i="7"/>
  <c r="F94" i="2" l="1"/>
  <c r="F20" i="2"/>
  <c r="F71" i="2" l="1"/>
  <c r="F69" i="2"/>
  <c r="F70" i="2"/>
  <c r="F50" i="2"/>
  <c r="F86" i="2"/>
  <c r="F79" i="2"/>
  <c r="F87" i="2"/>
  <c r="F18" i="2"/>
  <c r="F19" i="2"/>
  <c r="F21" i="2"/>
  <c r="F68" i="2"/>
  <c r="F14" i="2"/>
  <c r="F109" i="2"/>
  <c r="F3" i="2" l="1"/>
  <c r="F13" i="2"/>
  <c r="F15" i="2"/>
  <c r="F16" i="2"/>
  <c r="F10" i="2"/>
  <c r="F23" i="2"/>
  <c r="F22" i="2"/>
  <c r="F5" i="2"/>
  <c r="F2" i="2"/>
  <c r="F11" i="2"/>
  <c r="F73" i="2"/>
  <c r="F75" i="2"/>
  <c r="F76" i="2"/>
  <c r="F74" i="2"/>
  <c r="F77" i="2"/>
  <c r="F93" i="2"/>
  <c r="F90" i="2"/>
  <c r="F85" i="2"/>
  <c r="F72" i="2"/>
  <c r="F7" i="2"/>
  <c r="F24" i="2"/>
  <c r="F26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51" i="2"/>
  <c r="F52" i="2"/>
  <c r="F53" i="2"/>
  <c r="F54" i="2"/>
  <c r="F55" i="2"/>
  <c r="F56" i="2"/>
  <c r="F57" i="2"/>
  <c r="F58" i="2"/>
  <c r="F59" i="2"/>
  <c r="F60" i="2"/>
  <c r="F61" i="2"/>
  <c r="F62" i="2"/>
  <c r="F88" i="2"/>
  <c r="F17" i="2"/>
  <c r="F89" i="2"/>
  <c r="F80" i="2"/>
  <c r="F82" i="2"/>
  <c r="F81" i="2"/>
  <c r="F9" i="2"/>
</calcChain>
</file>

<file path=xl/sharedStrings.xml><?xml version="1.0" encoding="utf-8"?>
<sst xmlns="http://schemas.openxmlformats.org/spreadsheetml/2006/main" count="2621" uniqueCount="558">
  <si>
    <t>Zone</t>
  </si>
  <si>
    <t>http</t>
  </si>
  <si>
    <t>https</t>
  </si>
  <si>
    <t>app_name</t>
  </si>
  <si>
    <t>bes_ccs</t>
  </si>
  <si>
    <t>bes_wmm</t>
  </si>
  <si>
    <t>DMZ (TSP) &amp; DMZ (Gov)</t>
  </si>
  <si>
    <t>ffts_web</t>
  </si>
  <si>
    <t>DMZ (DAS)</t>
  </si>
  <si>
    <t>das_middleware</t>
  </si>
  <si>
    <t>auth_api</t>
  </si>
  <si>
    <t>accmgt_api</t>
  </si>
  <si>
    <t>bescore_portal</t>
  </si>
  <si>
    <t>bes_signalr_server</t>
  </si>
  <si>
    <t>ecms_portal</t>
  </si>
  <si>
    <t>ecms_api</t>
  </si>
  <si>
    <t>central_db_services_accmgt</t>
  </si>
  <si>
    <t>central_db_services_core</t>
  </si>
  <si>
    <t>central_db_services_ccms</t>
  </si>
  <si>
    <t>central_db_services_ecms</t>
  </si>
  <si>
    <t>tag_validation</t>
  </si>
  <si>
    <t>tx_validation</t>
  </si>
  <si>
    <t>posted_tx_validation</t>
  </si>
  <si>
    <t>vrm_verification</t>
  </si>
  <si>
    <t>secondocr_webapi</t>
  </si>
  <si>
    <t>ccms_api</t>
  </si>
  <si>
    <t>ccms_portal</t>
  </si>
  <si>
    <t>bes_acc_im001_fft_account_registration</t>
  </si>
  <si>
    <t>bes_acc_im002_fft_vehicle_management</t>
  </si>
  <si>
    <t>bes_acc_im003_fft_vehicle_group_management</t>
  </si>
  <si>
    <t>bes_acc_im004_fft_account_search</t>
  </si>
  <si>
    <t>bes_acc_im005_fft_driver_approval</t>
  </si>
  <si>
    <t>bes_acc_im006_fft_account_management</t>
  </si>
  <si>
    <t>bes_acc_im007_fft_vehicle_pairing</t>
  </si>
  <si>
    <t>bes_acc_im008_fft_tag_management</t>
  </si>
  <si>
    <t>bes_acc_im009_fft_payment_and_billing</t>
  </si>
  <si>
    <t>bes_acc_im010_fft_transaction</t>
  </si>
  <si>
    <t>bes_cre_im001_tokenization</t>
  </si>
  <si>
    <t>bes_cre_im002_otp</t>
  </si>
  <si>
    <t>bes_cre_im007_notification_template_management</t>
  </si>
  <si>
    <t>bes_cre_im008_notification_message_management</t>
  </si>
  <si>
    <t>bes_cre_im009_notification_processor</t>
  </si>
  <si>
    <t>bes_cre_im010_shortlink</t>
  </si>
  <si>
    <t>TOMS Zone</t>
  </si>
  <si>
    <t>App No.</t>
  </si>
  <si>
    <t>v511</t>
    <phoneticPr fontId="2" type="noConversion"/>
  </si>
  <si>
    <t>v510</t>
    <phoneticPr fontId="2" type="noConversion"/>
  </si>
  <si>
    <t>object_storage</t>
    <phoneticPr fontId="2" type="noConversion"/>
  </si>
  <si>
    <t>pulsar</t>
    <phoneticPr fontId="2" type="noConversion"/>
  </si>
  <si>
    <t>toms-keycloak</t>
    <phoneticPr fontId="2" type="noConversion"/>
  </si>
  <si>
    <t>k8s-keylcoak</t>
    <phoneticPr fontId="2" type="noConversion"/>
  </si>
  <si>
    <t>mariadb</t>
    <phoneticPr fontId="2" type="noConversion"/>
  </si>
  <si>
    <t>toms-mongodb</t>
    <phoneticPr fontId="2" type="noConversion"/>
  </si>
  <si>
    <t>k8s-mongodb</t>
    <phoneticPr fontId="2" type="noConversion"/>
  </si>
  <si>
    <t>toms-mariadb</t>
    <phoneticPr fontId="2" type="noConversion"/>
  </si>
  <si>
    <t>ü</t>
  </si>
  <si>
    <t>vLan</t>
  </si>
  <si>
    <t>Port</t>
  </si>
  <si>
    <t>das_data_consumer</t>
  </si>
  <si>
    <t>das_transaction_record_consumer</t>
  </si>
  <si>
    <t>das_evidence_record_consumer</t>
  </si>
  <si>
    <t>Source(outbound)</t>
    <phoneticPr fontId="2" type="noConversion"/>
  </si>
  <si>
    <t>destination(inbound)</t>
    <phoneticPr fontId="2" type="noConversion"/>
  </si>
  <si>
    <t>DMZ (TSP)</t>
  </si>
  <si>
    <t>DMZ (Gov)</t>
  </si>
  <si>
    <t>v504</t>
  </si>
  <si>
    <t>Internal Application Zone</t>
  </si>
  <si>
    <t>dmz</t>
  </si>
  <si>
    <t>trust</t>
  </si>
  <si>
    <t>v510</t>
  </si>
  <si>
    <t>v810</t>
  </si>
  <si>
    <t>External Application Zone</t>
  </si>
  <si>
    <t>toms_middleware</t>
  </si>
  <si>
    <t>toms_api</t>
  </si>
  <si>
    <t>toms_portal</t>
  </si>
  <si>
    <t>toms_auth_api</t>
  </si>
  <si>
    <t>zone tag</t>
  </si>
  <si>
    <t>upstream</t>
  </si>
  <si>
    <t>to zone</t>
  </si>
  <si>
    <t>rest_api</t>
    <phoneticPr fontId="2" type="noConversion"/>
  </si>
  <si>
    <t>worker service</t>
    <phoneticPr fontId="2" type="noConversion"/>
  </si>
  <si>
    <t>v504 / v904</t>
  </si>
  <si>
    <t>v904</t>
  </si>
  <si>
    <t>?</t>
  </si>
  <si>
    <t>K8S default port range</t>
  </si>
  <si>
    <t>30000-32767</t>
  </si>
  <si>
    <t>CCS FTP</t>
  </si>
  <si>
    <t>Valid V (Https)</t>
  </si>
  <si>
    <t>service description</t>
  </si>
  <si>
    <t>rest_api</t>
  </si>
  <si>
    <t>others</t>
  </si>
  <si>
    <t>call from external</t>
  </si>
  <si>
    <t>call from trust</t>
  </si>
  <si>
    <t>api</t>
  </si>
  <si>
    <t>external - Valid V</t>
  </si>
  <si>
    <t>external - CCS</t>
  </si>
  <si>
    <t>external - DAS</t>
  </si>
  <si>
    <t>external - Internet</t>
  </si>
  <si>
    <t>external - Government</t>
  </si>
  <si>
    <t>external - TSP</t>
  </si>
  <si>
    <t>external - VSSD</t>
  </si>
  <si>
    <t>call to external</t>
  </si>
  <si>
    <t>call to trust</t>
  </si>
  <si>
    <t>call from dmz</t>
  </si>
  <si>
    <t>call to dmz</t>
  </si>
  <si>
    <t>application type</t>
  </si>
  <si>
    <t>customer web</t>
  </si>
  <si>
    <t>payment middleware</t>
  </si>
  <si>
    <t>app to upload file to CCS FTP (ext)</t>
  </si>
  <si>
    <t>login for internal portal</t>
  </si>
  <si>
    <t>BES Core portal</t>
  </si>
  <si>
    <t>SignalR for all internal portal</t>
  </si>
  <si>
    <t>BES ECMS portal</t>
  </si>
  <si>
    <t>API for ECMS portal</t>
  </si>
  <si>
    <t>Account management to db connection</t>
  </si>
  <si>
    <t>Core to db connection</t>
  </si>
  <si>
    <t>CCMS to db connection</t>
  </si>
  <si>
    <t>ECMS to db connection</t>
  </si>
  <si>
    <t>transaction validation</t>
  </si>
  <si>
    <t>N/A</t>
  </si>
  <si>
    <t>Second OCR API</t>
  </si>
  <si>
    <t>BES CCMS Portal</t>
  </si>
  <si>
    <t>API for CCMS Portal</t>
  </si>
  <si>
    <t>API for Account mangement functions</t>
  </si>
  <si>
    <t>API for core functions</t>
  </si>
  <si>
    <t>app for notification</t>
  </si>
  <si>
    <t>api call from TSP</t>
  </si>
  <si>
    <t>api call TSP PSIS</t>
  </si>
  <si>
    <t>api call from DAS</t>
  </si>
  <si>
    <t>api call from DAS/BES-Internal</t>
  </si>
  <si>
    <t>api call DAS/BES-Internal</t>
  </si>
  <si>
    <t>das_video</t>
  </si>
  <si>
    <t>web access from TSP/Gov</t>
  </si>
  <si>
    <t>web_socket + rest_api</t>
  </si>
  <si>
    <t>web socket from TSP/Gov</t>
  </si>
  <si>
    <t>&lt;TBC, not in used&gt;</t>
  </si>
  <si>
    <t>Pulsar</t>
  </si>
  <si>
    <t>bes_das_im001_general</t>
  </si>
  <si>
    <t>API for DAS functions</t>
  </si>
  <si>
    <t>MQ consumer for DAS</t>
  </si>
  <si>
    <t>MQ consumer for DAS (transaction specific)</t>
  </si>
  <si>
    <t>MQ consumer for DAS (evidence specific)</t>
  </si>
  <si>
    <t>API for notification management</t>
  </si>
  <si>
    <t>notification_middleware</t>
  </si>
  <si>
    <t>API for core portal management</t>
  </si>
  <si>
    <t>ccs_middleware</t>
  </si>
  <si>
    <t>payment_middleware</t>
  </si>
  <si>
    <t>valid_v_middleware</t>
  </si>
  <si>
    <t>bes_valid_v</t>
  </si>
  <si>
    <t>bes_ttis</t>
  </si>
  <si>
    <t>bes_tsp_misc</t>
  </si>
  <si>
    <t>bes_vssd</t>
  </si>
  <si>
    <t>vssd_middleware</t>
  </si>
  <si>
    <t>api / web socket</t>
  </si>
  <si>
    <t>web socket</t>
  </si>
  <si>
    <t>v504 / v804</t>
  </si>
  <si>
    <t>api call from TSP/Internet</t>
  </si>
  <si>
    <t>web portal</t>
  </si>
  <si>
    <t>DMZ (Internet)</t>
  </si>
  <si>
    <t>v804</t>
  </si>
  <si>
    <t>web access from Internet</t>
  </si>
  <si>
    <t>api call TSP Notification Middleware</t>
  </si>
  <si>
    <t>api call DAS API</t>
  </si>
  <si>
    <t>api call DAS API for Video</t>
  </si>
  <si>
    <t>web socket call TSP/Gov web clients</t>
  </si>
  <si>
    <t>web access from TSP</t>
  </si>
  <si>
    <t>tsp_middleware</t>
  </si>
  <si>
    <t>ttis_middleware</t>
  </si>
  <si>
    <t>TSP middleware</t>
  </si>
  <si>
    <t>TTIS middleware</t>
  </si>
  <si>
    <t>Valid V middleware</t>
  </si>
  <si>
    <t>VSSD middleware</t>
  </si>
  <si>
    <t>DAS middleware</t>
  </si>
  <si>
    <t>DAS middleware for video</t>
  </si>
  <si>
    <t>Middleware for customer web and mobile app to call</t>
  </si>
  <si>
    <t>api call TSP Interface</t>
  </si>
  <si>
    <t>api call TSP TTIS</t>
  </si>
  <si>
    <t>File upload/download from VALID V web service</t>
  </si>
  <si>
    <t>File upload/download from VSSD web service</t>
  </si>
  <si>
    <t>File upload to CCS's FTP</t>
  </si>
  <si>
    <t>Not in used</t>
  </si>
  <si>
    <t>CCS processor</t>
  </si>
  <si>
    <t>VSSD processor</t>
  </si>
  <si>
    <t>TSP interface processor</t>
  </si>
  <si>
    <t>Valid V processor</t>
  </si>
  <si>
    <t>conf_setting</t>
  </si>
  <si>
    <t>Configuration Setting</t>
  </si>
  <si>
    <t>statement_api</t>
  </si>
  <si>
    <t>toll_cal_setting</t>
  </si>
  <si>
    <t>Statement API</t>
  </si>
  <si>
    <t>Toll Calulation Setting</t>
  </si>
  <si>
    <t>in used</t>
  </si>
  <si>
    <t>API for TOMS [Docker in Standalone VM]</t>
  </si>
  <si>
    <t>login API for TOMS [Docker in Standalone VM]</t>
  </si>
  <si>
    <t>TOMS web portal [Docker in Standalone VM]</t>
  </si>
  <si>
    <t>toms middleware [Docker in Standalone VM]</t>
  </si>
  <si>
    <t>v510/v810</t>
  </si>
  <si>
    <t>v???</t>
  </si>
  <si>
    <t>v511</t>
  </si>
  <si>
    <t>Service</t>
  </si>
  <si>
    <t>DMZ Access</t>
  </si>
  <si>
    <t>Trust Zone Access</t>
  </si>
  <si>
    <t>Management Zone Access</t>
  </si>
  <si>
    <t>Remark</t>
  </si>
  <si>
    <t>Jasper Report</t>
  </si>
  <si>
    <t>TSP, GOV</t>
  </si>
  <si>
    <t>All (Exclude TOMS)</t>
  </si>
  <si>
    <t>Mgt</t>
  </si>
  <si>
    <t>Gitlab</t>
  </si>
  <si>
    <t>None</t>
  </si>
  <si>
    <t>For deployment of K8S (DMZ) and K8S (Trust)</t>
  </si>
  <si>
    <t>Harbor</t>
  </si>
  <si>
    <t>Logstash</t>
  </si>
  <si>
    <t>All</t>
  </si>
  <si>
    <t>Elastic Search</t>
  </si>
  <si>
    <t>Grafana</t>
  </si>
  <si>
    <t>Prometheus</t>
  </si>
  <si>
    <t>Nagios</t>
  </si>
  <si>
    <t>LDAP</t>
  </si>
  <si>
    <t>DNS (BES local+GCIS)</t>
  </si>
  <si>
    <t>NTP</t>
  </si>
  <si>
    <t>GCIS DBaaS (BES)</t>
  </si>
  <si>
    <t>GCIS DBaaS (TOMS)</t>
  </si>
  <si>
    <t>TOMS</t>
  </si>
  <si>
    <t>GCIS Object Storage</t>
  </si>
  <si>
    <t>TSP, DAS, GOV</t>
  </si>
  <si>
    <t>TSP, DAS</t>
  </si>
  <si>
    <t>Anti-virus</t>
  </si>
  <si>
    <t>SMTP</t>
  </si>
  <si>
    <t>KeyCloak (BES)</t>
  </si>
  <si>
    <t>KeyCloak (TOMS)</t>
  </si>
  <si>
    <t>Notes for zones in overview design</t>
  </si>
  <si>
    <t>Zone name in design</t>
  </si>
  <si>
    <t>Zone Type</t>
  </si>
  <si>
    <t>Zone number in implementation</t>
  </si>
  <si>
    <t>DMZ</t>
  </si>
  <si>
    <t>DMZ (Governement)</t>
  </si>
  <si>
    <t>v630</t>
  </si>
  <si>
    <t>Trust</t>
  </si>
  <si>
    <t>v510 &amp; v910</t>
  </si>
  <si>
    <t>TOMS Application Zone</t>
  </si>
  <si>
    <t>Management Zone</t>
  </si>
  <si>
    <t>Management</t>
  </si>
  <si>
    <t>v710</t>
  </si>
  <si>
    <t>DMZ (TSP) &amp; DMZ (DAS)</t>
  </si>
  <si>
    <t>v504_itoms1</t>
  </si>
  <si>
    <t>Pulsar, Object Storage</t>
  </si>
  <si>
    <t>Object Storage</t>
  </si>
  <si>
    <t>rest_api / worker service (corn job)</t>
  </si>
  <si>
    <t>Linkagee for DAS (Non-Prod)</t>
  </si>
  <si>
    <t>https://172.16.151.121:31002</t>
  </si>
  <si>
    <t xml:space="preserve">     </t>
  </si>
  <si>
    <t>toms</t>
  </si>
  <si>
    <t>bes_acc_im011_ffts_toll_and_surcharge</t>
  </si>
  <si>
    <t>bes_acc_im013_ffts_performance_monitoring</t>
  </si>
  <si>
    <t>bes_notification_pulsar_consumer_services</t>
  </si>
  <si>
    <t>bes_notification_push_app_services</t>
  </si>
  <si>
    <t>bes_notification_push_email_services</t>
  </si>
  <si>
    <t>bes_notification_push_sms_services</t>
  </si>
  <si>
    <t>bes_send_schedule_notification_services</t>
  </si>
  <si>
    <t>das_evid_api</t>
  </si>
  <si>
    <t>das_evidence_record_consumer_chunk_1</t>
  </si>
  <si>
    <t>validv_api</t>
  </si>
  <si>
    <t>validv_middleware</t>
  </si>
  <si>
    <t>daily_renew_rsa_cert</t>
  </si>
  <si>
    <t>bes_acc_im012_ffts_account_history</t>
  </si>
  <si>
    <t>central_db_services_das</t>
  </si>
  <si>
    <t>DAS to db connection</t>
  </si>
  <si>
    <t>API for Valid V</t>
  </si>
  <si>
    <t>API for VRM Verification</t>
  </si>
  <si>
    <t>chk</t>
  </si>
  <si>
    <t>na</t>
  </si>
  <si>
    <t>bes_validv</t>
  </si>
  <si>
    <t>notification_result</t>
  </si>
  <si>
    <t>notification result</t>
  </si>
  <si>
    <t xml:space="preserve">vLan </t>
  </si>
  <si>
    <t xml:space="preserve">exposed kong(btw dmz/trust) https url </t>
  </si>
  <si>
    <t xml:space="preserve">exposed kong(btw dmz/trust) http url </t>
  </si>
  <si>
    <t xml:space="preserve">exposed kong(from ext to dmz) http url </t>
  </si>
  <si>
    <t xml:space="preserve">exposed kong(from ext to dmz) https url </t>
  </si>
  <si>
    <t>32011|bes_signalr_server</t>
  </si>
  <si>
    <t>32026|bes_wmm</t>
  </si>
  <si>
    <t>32010|bescore_portal</t>
  </si>
  <si>
    <t>32028|ccms_portal</t>
  </si>
  <si>
    <t>32211|ccs_middleware</t>
  </si>
  <si>
    <t>32025|das_middleware</t>
  </si>
  <si>
    <t>32019|das_video</t>
  </si>
  <si>
    <t>32013|ecms_portal</t>
  </si>
  <si>
    <t>32029|ffts_web</t>
  </si>
  <si>
    <t>32400|notification_result</t>
  </si>
  <si>
    <t>32031|payment_middleware</t>
  </si>
  <si>
    <t>32002|toms_middleware</t>
  </si>
  <si>
    <t>32030|toms_portal</t>
  </si>
  <si>
    <t>32401|tsp_middleware</t>
  </si>
  <si>
    <t>32402|ttis_middleware</t>
  </si>
  <si>
    <t>32403|validv_middleware</t>
  </si>
  <si>
    <t>32404|vssd_middleware</t>
  </si>
  <si>
    <t>32009|accmgt_api</t>
  </si>
  <si>
    <t>32000|auth_api</t>
  </si>
  <si>
    <t>32201|bes_acc_im001_fft_account_registration</t>
  </si>
  <si>
    <t>32202|bes_acc_im002_fft_vehicle_management</t>
  </si>
  <si>
    <t>32203|bes_acc_im003_fft_vehicle_group_management</t>
  </si>
  <si>
    <t>32204|bes_acc_im004_fft_account_search</t>
  </si>
  <si>
    <t>32205|bes_acc_im005_fft_driver_approval</t>
  </si>
  <si>
    <t>32206|bes_acc_im006_fft_account_management</t>
  </si>
  <si>
    <t>32207|bes_acc_im007_fft_vehicle_pairing</t>
  </si>
  <si>
    <t>32208|bes_acc_im008_fft_tag_management</t>
  </si>
  <si>
    <t>32209|bes_acc_im009_fft_payment_and_billing</t>
  </si>
  <si>
    <t>32210|bes_acc_im010_fft_transaction</t>
  </si>
  <si>
    <t>32212|bes_acc_im011_ffts_toll_and_surcharge</t>
  </si>
  <si>
    <t>32215|bes_acc_im012_ffts_account_history</t>
  </si>
  <si>
    <t>32214|bes_acc_im013_ffts_performance_monitoring</t>
  </si>
  <si>
    <t>32311|bes_ccs</t>
  </si>
  <si>
    <t>32301|bes_cre_im001_tokenization</t>
  </si>
  <si>
    <t>32302|bes_cre_im002_otp</t>
  </si>
  <si>
    <t>32307|bes_cre_im007_notification_template_management</t>
  </si>
  <si>
    <t>32308|bes_cre_im008_notification_message_management</t>
  </si>
  <si>
    <t>32309|bes_cre_im009_notification_processor</t>
  </si>
  <si>
    <t>32310|bes_cre_im010_shortlink</t>
  </si>
  <si>
    <t>N/A|bes_notification_pulsar_consumer_services</t>
  </si>
  <si>
    <t>N/A|bes_notification_push_app_services</t>
  </si>
  <si>
    <t>N/A|bes_notification_push_email_services</t>
  </si>
  <si>
    <t>N/A|bes_notification_push_sms_services</t>
  </si>
  <si>
    <t>N/A|bes_send_schedule_notification_services</t>
  </si>
  <si>
    <t>32312|bes_das_im001_general</t>
  </si>
  <si>
    <t>32313|bes_tsp_misc</t>
  </si>
  <si>
    <t>32314|bes_ttis</t>
  </si>
  <si>
    <t>32315|bes_validv</t>
  </si>
  <si>
    <t>32316|bes_vssd</t>
  </si>
  <si>
    <t>32027|ccms_api</t>
  </si>
  <si>
    <t>32015|central_db_services_accmgt</t>
  </si>
  <si>
    <t>32017|central_db_services_ccms</t>
  </si>
  <si>
    <t>32016|central_db_services_core</t>
  </si>
  <si>
    <t>32018|central_db_services_ecms</t>
  </si>
  <si>
    <t>32219|central_db_services_das</t>
  </si>
  <si>
    <t>32317|conf_setting</t>
  </si>
  <si>
    <t>N/A|das_data_consumer</t>
  </si>
  <si>
    <t>N/A|das_evidence_record_consumer</t>
  </si>
  <si>
    <t>N/A|das_transaction_record_consumer</t>
  </si>
  <si>
    <t>32218|das_evid_api</t>
  </si>
  <si>
    <t>32014|ecms_api</t>
  </si>
  <si>
    <t>N/A|secondocr_webapi</t>
  </si>
  <si>
    <t>32318|statement_api</t>
  </si>
  <si>
    <t>32319|toll_cal_setting</t>
  </si>
  <si>
    <t>32001|toms_api</t>
  </si>
  <si>
    <t>32004|toms_auth_api</t>
  </si>
  <si>
    <t>32021|tx_validation</t>
  </si>
  <si>
    <t>32216|validv_api</t>
  </si>
  <si>
    <t>32023|vrm_verification</t>
  </si>
  <si>
    <t>diff chk</t>
  </si>
  <si>
    <t>v504 / v630</t>
  </si>
  <si>
    <t>v??? / v630</t>
  </si>
  <si>
    <t>v630_itoms2</t>
  </si>
  <si>
    <t>https://172.16.150.71:8443/dmz630/das_middleware</t>
  </si>
  <si>
    <t>v603</t>
  </si>
  <si>
    <t>upstream_name</t>
    <phoneticPr fontId="2" type="noConversion"/>
  </si>
  <si>
    <t>kong lb ip</t>
    <phoneticPr fontId="2" type="noConversion"/>
  </si>
  <si>
    <t>v804</t>
    <phoneticPr fontId="2" type="noConversion"/>
  </si>
  <si>
    <t>v904</t>
    <phoneticPr fontId="2" type="noConversion"/>
  </si>
  <si>
    <t>v504</t>
    <phoneticPr fontId="2" type="noConversion"/>
  </si>
  <si>
    <t>v630</t>
    <phoneticPr fontId="2" type="noConversion"/>
  </si>
  <si>
    <t>k8s lb ip</t>
    <phoneticPr fontId="2" type="noConversion"/>
  </si>
  <si>
    <t>trust</t>
    <phoneticPr fontId="2" type="noConversion"/>
  </si>
  <si>
    <t>v504</t>
    <phoneticPr fontId="2" type="noConversion"/>
  </si>
  <si>
    <t>vlan</t>
    <phoneticPr fontId="2" type="noConversion"/>
  </si>
  <si>
    <t>v810</t>
    <phoneticPr fontId="2" type="noConversion"/>
  </si>
  <si>
    <t>v910</t>
    <phoneticPr fontId="2" type="noConversion"/>
  </si>
  <si>
    <t>vlan</t>
    <phoneticPr fontId="2" type="noConversion"/>
  </si>
  <si>
    <t>worker_1</t>
    <phoneticPr fontId="2" type="noConversion"/>
  </si>
  <si>
    <t>worker_2</t>
    <phoneticPr fontId="2" type="noConversion"/>
  </si>
  <si>
    <t>worker_3</t>
    <phoneticPr fontId="2" type="noConversion"/>
  </si>
  <si>
    <t>worker_4</t>
    <phoneticPr fontId="2" type="noConversion"/>
  </si>
  <si>
    <t>worker_5</t>
    <phoneticPr fontId="2" type="noConversion"/>
  </si>
  <si>
    <t>worker_6</t>
    <phoneticPr fontId="2" type="noConversion"/>
  </si>
  <si>
    <t>target_1</t>
    <phoneticPr fontId="2" type="noConversion"/>
  </si>
  <si>
    <t>target_2</t>
  </si>
  <si>
    <t>target_3</t>
  </si>
  <si>
    <t>target_4</t>
  </si>
  <si>
    <t>target_5</t>
  </si>
  <si>
    <t>target_6</t>
  </si>
  <si>
    <t>is_rest_api</t>
    <phoneticPr fontId="2" type="noConversion"/>
  </si>
  <si>
    <t>service_name</t>
    <phoneticPr fontId="2" type="noConversion"/>
  </si>
  <si>
    <t>port</t>
    <phoneticPr fontId="2" type="noConversion"/>
  </si>
  <si>
    <t>put upstream cmd</t>
    <phoneticPr fontId="2" type="noConversion"/>
  </si>
  <si>
    <t>put service cmd</t>
    <phoneticPr fontId="2" type="noConversion"/>
  </si>
  <si>
    <t>put route cmd</t>
    <phoneticPr fontId="2" type="noConversion"/>
  </si>
  <si>
    <t>source_vlan</t>
    <phoneticPr fontId="2" type="noConversion"/>
  </si>
  <si>
    <t>route_name</t>
    <phoneticPr fontId="2" type="noConversion"/>
  </si>
  <si>
    <t>upstream_curl</t>
    <phoneticPr fontId="2" type="noConversion"/>
  </si>
  <si>
    <t>service_curl</t>
    <phoneticPr fontId="2" type="noConversion"/>
  </si>
  <si>
    <t>route_curl</t>
    <phoneticPr fontId="2" type="noConversion"/>
  </si>
  <si>
    <t>kong_host</t>
    <phoneticPr fontId="2" type="noConversion"/>
  </si>
  <si>
    <t>path</t>
    <phoneticPr fontId="2" type="noConversion"/>
  </si>
  <si>
    <t>zone</t>
    <phoneticPr fontId="2" type="noConversion"/>
  </si>
  <si>
    <t>accmgt_api</t>
    <phoneticPr fontId="2" type="noConversion"/>
  </si>
  <si>
    <t>dmz</t>
    <phoneticPr fontId="2" type="noConversion"/>
  </si>
  <si>
    <t>kong_api_url</t>
    <phoneticPr fontId="2" type="noConversion"/>
  </si>
  <si>
    <t>curl -X PUT &lt;kong_api_url&gt;/upstreams/&lt;upstream_name&gt;</t>
    <phoneticPr fontId="2" type="noConversion"/>
  </si>
  <si>
    <t>curl -X PUT &lt;kong_api_url&gt;/services/&lt;service_name&gt;/routes/&lt;route_name&gt; -H "Content-Type: application/json" -d '{"protocols":["http"],"hosts":["&lt;host&gt;"],"paths":["&lt;path&gt;"]}'</t>
    <phoneticPr fontId="2" type="noConversion"/>
  </si>
  <si>
    <t>curl -X PUT &lt;kong_api_url&gt;/services/&lt;service_name&gt; -H "Content-Type: application/json" -d '{"protocol":"http","host":"&lt;upstream_name&gt;","port":&lt;port&gt;}'</t>
    <phoneticPr fontId="2" type="noConversion"/>
  </si>
  <si>
    <t>stg_url</t>
  </si>
  <si>
    <t>nonprod_url</t>
  </si>
  <si>
    <t>{"&lt;app_name&gt;": { "stg_url": "&lt;stg_url&gt;", "nonprod_url":"&lt;nonprod_url&gt;" }}</t>
    <phoneticPr fontId="2" type="noConversion"/>
  </si>
  <si>
    <t>"&lt;app_name&gt;":"&lt;node_port&gt;",</t>
    <phoneticPr fontId="2" type="noConversion"/>
  </si>
  <si>
    <t>s3_api</t>
    <phoneticPr fontId="2" type="noConversion"/>
  </si>
  <si>
    <t>bes_wmm2</t>
    <phoneticPr fontId="2" type="noConversion"/>
  </si>
  <si>
    <t>das_middleware_load_test</t>
    <phoneticPr fontId="2" type="noConversion"/>
  </si>
  <si>
    <t>v630</t>
    <phoneticPr fontId="2" type="noConversion"/>
  </si>
  <si>
    <t>das_middleware_load_test_2</t>
    <phoneticPr fontId="2" type="noConversion"/>
  </si>
  <si>
    <t>das_middleware_load_test_3</t>
    <phoneticPr fontId="2" type="noConversion"/>
  </si>
  <si>
    <t>create target cmd</t>
    <phoneticPr fontId="2" type="noConversion"/>
  </si>
  <si>
    <t>target_1_curl</t>
    <phoneticPr fontId="2" type="noConversion"/>
  </si>
  <si>
    <t>target_2_curl</t>
  </si>
  <si>
    <t>target_3_curl</t>
  </si>
  <si>
    <t>target_4_curl</t>
  </si>
  <si>
    <t>target_5_curl</t>
  </si>
  <si>
    <t>target_6_curl</t>
  </si>
  <si>
    <t>payment_middleware</t>
    <phoneticPr fontId="2" type="noConversion"/>
  </si>
  <si>
    <t>bes_ttis</t>
    <phoneticPr fontId="2" type="noConversion"/>
  </si>
  <si>
    <t>tsp_middleware</t>
    <phoneticPr fontId="2" type="noConversion"/>
  </si>
  <si>
    <t>http://172.24.148.160:8001</t>
  </si>
  <si>
    <t>http://172.24.149.80:8001</t>
  </si>
  <si>
    <t>172.24.149.183</t>
  </si>
  <si>
    <t>172.24.149.151</t>
  </si>
  <si>
    <t>172.24.149.167</t>
  </si>
  <si>
    <t>172.24.151.71</t>
  </si>
  <si>
    <t>172.24.150.39</t>
  </si>
  <si>
    <t>172.24.148.71</t>
  </si>
  <si>
    <t>172.24.150.71</t>
  </si>
  <si>
    <t>172.24.148.131</t>
  </si>
  <si>
    <t>172.24.148.132</t>
  </si>
  <si>
    <t>172.24.148.133</t>
  </si>
  <si>
    <t>172.24.148.134</t>
  </si>
  <si>
    <t>172.24.148.135</t>
  </si>
  <si>
    <t>172.24.148.136</t>
  </si>
  <si>
    <t>172.24.148.195</t>
  </si>
  <si>
    <t>172.24.148.196</t>
  </si>
  <si>
    <t>172.24.148.197</t>
  </si>
  <si>
    <t>172.24.148.198</t>
  </si>
  <si>
    <t>172.24.148.199</t>
  </si>
  <si>
    <t>172.24.148.200</t>
  </si>
  <si>
    <t>172.24.151.3</t>
  </si>
  <si>
    <t>172.24.151.4</t>
  </si>
  <si>
    <t>172.24.151.5</t>
  </si>
  <si>
    <t>172.24.151.6</t>
  </si>
  <si>
    <t>172.24.151.7</t>
  </si>
  <si>
    <t>172.24.151.8</t>
  </si>
  <si>
    <t>172.24.149.70</t>
  </si>
  <si>
    <t>172.24.149.71</t>
  </si>
  <si>
    <t>172.24.149.72</t>
  </si>
  <si>
    <t>172.24.149.102</t>
  </si>
  <si>
    <t>172.24.149.103</t>
  </si>
  <si>
    <t>172.24.149.104</t>
  </si>
  <si>
    <t>172.24.148.102</t>
  </si>
  <si>
    <t>172.24.148.103</t>
  </si>
  <si>
    <t>172.24.148.104</t>
  </si>
  <si>
    <t>172.24.151.109</t>
  </si>
  <si>
    <t>172.24.151.110</t>
  </si>
  <si>
    <t>172.24.151.111</t>
  </si>
  <si>
    <t>das_middleware_load_test_4</t>
    <phoneticPr fontId="2" type="noConversion"/>
  </si>
  <si>
    <t>das_middleware_load_test_5</t>
    <phoneticPr fontId="2" type="noConversion"/>
  </si>
  <si>
    <t>curl -X POST &lt;kong_api_url&gt;/upstreams/&lt;upstream_id&gt;/targets -d "target=&lt;target&gt;"</t>
    <phoneticPr fontId="2" type="noConversion"/>
  </si>
  <si>
    <t>bes_tsp</t>
    <phoneticPr fontId="2" type="noConversion"/>
  </si>
  <si>
    <t>v504</t>
    <phoneticPr fontId="2" type="noConversion"/>
  </si>
  <si>
    <t>TSP middleware</t>
    <phoneticPr fontId="2" type="noConversion"/>
  </si>
  <si>
    <t>http://172.20.148.160:8001</t>
    <phoneticPr fontId="2" type="noConversion"/>
  </si>
  <si>
    <t>http://172.20.149.80:8001</t>
    <phoneticPr fontId="2" type="noConversion"/>
  </si>
  <si>
    <t>172.20.149.183</t>
  </si>
  <si>
    <t>172.20.149.151</t>
  </si>
  <si>
    <t>172.20.149.167</t>
  </si>
  <si>
    <t>172.20.151.71</t>
  </si>
  <si>
    <t>172.20.150.39</t>
  </si>
  <si>
    <t>172.20.148.71</t>
  </si>
  <si>
    <t>172.20.150.71</t>
  </si>
  <si>
    <t>172.20.148.131</t>
  </si>
  <si>
    <t>172.20.148.132</t>
  </si>
  <si>
    <t>172.20.148.133</t>
  </si>
  <si>
    <t>172.20.148.134</t>
  </si>
  <si>
    <t>172.20.148.135</t>
  </si>
  <si>
    <t>172.20.148.136</t>
  </si>
  <si>
    <t>172.20.148.195</t>
  </si>
  <si>
    <t>172.20.148.196</t>
  </si>
  <si>
    <t>172.20.148.197</t>
  </si>
  <si>
    <t>172.20.148.198</t>
  </si>
  <si>
    <t>172.20.148.199</t>
  </si>
  <si>
    <t>172.20.148.200</t>
  </si>
  <si>
    <t>172.20.151.3</t>
  </si>
  <si>
    <t>172.20.151.4</t>
  </si>
  <si>
    <t>172.20.151.5</t>
  </si>
  <si>
    <t>172.20.151.6</t>
  </si>
  <si>
    <t>172.20.151.7</t>
  </si>
  <si>
    <t>172.20.151.8</t>
  </si>
  <si>
    <t>172.20.149.70</t>
  </si>
  <si>
    <t>172.20.149.71</t>
  </si>
  <si>
    <t>172.20.149.72</t>
  </si>
  <si>
    <t>172.20.149.102</t>
  </si>
  <si>
    <t>172.20.149.103</t>
  </si>
  <si>
    <t>172.20.149.104</t>
  </si>
  <si>
    <t>172.20.148.102</t>
  </si>
  <si>
    <t>172.20.148.103</t>
  </si>
  <si>
    <t>172.20.148.104</t>
  </si>
  <si>
    <t>172.20.151.110</t>
  </si>
  <si>
    <t>172.20.151.111</t>
  </si>
  <si>
    <t>das_middleware_lrt</t>
    <phoneticPr fontId="2" type="noConversion"/>
  </si>
  <si>
    <t>172.20.151.112</t>
    <phoneticPr fontId="2" type="noConversion"/>
  </si>
  <si>
    <t>172.16.149.183</t>
  </si>
  <si>
    <t>172.16.149.151</t>
  </si>
  <si>
    <t>172.16.149.167</t>
  </si>
  <si>
    <t>172.16.151.71</t>
  </si>
  <si>
    <t>172.16.150.39</t>
  </si>
  <si>
    <t>172.16.148.71</t>
  </si>
  <si>
    <t>172.16.150.71</t>
  </si>
  <si>
    <t>toms_portal</t>
    <phoneticPr fontId="2" type="noConversion"/>
  </si>
  <si>
    <t>172.16.148.132</t>
  </si>
  <si>
    <t>172.16.148.133</t>
  </si>
  <si>
    <t>172.16.148.134</t>
  </si>
  <si>
    <t>172.16.148.135</t>
  </si>
  <si>
    <t>172.16.148.136</t>
  </si>
  <si>
    <t>172.16.148.131</t>
    <phoneticPr fontId="2" type="noConversion"/>
  </si>
  <si>
    <t>172.16.148.195</t>
    <phoneticPr fontId="2" type="noConversion"/>
  </si>
  <si>
    <t>172.16.148.196</t>
    <phoneticPr fontId="2" type="noConversion"/>
  </si>
  <si>
    <t>172.16.148.197</t>
    <phoneticPr fontId="2" type="noConversion"/>
  </si>
  <si>
    <t>172.16.148.198</t>
    <phoneticPr fontId="2" type="noConversion"/>
  </si>
  <si>
    <t>172.16.148.199</t>
    <phoneticPr fontId="2" type="noConversion"/>
  </si>
  <si>
    <t>172.16.148.200</t>
    <phoneticPr fontId="2" type="noConversion"/>
  </si>
  <si>
    <t>172.16.151.3</t>
    <phoneticPr fontId="2" type="noConversion"/>
  </si>
  <si>
    <t>172.16.151.4</t>
    <phoneticPr fontId="2" type="noConversion"/>
  </si>
  <si>
    <t>172.16.151.5</t>
    <phoneticPr fontId="2" type="noConversion"/>
  </si>
  <si>
    <t>172.16.151.6</t>
    <phoneticPr fontId="2" type="noConversion"/>
  </si>
  <si>
    <t>172.16.151.7</t>
    <phoneticPr fontId="2" type="noConversion"/>
  </si>
  <si>
    <t>172.16.151.8</t>
    <phoneticPr fontId="2" type="noConversion"/>
  </si>
  <si>
    <t>172.16.149.70</t>
    <phoneticPr fontId="2" type="noConversion"/>
  </si>
  <si>
    <t>172.16.149.71</t>
    <phoneticPr fontId="2" type="noConversion"/>
  </si>
  <si>
    <t>172.16.149.72</t>
    <phoneticPr fontId="2" type="noConversion"/>
  </si>
  <si>
    <t>172.16.149.102</t>
    <phoneticPr fontId="2" type="noConversion"/>
  </si>
  <si>
    <t>172.16.149.103</t>
    <phoneticPr fontId="2" type="noConversion"/>
  </si>
  <si>
    <t>172.16.149.104</t>
    <phoneticPr fontId="2" type="noConversion"/>
  </si>
  <si>
    <t>172.16.148.102</t>
    <phoneticPr fontId="2" type="noConversion"/>
  </si>
  <si>
    <t>172.16.148.103</t>
    <phoneticPr fontId="2" type="noConversion"/>
  </si>
  <si>
    <t>172.16.148.104</t>
    <phoneticPr fontId="2" type="noConversion"/>
  </si>
  <si>
    <t>172.16.151.110</t>
    <phoneticPr fontId="2" type="noConversion"/>
  </si>
  <si>
    <t>172.16.151.111</t>
    <phoneticPr fontId="2" type="noConversion"/>
  </si>
  <si>
    <t>172.16.151.112</t>
    <phoneticPr fontId="2" type="noConversion"/>
  </si>
  <si>
    <t>http://172.16.149.80:8001</t>
    <phoneticPr fontId="2" type="noConversion"/>
  </si>
  <si>
    <t>http://172.16.148.160:8001</t>
    <phoneticPr fontId="2" type="noConversion"/>
  </si>
  <si>
    <t>das_middleware_smt</t>
    <phoneticPr fontId="2" type="noConversion"/>
  </si>
  <si>
    <t>v630</t>
    <phoneticPr fontId="2" type="noConversion"/>
  </si>
  <si>
    <t>das_middleware_lrt_video</t>
    <phoneticPr fontId="2" type="noConversion"/>
  </si>
  <si>
    <t>das_middleware_smt_video</t>
    <phoneticPr fontId="2" type="noConversion"/>
  </si>
  <si>
    <t>das_middleware</t>
    <phoneticPr fontId="2" type="noConversion"/>
  </si>
  <si>
    <t>das_middleware_video</t>
    <phoneticPr fontId="2" type="noConversion"/>
  </si>
  <si>
    <t>ccs_api</t>
    <phoneticPr fontId="2" type="noConversion"/>
  </si>
  <si>
    <t>v630</t>
    <phoneticPr fontId="2" type="noConversion"/>
  </si>
  <si>
    <t>https://172.16.150.71:8443/dmz631/das_video</t>
  </si>
  <si>
    <t>statement_api</t>
    <phoneticPr fontId="2" type="noConversion"/>
  </si>
  <si>
    <t>v910</t>
  </si>
  <si>
    <t>das_middleware_cht</t>
    <phoneticPr fontId="2" type="noConversion"/>
  </si>
  <si>
    <t>das_middleware_cht_video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</si>
</sst>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Wingdings"/>
      <charset val="2"/>
    </font>
    <font>
      <sz val="11"/>
      <color theme="1"/>
      <name val="新細明體"/>
      <family val="2"/>
      <scheme val="minor"/>
    </font>
    <font>
      <strike/>
      <sz val="11"/>
      <color theme="0" tint="-0.499984740745262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u/>
      <sz val="12"/>
      <color theme="1"/>
      <name val="新細明體"/>
      <family val="1"/>
      <charset val="136"/>
      <scheme val="minor"/>
    </font>
    <font>
      <strike/>
      <sz val="11"/>
      <color theme="1"/>
      <name val="新細明體"/>
      <family val="2"/>
      <scheme val="minor"/>
    </font>
    <font>
      <sz val="11"/>
      <color theme="0" tint="-0.14999847407452621"/>
      <name val="新細明體"/>
      <family val="2"/>
      <scheme val="minor"/>
    </font>
    <font>
      <sz val="11"/>
      <color theme="0" tint="-0.249977111117893"/>
      <name val="新細明體"/>
      <family val="2"/>
      <scheme val="minor"/>
    </font>
    <font>
      <strike/>
      <sz val="11"/>
      <color theme="0" tint="-0.249977111117893"/>
      <name val="新細明體"/>
      <family val="2"/>
      <scheme val="minor"/>
    </font>
    <font>
      <b/>
      <strike/>
      <sz val="11"/>
      <color theme="0" tint="-0.249977111117893"/>
      <name val="新細明體"/>
      <family val="2"/>
      <scheme val="minor"/>
    </font>
    <font>
      <sz val="12"/>
      <color theme="1"/>
      <name val="Arial"/>
      <family val="2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1"/>
      <color rgb="FF000000"/>
      <name val="Arial"/>
      <family val="2"/>
    </font>
    <font>
      <b/>
      <sz val="12"/>
      <color rgb="FF006100"/>
      <name val="新細明體"/>
      <scheme val="minor"/>
    </font>
    <font>
      <b/>
      <sz val="12"/>
      <color rgb="FF006100"/>
      <name val="新細明體"/>
      <family val="1"/>
      <scheme val="minor"/>
    </font>
    <font>
      <sz val="11"/>
      <color rgb="FF098658"/>
      <name val="Consolas"/>
      <family val="3"/>
    </font>
    <font>
      <sz val="11"/>
      <color rgb="FF00000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CCFFCC"/>
        <bgColor rgb="FFCCFFFF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0" fontId="8" fillId="0" borderId="0">
      <alignment vertical="center"/>
    </xf>
    <xf numFmtId="0" fontId="16" fillId="0" borderId="35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</cellStyleXfs>
  <cellXfs count="141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3" fillId="4" borderId="1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0" fillId="0" borderId="0" xfId="0" quotePrefix="1"/>
    <xf numFmtId="0" fontId="3" fillId="7" borderId="17" xfId="0" applyFont="1" applyFill="1" applyBorder="1" applyAlignment="1">
      <alignment horizontal="center" textRotation="45" wrapText="1"/>
    </xf>
    <xf numFmtId="0" fontId="3" fillId="7" borderId="18" xfId="0" applyFont="1" applyFill="1" applyBorder="1" applyAlignment="1">
      <alignment horizontal="center" textRotation="45" wrapText="1"/>
    </xf>
    <xf numFmtId="0" fontId="3" fillId="7" borderId="6" xfId="0" applyFont="1" applyFill="1" applyBorder="1" applyAlignment="1">
      <alignment horizontal="center" textRotation="45" wrapText="1"/>
    </xf>
    <xf numFmtId="0" fontId="0" fillId="0" borderId="0" xfId="0" applyAlignment="1">
      <alignment wrapText="1"/>
    </xf>
    <xf numFmtId="0" fontId="0" fillId="9" borderId="0" xfId="0" applyFill="1"/>
    <xf numFmtId="0" fontId="3" fillId="0" borderId="0" xfId="0" applyFont="1"/>
    <xf numFmtId="0" fontId="3" fillId="9" borderId="0" xfId="0" applyFont="1" applyFill="1"/>
    <xf numFmtId="0" fontId="0" fillId="0" borderId="0" xfId="0" applyAlignment="1">
      <alignment horizontal="right"/>
    </xf>
    <xf numFmtId="0" fontId="4" fillId="2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8" borderId="22" xfId="0" applyFont="1" applyFill="1" applyBorder="1" applyAlignment="1">
      <alignment horizontal="center" textRotation="45" wrapText="1"/>
    </xf>
    <xf numFmtId="0" fontId="3" fillId="8" borderId="6" xfId="0" applyFont="1" applyFill="1" applyBorder="1" applyAlignment="1">
      <alignment horizontal="center" textRotation="45" wrapText="1"/>
    </xf>
    <xf numFmtId="0" fontId="3" fillId="4" borderId="11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 wrapText="1"/>
    </xf>
    <xf numFmtId="0" fontId="0" fillId="0" borderId="6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0" fontId="0" fillId="3" borderId="1" xfId="0" applyFont="1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1" xfId="0" applyFont="1" applyBorder="1"/>
    <xf numFmtId="0" fontId="0" fillId="0" borderId="4" xfId="0" applyFont="1" applyBorder="1" applyAlignment="1">
      <alignment horizontal="center"/>
    </xf>
    <xf numFmtId="0" fontId="0" fillId="0" borderId="24" xfId="0" applyFont="1" applyBorder="1" applyAlignment="1">
      <alignment horizontal="center" wrapText="1"/>
    </xf>
    <xf numFmtId="0" fontId="0" fillId="0" borderId="0" xfId="0" applyFont="1" applyBorder="1"/>
    <xf numFmtId="0" fontId="0" fillId="0" borderId="1" xfId="0" applyFont="1" applyBorder="1" applyAlignment="1">
      <alignment horizontal="center" wrapText="1"/>
    </xf>
    <xf numFmtId="0" fontId="3" fillId="4" borderId="5" xfId="0" applyFont="1" applyFill="1" applyBorder="1" applyAlignment="1">
      <alignment horizontal="center"/>
    </xf>
    <xf numFmtId="0" fontId="0" fillId="0" borderId="6" xfId="0" applyFont="1" applyBorder="1"/>
    <xf numFmtId="0" fontId="0" fillId="3" borderId="6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6" xfId="0" applyFont="1" applyBorder="1" applyAlignment="1">
      <alignment horizontal="center" wrapText="1"/>
    </xf>
    <xf numFmtId="0" fontId="0" fillId="0" borderId="28" xfId="0" applyFont="1" applyBorder="1" applyAlignment="1">
      <alignment horizontal="center" wrapText="1"/>
    </xf>
    <xf numFmtId="0" fontId="0" fillId="0" borderId="27" xfId="0" applyFont="1" applyBorder="1" applyAlignment="1">
      <alignment horizontal="center" wrapText="1"/>
    </xf>
    <xf numFmtId="0" fontId="4" fillId="2" borderId="24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29" xfId="0" applyFont="1" applyFill="1" applyBorder="1" applyAlignment="1">
      <alignment horizontal="center"/>
    </xf>
    <xf numFmtId="0" fontId="0" fillId="6" borderId="30" xfId="0" applyFont="1" applyFill="1" applyBorder="1" applyAlignment="1">
      <alignment horizontal="center" wrapText="1"/>
    </xf>
    <xf numFmtId="0" fontId="0" fillId="6" borderId="31" xfId="0" applyFont="1" applyFill="1" applyBorder="1" applyAlignment="1">
      <alignment horizontal="center" vertical="center" wrapText="1"/>
    </xf>
    <xf numFmtId="0" fontId="0" fillId="6" borderId="32" xfId="0" applyFont="1" applyFill="1" applyBorder="1" applyAlignment="1">
      <alignment horizontal="center" wrapText="1"/>
    </xf>
    <xf numFmtId="0" fontId="0" fillId="3" borderId="33" xfId="0" applyFont="1" applyFill="1" applyBorder="1" applyAlignment="1">
      <alignment horizontal="center" wrapText="1"/>
    </xf>
    <xf numFmtId="0" fontId="3" fillId="10" borderId="10" xfId="0" applyFont="1" applyFill="1" applyBorder="1" applyAlignment="1">
      <alignment horizontal="center" wrapText="1"/>
    </xf>
    <xf numFmtId="0" fontId="3" fillId="10" borderId="11" xfId="0" applyFont="1" applyFill="1" applyBorder="1" applyAlignment="1">
      <alignment horizontal="center" wrapText="1"/>
    </xf>
    <xf numFmtId="0" fontId="3" fillId="10" borderId="1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 wrapText="1"/>
    </xf>
    <xf numFmtId="0" fontId="3" fillId="8" borderId="12" xfId="0" applyFont="1" applyFill="1" applyBorder="1" applyAlignment="1">
      <alignment horizontal="center"/>
    </xf>
    <xf numFmtId="0" fontId="3" fillId="7" borderId="34" xfId="0" applyFont="1" applyFill="1" applyBorder="1" applyAlignment="1">
      <alignment horizontal="center" textRotation="45" wrapText="1"/>
    </xf>
    <xf numFmtId="0" fontId="3" fillId="4" borderId="14" xfId="0" applyFont="1" applyFill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3" borderId="19" xfId="0" applyFont="1" applyFill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3" fillId="8" borderId="5" xfId="0" applyFont="1" applyFill="1" applyBorder="1" applyAlignment="1">
      <alignment horizontal="center" textRotation="45" wrapText="1"/>
    </xf>
    <xf numFmtId="0" fontId="3" fillId="8" borderId="10" xfId="0" applyFont="1" applyFill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9" borderId="0" xfId="0" applyFont="1" applyFill="1"/>
    <xf numFmtId="0" fontId="7" fillId="0" borderId="0" xfId="3" applyFont="1">
      <alignment vertical="center"/>
    </xf>
    <xf numFmtId="0" fontId="8" fillId="0" borderId="0" xfId="3">
      <alignment vertical="center"/>
    </xf>
    <xf numFmtId="0" fontId="9" fillId="0" borderId="0" xfId="3" applyFont="1">
      <alignment vertical="center"/>
    </xf>
    <xf numFmtId="0" fontId="0" fillId="9" borderId="0" xfId="0" applyFont="1" applyFill="1"/>
    <xf numFmtId="0" fontId="10" fillId="9" borderId="0" xfId="0" applyFont="1" applyFill="1"/>
    <xf numFmtId="0" fontId="11" fillId="9" borderId="0" xfId="0" applyFont="1" applyFill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11" borderId="0" xfId="0" applyFill="1" applyAlignment="1">
      <alignment horizontal="center"/>
    </xf>
    <xf numFmtId="0" fontId="0" fillId="0" borderId="0" xfId="0" applyFill="1"/>
    <xf numFmtId="0" fontId="0" fillId="12" borderId="0" xfId="0" applyFill="1"/>
    <xf numFmtId="0" fontId="0" fillId="11" borderId="0" xfId="0" applyFill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quotePrefix="1" applyFont="1" applyFill="1" applyAlignment="1">
      <alignment horizontal="center"/>
    </xf>
    <xf numFmtId="0" fontId="0" fillId="0" borderId="0" xfId="0" quotePrefix="1" applyFont="1" applyFill="1"/>
    <xf numFmtId="0" fontId="0" fillId="0" borderId="0" xfId="0" applyFont="1" applyFill="1" applyAlignment="1">
      <alignment wrapText="1"/>
    </xf>
    <xf numFmtId="0" fontId="0" fillId="11" borderId="0" xfId="0" applyFont="1" applyFill="1"/>
    <xf numFmtId="0" fontId="0" fillId="12" borderId="0" xfId="0" applyFill="1" applyAlignment="1">
      <alignment wrapText="1"/>
    </xf>
    <xf numFmtId="0" fontId="0" fillId="12" borderId="0" xfId="0" applyFill="1" applyAlignment="1">
      <alignment horizontal="center"/>
    </xf>
    <xf numFmtId="0" fontId="0" fillId="12" borderId="0" xfId="0" applyFont="1" applyFill="1"/>
    <xf numFmtId="0" fontId="0" fillId="12" borderId="0" xfId="0" quotePrefix="1" applyFill="1" applyAlignment="1">
      <alignment horizontal="left"/>
    </xf>
    <xf numFmtId="0" fontId="0" fillId="12" borderId="0" xfId="0" applyFill="1" applyAlignment="1">
      <alignment horizontal="lef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0" xfId="0" applyFont="1" applyFill="1"/>
    <xf numFmtId="0" fontId="13" fillId="12" borderId="0" xfId="0" applyFont="1" applyFill="1"/>
    <xf numFmtId="0" fontId="15" fillId="0" borderId="1" xfId="0" applyFont="1" applyFill="1" applyBorder="1" applyAlignment="1">
      <alignment vertical="top"/>
    </xf>
    <xf numFmtId="0" fontId="16" fillId="13" borderId="30" xfId="4" applyFill="1" applyBorder="1" applyAlignment="1"/>
    <xf numFmtId="0" fontId="16" fillId="13" borderId="31" xfId="4" applyFill="1" applyBorder="1" applyAlignment="1"/>
    <xf numFmtId="0" fontId="18" fillId="0" borderId="1" xfId="0" applyFont="1" applyBorder="1" applyAlignment="1">
      <alignment vertical="center"/>
    </xf>
    <xf numFmtId="0" fontId="0" fillId="0" borderId="0" xfId="0" applyAlignment="1"/>
    <xf numFmtId="0" fontId="19" fillId="14" borderId="1" xfId="5" applyFont="1" applyBorder="1" applyAlignment="1"/>
    <xf numFmtId="0" fontId="20" fillId="14" borderId="1" xfId="5" applyFont="1" applyBorder="1" applyAlignment="1">
      <alignment horizontal="center"/>
    </xf>
    <xf numFmtId="0" fontId="21" fillId="0" borderId="0" xfId="0" applyFont="1" applyAlignment="1">
      <alignment vertical="center"/>
    </xf>
    <xf numFmtId="0" fontId="0" fillId="0" borderId="0" xfId="0" applyFont="1"/>
    <xf numFmtId="0" fontId="22" fillId="15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/>
    </xf>
    <xf numFmtId="0" fontId="3" fillId="8" borderId="23" xfId="0" applyFont="1" applyFill="1" applyBorder="1" applyAlignment="1">
      <alignment horizontal="left"/>
    </xf>
    <xf numFmtId="0" fontId="3" fillId="8" borderId="11" xfId="0" applyFont="1" applyFill="1" applyBorder="1" applyAlignment="1">
      <alignment horizontal="left"/>
    </xf>
    <xf numFmtId="0" fontId="3" fillId="8" borderId="12" xfId="0" applyFont="1" applyFill="1" applyBorder="1" applyAlignment="1">
      <alignment horizontal="left"/>
    </xf>
    <xf numFmtId="0" fontId="3" fillId="6" borderId="20" xfId="0" applyFont="1" applyFill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left"/>
    </xf>
    <xf numFmtId="0" fontId="3" fillId="8" borderId="7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9" xfId="0" applyFont="1" applyFill="1" applyBorder="1" applyAlignment="1">
      <alignment horizontal="left"/>
    </xf>
  </cellXfs>
  <cellStyles count="6">
    <cellStyle name="一般" xfId="0" builtinId="0"/>
    <cellStyle name="一般 2" xfId="2"/>
    <cellStyle name="一般 3" xfId="1"/>
    <cellStyle name="一般 4" xfId="3"/>
    <cellStyle name="好" xfId="5" builtinId="26"/>
    <cellStyle name="標題 3" xfId="4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GCIS_Service%20_Request_%20Form%20(SRF)%20-%20v4.5%20(FFTS-TSP_Production)_202204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Request Summary"/>
      <sheetName val="Technical Details (IaaS)"/>
      <sheetName val="ErrorMsg"/>
      <sheetName val="Technical Details (DBaaS)"/>
      <sheetName val="Technical Details (CaaS)"/>
      <sheetName val="Firewalls Details"/>
      <sheetName val="Services Cata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2"/>
  <sheetViews>
    <sheetView topLeftCell="A85" workbookViewId="0">
      <selection activeCell="A112" sqref="A112:XFD112"/>
    </sheetView>
  </sheetViews>
  <sheetFormatPr defaultColWidth="8.7109375" defaultRowHeight="15.75"/>
  <cols>
    <col min="1" max="1" width="12" customWidth="1"/>
    <col min="2" max="2" width="12.42578125" bestFit="1" customWidth="1"/>
    <col min="3" max="3" width="27" bestFit="1" customWidth="1"/>
    <col min="4" max="4" width="11.85546875" bestFit="1" customWidth="1"/>
    <col min="5" max="5" width="12.42578125" style="116" bestFit="1" customWidth="1"/>
    <col min="6" max="6" width="10.85546875" style="116" bestFit="1" customWidth="1"/>
    <col min="7" max="7" width="10" style="21" bestFit="1" customWidth="1"/>
    <col min="8" max="8" width="10.85546875" style="21" bestFit="1" customWidth="1"/>
    <col min="9" max="9" width="47.28515625" bestFit="1" customWidth="1"/>
    <col min="10" max="10" width="49" bestFit="1" customWidth="1"/>
    <col min="11" max="11" width="30.28515625" bestFit="1" customWidth="1"/>
    <col min="12" max="12" width="18.42578125" bestFit="1" customWidth="1"/>
    <col min="13" max="13" width="17.85546875" bestFit="1" customWidth="1"/>
    <col min="14" max="14" width="46.7109375" bestFit="1" customWidth="1"/>
    <col min="15" max="16" width="15.28515625" bestFit="1" customWidth="1"/>
    <col min="17" max="17" width="21" bestFit="1" customWidth="1"/>
    <col min="18" max="18" width="32.85546875" bestFit="1" customWidth="1"/>
    <col min="19" max="19" width="73" style="15" bestFit="1" customWidth="1"/>
    <col min="20" max="20" width="73.7109375" style="15" bestFit="1" customWidth="1"/>
    <col min="21" max="21" width="66" style="95" bestFit="1" customWidth="1"/>
    <col min="22" max="22" width="66.85546875" style="95" bestFit="1" customWidth="1"/>
    <col min="23" max="23" width="48.42578125" bestFit="1" customWidth="1"/>
  </cols>
  <sheetData>
    <row r="1" spans="1:23" s="16" customFormat="1">
      <c r="A1" s="16" t="s">
        <v>44</v>
      </c>
      <c r="B1" s="16" t="s">
        <v>275</v>
      </c>
      <c r="C1" s="16" t="s">
        <v>0</v>
      </c>
      <c r="D1" s="16" t="s">
        <v>76</v>
      </c>
      <c r="E1" s="118" t="s">
        <v>77</v>
      </c>
      <c r="F1" s="118" t="s">
        <v>78</v>
      </c>
      <c r="G1" s="22" t="s">
        <v>1</v>
      </c>
      <c r="H1" s="22" t="s">
        <v>2</v>
      </c>
      <c r="I1" s="16" t="s">
        <v>3</v>
      </c>
      <c r="J1" s="16" t="s">
        <v>88</v>
      </c>
      <c r="K1" s="16" t="s">
        <v>91</v>
      </c>
      <c r="L1" s="16" t="s">
        <v>92</v>
      </c>
      <c r="M1" s="16" t="s">
        <v>103</v>
      </c>
      <c r="N1" s="16" t="s">
        <v>101</v>
      </c>
      <c r="O1" s="16" t="s">
        <v>102</v>
      </c>
      <c r="P1" s="16" t="s">
        <v>104</v>
      </c>
      <c r="Q1" s="16" t="s">
        <v>90</v>
      </c>
      <c r="R1" s="16" t="s">
        <v>105</v>
      </c>
      <c r="S1" s="17" t="s">
        <v>277</v>
      </c>
      <c r="T1" s="17" t="s">
        <v>276</v>
      </c>
      <c r="U1" s="17" t="s">
        <v>278</v>
      </c>
      <c r="V1" s="17" t="s">
        <v>279</v>
      </c>
      <c r="W1" s="16" t="s">
        <v>249</v>
      </c>
    </row>
    <row r="2" spans="1:23" s="104" customFormat="1">
      <c r="A2" s="104">
        <v>1</v>
      </c>
      <c r="B2" s="104" t="s">
        <v>363</v>
      </c>
      <c r="C2" s="104" t="s">
        <v>63</v>
      </c>
      <c r="D2" s="104" t="s">
        <v>67</v>
      </c>
      <c r="E2" s="119" t="str">
        <f t="shared" ref="E2:E15" si="0">"k8s-"&amp;D2</f>
        <v>k8s-dmz</v>
      </c>
      <c r="F2" s="119" t="str">
        <f t="shared" ref="F2:F32" si="1">IF(D2="dmz","trust","dmz")</f>
        <v>trust</v>
      </c>
      <c r="G2" s="105">
        <v>31011</v>
      </c>
      <c r="H2" s="105">
        <v>32011</v>
      </c>
      <c r="I2" s="104" t="s">
        <v>13</v>
      </c>
      <c r="J2" s="104" t="s">
        <v>111</v>
      </c>
      <c r="K2" s="104" t="s">
        <v>134</v>
      </c>
      <c r="L2" s="104" t="s">
        <v>153</v>
      </c>
      <c r="M2" s="104" t="s">
        <v>153</v>
      </c>
      <c r="N2" s="104" t="s">
        <v>164</v>
      </c>
      <c r="P2" s="104" t="s">
        <v>154</v>
      </c>
      <c r="R2" s="104" t="s">
        <v>133</v>
      </c>
      <c r="S2" s="95" t="str">
        <f t="shared" ref="S2:S32" si="2">IF(LEN(B2)&gt;0,IF(ISNUMBER(FIND("api",CONCATENATE(L2,M2))),CONCATENATE("http://ltm",MID(B2,2,15),":8000/",D2,MID(B2,2,15),"/",$I2),""),"")</f>
        <v>http://ltm504:8000/dmz504/bes_signalr_server</v>
      </c>
      <c r="T2" s="95" t="str">
        <f t="shared" ref="T2:T32" si="3">IF(LEN(B2)&gt;0,IF(ISNUMBER(FIND("api",CONCATENATE(L2,M2))),CONCATENATE("https://ltm",MID(B2,2,15),":8443/",D2,MID(B2,2,15),"/",$I2),""),"")</f>
        <v>https://ltm504:8443/dmz504/bes_signalr_server</v>
      </c>
      <c r="U2" s="95" t="str">
        <f>IF(D2="dmz",IF(ISNUMBER(FIND("api",K2)),CONCATENATE("http://",B2,".bes_ext_api:8000/",D2,MID(B2,2,15),"/",I2,""),""),"")</f>
        <v/>
      </c>
      <c r="V2" s="95" t="str">
        <f>IF(D2="dmz",IF(ISNUMBER(FIND("api",K2)),CONCATENATE("https://",B2,".bes_ext_api:8443/",D2,MID(B2,2,15),"/",I2,""),""),"")</f>
        <v/>
      </c>
    </row>
    <row r="3" spans="1:23" s="104" customFormat="1">
      <c r="A3" s="104">
        <v>2</v>
      </c>
      <c r="B3" s="104" t="s">
        <v>65</v>
      </c>
      <c r="C3" s="104" t="s">
        <v>63</v>
      </c>
      <c r="D3" s="104" t="s">
        <v>67</v>
      </c>
      <c r="E3" s="119" t="str">
        <f t="shared" si="0"/>
        <v>k8s-dmz</v>
      </c>
      <c r="F3" s="119" t="str">
        <f t="shared" si="1"/>
        <v>trust</v>
      </c>
      <c r="G3" s="105">
        <v>31026</v>
      </c>
      <c r="H3" s="105">
        <v>32026</v>
      </c>
      <c r="I3" s="104" t="s">
        <v>5</v>
      </c>
      <c r="J3" s="104" t="s">
        <v>174</v>
      </c>
      <c r="K3" s="104" t="s">
        <v>156</v>
      </c>
      <c r="L3" s="104" t="s">
        <v>93</v>
      </c>
      <c r="M3" s="104" t="s">
        <v>93</v>
      </c>
      <c r="O3" s="104" t="s">
        <v>93</v>
      </c>
      <c r="P3" s="104" t="s">
        <v>93</v>
      </c>
      <c r="R3" s="104" t="s">
        <v>79</v>
      </c>
      <c r="S3" s="95" t="str">
        <f t="shared" si="2"/>
        <v>http://ltm504:8000/dmz504/bes_wmm</v>
      </c>
      <c r="T3" s="95" t="str">
        <f t="shared" si="3"/>
        <v>https://ltm504:8443/dmz504/bes_wmm</v>
      </c>
      <c r="U3" s="95" t="str">
        <f t="shared" ref="U3:U19" si="4">IF(D3="dmz",IF(ISNUMBER(FIND("api",K3)),CONCATENATE("http://",B3,".bes_ext_api:8000/",D3,MID(B3,2,15),"/",I3,""),""),"")</f>
        <v>http://v504.bes_ext_api:8000/dmz504/bes_wmm</v>
      </c>
      <c r="V3" s="95" t="str">
        <f t="shared" ref="V3:V19" si="5">IF(D3="dmz",IF(ISNUMBER(FIND("api",K3)),CONCATENATE("https://",B3,".bes_ext_api:8443/",D3,MID(B3,2,15),"/",I3,""),""),"")</f>
        <v>https://v504.bes_ext_api:8443/dmz504/bes_wmm</v>
      </c>
    </row>
    <row r="4" spans="1:23" s="104" customFormat="1">
      <c r="A4" s="104">
        <v>116</v>
      </c>
      <c r="B4" s="104" t="s">
        <v>159</v>
      </c>
      <c r="C4" s="104" t="s">
        <v>158</v>
      </c>
      <c r="D4" s="104" t="s">
        <v>67</v>
      </c>
      <c r="E4" s="119" t="str">
        <f t="shared" si="0"/>
        <v>k8s-dmz</v>
      </c>
      <c r="F4" s="119" t="str">
        <f t="shared" si="1"/>
        <v>trust</v>
      </c>
      <c r="G4" s="105">
        <v>31026</v>
      </c>
      <c r="H4" s="105">
        <v>32026</v>
      </c>
      <c r="I4" s="104" t="s">
        <v>5</v>
      </c>
      <c r="J4" s="104" t="s">
        <v>174</v>
      </c>
      <c r="K4" s="104" t="s">
        <v>156</v>
      </c>
      <c r="L4" s="104" t="s">
        <v>93</v>
      </c>
      <c r="M4" s="104" t="s">
        <v>93</v>
      </c>
      <c r="O4" s="104" t="s">
        <v>93</v>
      </c>
      <c r="P4" s="104" t="s">
        <v>93</v>
      </c>
      <c r="R4" s="104" t="s">
        <v>79</v>
      </c>
      <c r="S4" s="95" t="str">
        <f t="shared" si="2"/>
        <v>http://ltm804:8000/dmz804/bes_wmm</v>
      </c>
      <c r="T4" s="95" t="str">
        <f t="shared" si="3"/>
        <v>https://ltm804:8443/dmz804/bes_wmm</v>
      </c>
      <c r="U4" s="95" t="str">
        <f t="shared" si="4"/>
        <v>http://v804.bes_ext_api:8000/dmz804/bes_wmm</v>
      </c>
      <c r="V4" s="95" t="str">
        <f t="shared" si="5"/>
        <v>https://v804.bes_ext_api:8443/dmz804/bes_wmm</v>
      </c>
    </row>
    <row r="5" spans="1:23">
      <c r="A5">
        <v>3</v>
      </c>
      <c r="B5" t="s">
        <v>65</v>
      </c>
      <c r="C5" t="s">
        <v>6</v>
      </c>
      <c r="D5" t="s">
        <v>67</v>
      </c>
      <c r="E5" s="117" t="str">
        <f t="shared" si="0"/>
        <v>k8s-dmz</v>
      </c>
      <c r="F5" s="117" t="str">
        <f t="shared" si="1"/>
        <v>trust</v>
      </c>
      <c r="G5" s="21">
        <v>31010</v>
      </c>
      <c r="H5" s="21">
        <v>32010</v>
      </c>
      <c r="I5" t="s">
        <v>12</v>
      </c>
      <c r="J5" t="s">
        <v>110</v>
      </c>
      <c r="K5" t="s">
        <v>132</v>
      </c>
      <c r="O5" t="s">
        <v>93</v>
      </c>
      <c r="R5" t="s">
        <v>157</v>
      </c>
      <c r="S5" s="15" t="str">
        <f t="shared" si="2"/>
        <v/>
      </c>
      <c r="T5" s="15" t="str">
        <f t="shared" si="3"/>
        <v/>
      </c>
      <c r="U5" s="95" t="str">
        <f t="shared" si="4"/>
        <v/>
      </c>
      <c r="V5" s="95" t="str">
        <f t="shared" si="5"/>
        <v/>
      </c>
    </row>
    <row r="6" spans="1:23">
      <c r="A6">
        <v>117</v>
      </c>
      <c r="B6" t="s">
        <v>65</v>
      </c>
      <c r="C6" t="s">
        <v>6</v>
      </c>
      <c r="D6" t="s">
        <v>67</v>
      </c>
      <c r="E6" s="117" t="str">
        <f t="shared" si="0"/>
        <v>k8s-dmz</v>
      </c>
      <c r="F6" s="117" t="str">
        <f t="shared" si="1"/>
        <v>trust</v>
      </c>
      <c r="G6" s="21">
        <v>31010</v>
      </c>
      <c r="H6" s="21">
        <v>32010</v>
      </c>
      <c r="I6" t="s">
        <v>12</v>
      </c>
      <c r="J6" t="s">
        <v>110</v>
      </c>
      <c r="K6" t="s">
        <v>132</v>
      </c>
      <c r="O6" t="s">
        <v>93</v>
      </c>
      <c r="R6" t="s">
        <v>157</v>
      </c>
      <c r="S6" s="15" t="str">
        <f t="shared" si="2"/>
        <v/>
      </c>
      <c r="T6" s="15" t="str">
        <f t="shared" si="3"/>
        <v/>
      </c>
      <c r="U6" s="95" t="str">
        <f t="shared" si="4"/>
        <v/>
      </c>
      <c r="V6" s="95" t="str">
        <f t="shared" si="5"/>
        <v/>
      </c>
    </row>
    <row r="7" spans="1:23">
      <c r="A7">
        <v>4</v>
      </c>
      <c r="B7" t="s">
        <v>65</v>
      </c>
      <c r="C7" t="s">
        <v>6</v>
      </c>
      <c r="D7" t="s">
        <v>67</v>
      </c>
      <c r="E7" s="117" t="str">
        <f t="shared" si="0"/>
        <v>k8s-dmz</v>
      </c>
      <c r="F7" s="117" t="str">
        <f t="shared" si="1"/>
        <v>trust</v>
      </c>
      <c r="G7" s="21">
        <v>31028</v>
      </c>
      <c r="H7" s="21">
        <v>32028</v>
      </c>
      <c r="I7" t="s">
        <v>26</v>
      </c>
      <c r="J7" t="s">
        <v>121</v>
      </c>
      <c r="K7" t="s">
        <v>132</v>
      </c>
      <c r="O7" t="s">
        <v>93</v>
      </c>
      <c r="R7" t="s">
        <v>157</v>
      </c>
      <c r="S7" s="15" t="str">
        <f t="shared" si="2"/>
        <v/>
      </c>
      <c r="T7" s="15" t="str">
        <f t="shared" si="3"/>
        <v/>
      </c>
      <c r="U7" s="95" t="str">
        <f t="shared" si="4"/>
        <v/>
      </c>
      <c r="V7" s="95" t="str">
        <f t="shared" si="5"/>
        <v/>
      </c>
    </row>
    <row r="8" spans="1:23">
      <c r="A8">
        <v>118</v>
      </c>
      <c r="B8" t="s">
        <v>65</v>
      </c>
      <c r="C8" t="s">
        <v>6</v>
      </c>
      <c r="D8" t="s">
        <v>67</v>
      </c>
      <c r="E8" s="117" t="str">
        <f t="shared" si="0"/>
        <v>k8s-dmz</v>
      </c>
      <c r="F8" s="117" t="str">
        <f t="shared" si="1"/>
        <v>trust</v>
      </c>
      <c r="G8" s="21">
        <v>31028</v>
      </c>
      <c r="H8" s="21">
        <v>32028</v>
      </c>
      <c r="I8" t="s">
        <v>26</v>
      </c>
      <c r="J8" t="s">
        <v>121</v>
      </c>
      <c r="K8" t="s">
        <v>132</v>
      </c>
      <c r="O8" t="s">
        <v>93</v>
      </c>
      <c r="R8" t="s">
        <v>157</v>
      </c>
      <c r="S8" s="15" t="str">
        <f t="shared" si="2"/>
        <v/>
      </c>
      <c r="T8" s="15" t="str">
        <f t="shared" si="3"/>
        <v/>
      </c>
      <c r="U8" s="95" t="str">
        <f t="shared" si="4"/>
        <v/>
      </c>
      <c r="V8" s="95" t="str">
        <f t="shared" si="5"/>
        <v/>
      </c>
    </row>
    <row r="9" spans="1:23" s="104" customFormat="1">
      <c r="A9" s="104">
        <v>5</v>
      </c>
      <c r="B9" s="104" t="s">
        <v>82</v>
      </c>
      <c r="C9" s="104" t="s">
        <v>64</v>
      </c>
      <c r="D9" s="104" t="s">
        <v>67</v>
      </c>
      <c r="E9" s="119" t="str">
        <f t="shared" si="0"/>
        <v>k8s-dmz</v>
      </c>
      <c r="F9" s="119" t="str">
        <f t="shared" si="1"/>
        <v>trust</v>
      </c>
      <c r="G9" s="105">
        <v>31211</v>
      </c>
      <c r="H9" s="105">
        <v>32211</v>
      </c>
      <c r="I9" s="104" t="s">
        <v>145</v>
      </c>
      <c r="J9" s="104" t="s">
        <v>108</v>
      </c>
      <c r="L9" s="104" t="s">
        <v>93</v>
      </c>
      <c r="N9" s="104" t="s">
        <v>179</v>
      </c>
      <c r="O9" s="104" t="s">
        <v>93</v>
      </c>
      <c r="R9" s="104" t="s">
        <v>89</v>
      </c>
      <c r="S9" s="95" t="str">
        <f t="shared" si="2"/>
        <v>http://ltm904:8000/dmz904/ccs_middleware</v>
      </c>
      <c r="T9" s="95" t="str">
        <f t="shared" si="3"/>
        <v>https://ltm904:8443/dmz904/ccs_middleware</v>
      </c>
      <c r="U9" s="95" t="str">
        <f t="shared" si="4"/>
        <v/>
      </c>
      <c r="V9" s="95" t="str">
        <f t="shared" si="5"/>
        <v/>
      </c>
    </row>
    <row r="10" spans="1:23" s="104" customFormat="1">
      <c r="A10" s="104">
        <v>6</v>
      </c>
      <c r="B10" s="104" t="s">
        <v>237</v>
      </c>
      <c r="C10" s="104" t="s">
        <v>8</v>
      </c>
      <c r="D10" s="104" t="s">
        <v>67</v>
      </c>
      <c r="E10" s="119" t="str">
        <f t="shared" si="0"/>
        <v>k8s-dmz</v>
      </c>
      <c r="F10" s="119" t="str">
        <f t="shared" si="1"/>
        <v>trust</v>
      </c>
      <c r="G10" s="105">
        <v>31119</v>
      </c>
      <c r="H10" s="105">
        <v>32119</v>
      </c>
      <c r="I10" s="104" t="s">
        <v>549</v>
      </c>
      <c r="J10" s="104" t="s">
        <v>172</v>
      </c>
      <c r="K10" s="104" t="s">
        <v>128</v>
      </c>
      <c r="L10" s="104" t="s">
        <v>93</v>
      </c>
      <c r="N10" s="104" t="s">
        <v>162</v>
      </c>
      <c r="O10" s="104" t="s">
        <v>93</v>
      </c>
      <c r="Q10" s="104" t="s">
        <v>246</v>
      </c>
      <c r="R10" s="104" t="s">
        <v>79</v>
      </c>
      <c r="S10" s="95" t="str">
        <f t="shared" si="2"/>
        <v>http://ltm630:8000/dmz630/das_middleware</v>
      </c>
      <c r="T10" s="95" t="str">
        <f t="shared" si="3"/>
        <v>https://ltm630:8443/dmz630/das_middleware</v>
      </c>
      <c r="U10" s="95" t="str">
        <f t="shared" si="4"/>
        <v>http://v630.bes_ext_api:8000/dmz630/das_middleware</v>
      </c>
      <c r="V10" s="95" t="str">
        <f t="shared" si="5"/>
        <v>https://v630.bes_ext_api:8443/dmz630/das_middleware</v>
      </c>
      <c r="W10" t="s">
        <v>353</v>
      </c>
    </row>
    <row r="11" spans="1:23">
      <c r="A11">
        <v>8</v>
      </c>
      <c r="B11" t="s">
        <v>65</v>
      </c>
      <c r="C11" t="s">
        <v>6</v>
      </c>
      <c r="D11" t="s">
        <v>67</v>
      </c>
      <c r="E11" s="117" t="str">
        <f t="shared" si="0"/>
        <v>k8s-dmz</v>
      </c>
      <c r="F11" s="117" t="str">
        <f t="shared" si="1"/>
        <v>trust</v>
      </c>
      <c r="G11" s="21">
        <v>31013</v>
      </c>
      <c r="H11" s="21">
        <v>32013</v>
      </c>
      <c r="I11" t="s">
        <v>14</v>
      </c>
      <c r="J11" t="s">
        <v>112</v>
      </c>
      <c r="K11" t="s">
        <v>132</v>
      </c>
      <c r="O11" t="s">
        <v>93</v>
      </c>
      <c r="R11" t="s">
        <v>157</v>
      </c>
      <c r="S11" s="15" t="str">
        <f t="shared" si="2"/>
        <v/>
      </c>
      <c r="T11" s="15" t="str">
        <f t="shared" si="3"/>
        <v/>
      </c>
      <c r="U11" s="95" t="str">
        <f t="shared" si="4"/>
        <v/>
      </c>
      <c r="V11" s="95" t="str">
        <f t="shared" si="5"/>
        <v/>
      </c>
    </row>
    <row r="12" spans="1:23">
      <c r="A12">
        <v>119</v>
      </c>
      <c r="B12" t="s">
        <v>65</v>
      </c>
      <c r="C12" t="s">
        <v>6</v>
      </c>
      <c r="D12" t="s">
        <v>67</v>
      </c>
      <c r="E12" s="117" t="str">
        <f t="shared" si="0"/>
        <v>k8s-dmz</v>
      </c>
      <c r="F12" s="117" t="str">
        <f t="shared" si="1"/>
        <v>trust</v>
      </c>
      <c r="G12" s="21">
        <v>31013</v>
      </c>
      <c r="H12" s="21">
        <v>32013</v>
      </c>
      <c r="I12" t="s">
        <v>14</v>
      </c>
      <c r="J12" t="s">
        <v>112</v>
      </c>
      <c r="K12" t="s">
        <v>132</v>
      </c>
      <c r="O12" t="s">
        <v>93</v>
      </c>
      <c r="R12" t="s">
        <v>157</v>
      </c>
      <c r="S12" s="15" t="str">
        <f t="shared" si="2"/>
        <v/>
      </c>
      <c r="T12" s="15" t="str">
        <f t="shared" si="3"/>
        <v/>
      </c>
      <c r="U12" s="95" t="str">
        <f t="shared" si="4"/>
        <v/>
      </c>
      <c r="V12" s="95" t="str">
        <f t="shared" si="5"/>
        <v/>
      </c>
    </row>
    <row r="13" spans="1:23">
      <c r="A13">
        <v>9</v>
      </c>
      <c r="B13" t="s">
        <v>159</v>
      </c>
      <c r="C13" t="s">
        <v>158</v>
      </c>
      <c r="D13" t="s">
        <v>67</v>
      </c>
      <c r="E13" s="117" t="str">
        <f t="shared" si="0"/>
        <v>k8s-dmz</v>
      </c>
      <c r="F13" s="117" t="str">
        <f t="shared" si="1"/>
        <v>trust</v>
      </c>
      <c r="G13" s="21">
        <v>31029</v>
      </c>
      <c r="H13" s="21">
        <v>32029</v>
      </c>
      <c r="I13" t="s">
        <v>7</v>
      </c>
      <c r="J13" t="s">
        <v>106</v>
      </c>
      <c r="K13" t="s">
        <v>160</v>
      </c>
      <c r="M13" t="s">
        <v>154</v>
      </c>
      <c r="P13" t="s">
        <v>153</v>
      </c>
      <c r="R13" t="s">
        <v>157</v>
      </c>
      <c r="S13" s="15" t="str">
        <f t="shared" si="2"/>
        <v/>
      </c>
      <c r="T13" s="15" t="str">
        <f t="shared" si="3"/>
        <v/>
      </c>
      <c r="U13" s="95" t="str">
        <f t="shared" si="4"/>
        <v/>
      </c>
      <c r="V13" s="95" t="str">
        <f t="shared" si="5"/>
        <v/>
      </c>
    </row>
    <row r="14" spans="1:23" s="104" customFormat="1">
      <c r="A14" s="104">
        <v>10</v>
      </c>
      <c r="B14" s="104" t="s">
        <v>65</v>
      </c>
      <c r="C14" s="104" t="s">
        <v>63</v>
      </c>
      <c r="D14" s="104" t="s">
        <v>67</v>
      </c>
      <c r="E14" s="119" t="str">
        <f t="shared" si="0"/>
        <v>k8s-dmz</v>
      </c>
      <c r="F14" s="119" t="str">
        <f t="shared" si="1"/>
        <v>trust</v>
      </c>
      <c r="G14" s="105">
        <v>31400</v>
      </c>
      <c r="H14" s="105">
        <v>32400</v>
      </c>
      <c r="I14" s="110" t="s">
        <v>273</v>
      </c>
      <c r="J14" s="110" t="s">
        <v>274</v>
      </c>
      <c r="K14" s="106" t="s">
        <v>126</v>
      </c>
      <c r="L14" s="104" t="s">
        <v>93</v>
      </c>
      <c r="M14" s="104" t="s">
        <v>93</v>
      </c>
      <c r="N14" s="104" t="s">
        <v>161</v>
      </c>
      <c r="O14" s="104" t="s">
        <v>93</v>
      </c>
      <c r="P14" s="104" t="s">
        <v>93</v>
      </c>
      <c r="Q14" s="104" t="s">
        <v>136</v>
      </c>
      <c r="R14" s="104" t="s">
        <v>79</v>
      </c>
      <c r="S14" s="95" t="str">
        <f t="shared" si="2"/>
        <v>http://ltm504:8000/dmz504/notification_result</v>
      </c>
      <c r="T14" s="95" t="str">
        <f t="shared" si="3"/>
        <v>https://ltm504:8443/dmz504/notification_result</v>
      </c>
      <c r="U14" s="95" t="str">
        <f t="shared" si="4"/>
        <v>http://v504.bes_ext_api:8000/dmz504/notification_result</v>
      </c>
      <c r="V14" s="95" t="str">
        <f t="shared" si="5"/>
        <v>https://v504.bes_ext_api:8443/dmz504/notification_result</v>
      </c>
    </row>
    <row r="15" spans="1:23" s="104" customFormat="1">
      <c r="A15" s="104">
        <v>11</v>
      </c>
      <c r="B15" s="104" t="s">
        <v>65</v>
      </c>
      <c r="C15" s="104" t="s">
        <v>63</v>
      </c>
      <c r="D15" s="104" t="s">
        <v>67</v>
      </c>
      <c r="E15" s="119" t="str">
        <f t="shared" si="0"/>
        <v>k8s-dmz</v>
      </c>
      <c r="F15" s="119" t="str">
        <f t="shared" si="1"/>
        <v>trust</v>
      </c>
      <c r="G15" s="105">
        <v>31031</v>
      </c>
      <c r="H15" s="105">
        <v>32031</v>
      </c>
      <c r="I15" s="104" t="s">
        <v>417</v>
      </c>
      <c r="J15" s="104" t="s">
        <v>107</v>
      </c>
      <c r="K15" s="104" t="s">
        <v>126</v>
      </c>
      <c r="L15" s="104" t="s">
        <v>93</v>
      </c>
      <c r="M15" s="104" t="s">
        <v>93</v>
      </c>
      <c r="N15" s="104" t="s">
        <v>127</v>
      </c>
      <c r="O15" s="104" t="s">
        <v>93</v>
      </c>
      <c r="P15" s="104" t="s">
        <v>93</v>
      </c>
      <c r="R15" s="104" t="s">
        <v>79</v>
      </c>
      <c r="S15" s="95" t="str">
        <f t="shared" si="2"/>
        <v>http://ltm504:8000/dmz504/payment_middleware</v>
      </c>
      <c r="T15" s="95" t="str">
        <f t="shared" si="3"/>
        <v>https://ltm504:8443/dmz504/payment_middleware</v>
      </c>
      <c r="U15" s="95" t="str">
        <f t="shared" si="4"/>
        <v>http://v504.bes_ext_api:8000/dmz504/payment_middleware</v>
      </c>
      <c r="V15" s="95" t="str">
        <f t="shared" si="5"/>
        <v>https://v504.bes_ext_api:8443/dmz504/payment_middleware</v>
      </c>
    </row>
    <row r="16" spans="1:23" s="104" customFormat="1">
      <c r="A16" s="104">
        <v>12</v>
      </c>
      <c r="B16" s="109" t="s">
        <v>352</v>
      </c>
      <c r="C16" s="104" t="s">
        <v>244</v>
      </c>
      <c r="D16" s="104" t="s">
        <v>67</v>
      </c>
      <c r="E16" s="119" t="str">
        <f>"toms-"&amp;D16</f>
        <v>toms-dmz</v>
      </c>
      <c r="F16" s="119" t="str">
        <f t="shared" si="1"/>
        <v>trust</v>
      </c>
      <c r="G16" s="100">
        <v>31002</v>
      </c>
      <c r="H16" s="100">
        <v>32002</v>
      </c>
      <c r="I16" s="104" t="s">
        <v>72</v>
      </c>
      <c r="J16" s="104" t="s">
        <v>195</v>
      </c>
      <c r="K16" s="104" t="s">
        <v>129</v>
      </c>
      <c r="L16" s="104" t="s">
        <v>93</v>
      </c>
      <c r="M16" s="104" t="s">
        <v>93</v>
      </c>
      <c r="N16" s="104" t="s">
        <v>130</v>
      </c>
      <c r="O16" s="104" t="s">
        <v>93</v>
      </c>
      <c r="P16" s="104" t="s">
        <v>93</v>
      </c>
      <c r="R16" s="104" t="s">
        <v>79</v>
      </c>
      <c r="S16" s="97" t="str">
        <f t="shared" si="2"/>
        <v>http://ltm630_itoms2:8000/dmz630_itoms2/toms_middleware</v>
      </c>
      <c r="T16" s="97" t="str">
        <f t="shared" si="3"/>
        <v>https://ltm630_itoms2:8443/dmz630_itoms2/toms_middleware</v>
      </c>
      <c r="U16" s="97" t="str">
        <f t="shared" si="4"/>
        <v>http://v630_itoms2.bes_ext_api:8000/dmz630_itoms2/toms_middleware</v>
      </c>
      <c r="V16" s="97" t="str">
        <f t="shared" si="5"/>
        <v>https://v630_itoms2.bes_ext_api:8443/dmz630_itoms2/toms_middleware</v>
      </c>
      <c r="W16" s="101" t="s">
        <v>250</v>
      </c>
    </row>
    <row r="17" spans="1:22">
      <c r="A17">
        <v>13</v>
      </c>
      <c r="B17" t="s">
        <v>245</v>
      </c>
      <c r="C17" t="s">
        <v>63</v>
      </c>
      <c r="D17" t="s">
        <v>67</v>
      </c>
      <c r="E17" s="117" t="str">
        <f>"toms-"&amp;D17</f>
        <v>toms-dmz</v>
      </c>
      <c r="F17" s="117" t="str">
        <f t="shared" si="1"/>
        <v>trust</v>
      </c>
      <c r="G17" s="100">
        <v>31030</v>
      </c>
      <c r="H17" s="100">
        <v>32030</v>
      </c>
      <c r="I17" t="s">
        <v>512</v>
      </c>
      <c r="J17" t="s">
        <v>194</v>
      </c>
      <c r="K17" t="s">
        <v>165</v>
      </c>
      <c r="O17" t="s">
        <v>93</v>
      </c>
      <c r="P17" t="s">
        <v>93</v>
      </c>
      <c r="R17" t="s">
        <v>157</v>
      </c>
      <c r="S17" s="15" t="str">
        <f t="shared" si="2"/>
        <v/>
      </c>
      <c r="T17" s="15" t="str">
        <f t="shared" si="3"/>
        <v/>
      </c>
      <c r="U17" s="95" t="str">
        <f t="shared" si="4"/>
        <v/>
      </c>
      <c r="V17" s="95" t="str">
        <f t="shared" si="5"/>
        <v/>
      </c>
    </row>
    <row r="18" spans="1:22" s="104" customFormat="1">
      <c r="A18" s="104">
        <v>14</v>
      </c>
      <c r="B18" s="104" t="s">
        <v>65</v>
      </c>
      <c r="C18" s="104" t="s">
        <v>63</v>
      </c>
      <c r="D18" s="104" t="s">
        <v>67</v>
      </c>
      <c r="E18" s="119" t="str">
        <f t="shared" ref="E18:E62" si="6">"k8s-"&amp;D18</f>
        <v>k8s-dmz</v>
      </c>
      <c r="F18" s="119" t="str">
        <f t="shared" si="1"/>
        <v>trust</v>
      </c>
      <c r="G18" s="105">
        <v>31401</v>
      </c>
      <c r="H18" s="105">
        <v>32401</v>
      </c>
      <c r="I18" s="104" t="s">
        <v>419</v>
      </c>
      <c r="J18" s="104" t="s">
        <v>168</v>
      </c>
      <c r="K18" s="106" t="s">
        <v>126</v>
      </c>
      <c r="L18" s="104" t="s">
        <v>93</v>
      </c>
      <c r="N18" s="104" t="s">
        <v>175</v>
      </c>
      <c r="O18" s="104" t="s">
        <v>93</v>
      </c>
      <c r="R18" s="104" t="s">
        <v>79</v>
      </c>
      <c r="S18" s="95" t="str">
        <f t="shared" si="2"/>
        <v>http://ltm504:8000/dmz504/tsp_middleware</v>
      </c>
      <c r="T18" s="95" t="str">
        <f t="shared" si="3"/>
        <v>https://ltm504:8443/dmz504/tsp_middleware</v>
      </c>
      <c r="U18" s="95" t="str">
        <f t="shared" si="4"/>
        <v>http://v504.bes_ext_api:8000/dmz504/tsp_middleware</v>
      </c>
      <c r="V18" s="95" t="str">
        <f t="shared" si="5"/>
        <v>https://v504.bes_ext_api:8443/dmz504/tsp_middleware</v>
      </c>
    </row>
    <row r="19" spans="1:22" s="104" customFormat="1">
      <c r="A19" s="104">
        <v>15</v>
      </c>
      <c r="B19" s="104" t="s">
        <v>65</v>
      </c>
      <c r="C19" s="104" t="s">
        <v>63</v>
      </c>
      <c r="D19" s="104" t="s">
        <v>67</v>
      </c>
      <c r="E19" s="119" t="str">
        <f t="shared" si="6"/>
        <v>k8s-dmz</v>
      </c>
      <c r="F19" s="119" t="str">
        <f t="shared" si="1"/>
        <v>trust</v>
      </c>
      <c r="G19" s="105">
        <v>31402</v>
      </c>
      <c r="H19" s="105">
        <v>32402</v>
      </c>
      <c r="I19" s="104" t="s">
        <v>167</v>
      </c>
      <c r="J19" s="104" t="s">
        <v>169</v>
      </c>
      <c r="K19" s="106" t="s">
        <v>126</v>
      </c>
      <c r="L19" s="104" t="s">
        <v>93</v>
      </c>
      <c r="N19" s="104" t="s">
        <v>176</v>
      </c>
      <c r="O19" s="104" t="s">
        <v>93</v>
      </c>
      <c r="R19" s="104" t="s">
        <v>79</v>
      </c>
      <c r="S19" s="95" t="str">
        <f t="shared" si="2"/>
        <v>http://ltm504:8000/dmz504/ttis_middleware</v>
      </c>
      <c r="T19" s="95" t="str">
        <f t="shared" si="3"/>
        <v>https://ltm504:8443/dmz504/ttis_middleware</v>
      </c>
      <c r="U19" s="95" t="str">
        <f t="shared" si="4"/>
        <v>http://v504.bes_ext_api:8000/dmz504/ttis_middleware</v>
      </c>
      <c r="V19" s="95" t="str">
        <f t="shared" si="5"/>
        <v>https://v504.bes_ext_api:8443/dmz504/ttis_middleware</v>
      </c>
    </row>
    <row r="20" spans="1:22" s="104" customFormat="1">
      <c r="A20" s="104">
        <v>16</v>
      </c>
      <c r="B20" s="104" t="s">
        <v>82</v>
      </c>
      <c r="C20" s="104" t="s">
        <v>64</v>
      </c>
      <c r="D20" s="104" t="s">
        <v>67</v>
      </c>
      <c r="E20" s="119" t="str">
        <f t="shared" si="6"/>
        <v>k8s-dmz</v>
      </c>
      <c r="F20" s="119" t="str">
        <f t="shared" si="1"/>
        <v>trust</v>
      </c>
      <c r="G20" s="105">
        <v>31403</v>
      </c>
      <c r="H20" s="105">
        <v>32403</v>
      </c>
      <c r="I20" s="110" t="s">
        <v>263</v>
      </c>
      <c r="J20" s="104" t="s">
        <v>170</v>
      </c>
      <c r="K20" s="106"/>
      <c r="L20" s="104" t="s">
        <v>93</v>
      </c>
      <c r="N20" s="104" t="s">
        <v>177</v>
      </c>
      <c r="O20" s="104" t="s">
        <v>93</v>
      </c>
      <c r="Q20" s="107"/>
      <c r="R20" s="108" t="s">
        <v>248</v>
      </c>
      <c r="S20" s="95" t="str">
        <f t="shared" si="2"/>
        <v>http://ltm904:8000/dmz904/validv_middleware</v>
      </c>
      <c r="T20" s="95" t="str">
        <f t="shared" si="3"/>
        <v>https://ltm904:8443/dmz904/validv_middleware</v>
      </c>
      <c r="U20" s="95" t="str">
        <f t="shared" ref="U20:U21" si="7">IF(D20="dmz",IF(ISNUMBER(FIND("api",K20)),CONCATENATE("http://",B20,".bes_ext_api:8000/",D20,MID(B20,2,15),"/",I20,""),""),"")</f>
        <v/>
      </c>
      <c r="V20" s="95" t="str">
        <f t="shared" ref="V20:V21" si="8">IF(D20="dmz",IF(ISNUMBER(FIND("api",K20)),CONCATENATE("https://",B20,".bes_ext_api:8443/",D20,MID(B20,2,15),"/",I20,""),""),"")</f>
        <v/>
      </c>
    </row>
    <row r="21" spans="1:22" s="104" customFormat="1">
      <c r="A21" s="104">
        <v>17</v>
      </c>
      <c r="B21" s="104" t="s">
        <v>82</v>
      </c>
      <c r="C21" s="104" t="s">
        <v>64</v>
      </c>
      <c r="D21" s="104" t="s">
        <v>67</v>
      </c>
      <c r="E21" s="119" t="str">
        <f t="shared" si="6"/>
        <v>k8s-dmz</v>
      </c>
      <c r="F21" s="119" t="str">
        <f t="shared" si="1"/>
        <v>trust</v>
      </c>
      <c r="G21" s="105">
        <v>31404</v>
      </c>
      <c r="H21" s="105">
        <v>32404</v>
      </c>
      <c r="I21" s="104" t="s">
        <v>152</v>
      </c>
      <c r="J21" s="104" t="s">
        <v>171</v>
      </c>
      <c r="K21" s="106"/>
      <c r="L21" s="104" t="s">
        <v>93</v>
      </c>
      <c r="N21" s="104" t="s">
        <v>178</v>
      </c>
      <c r="O21" s="104" t="s">
        <v>93</v>
      </c>
      <c r="R21" s="104" t="s">
        <v>79</v>
      </c>
      <c r="S21" s="95" t="str">
        <f t="shared" si="2"/>
        <v>http://ltm904:8000/dmz904/vssd_middleware</v>
      </c>
      <c r="T21" s="95" t="str">
        <f t="shared" si="3"/>
        <v>https://ltm904:8443/dmz904/vssd_middleware</v>
      </c>
      <c r="U21" s="95" t="str">
        <f t="shared" si="7"/>
        <v/>
      </c>
      <c r="V21" s="95" t="str">
        <f t="shared" si="8"/>
        <v/>
      </c>
    </row>
    <row r="22" spans="1:22">
      <c r="A22">
        <v>18</v>
      </c>
      <c r="B22" t="s">
        <v>69</v>
      </c>
      <c r="C22" t="s">
        <v>66</v>
      </c>
      <c r="D22" t="s">
        <v>68</v>
      </c>
      <c r="E22" s="117" t="str">
        <f t="shared" si="6"/>
        <v>k8s-trust</v>
      </c>
      <c r="F22" s="117" t="str">
        <f t="shared" si="1"/>
        <v>dmz</v>
      </c>
      <c r="G22" s="21">
        <v>31009</v>
      </c>
      <c r="H22" s="21">
        <v>32009</v>
      </c>
      <c r="I22" t="s">
        <v>394</v>
      </c>
      <c r="J22" t="s">
        <v>144</v>
      </c>
      <c r="L22" t="s">
        <v>93</v>
      </c>
      <c r="M22" t="s">
        <v>93</v>
      </c>
      <c r="O22" t="s">
        <v>93</v>
      </c>
      <c r="P22" t="s">
        <v>93</v>
      </c>
      <c r="R22" t="s">
        <v>79</v>
      </c>
      <c r="S22" s="15" t="str">
        <f t="shared" si="2"/>
        <v>http://ltm510:8000/trust510/accmgt_api</v>
      </c>
      <c r="T22" s="15" t="str">
        <f t="shared" si="3"/>
        <v>https://ltm510:8443/trust510/accmgt_api</v>
      </c>
    </row>
    <row r="23" spans="1:22">
      <c r="A23">
        <v>19</v>
      </c>
      <c r="B23" t="s">
        <v>46</v>
      </c>
      <c r="C23" t="s">
        <v>66</v>
      </c>
      <c r="D23" t="s">
        <v>68</v>
      </c>
      <c r="E23" s="117" t="str">
        <f t="shared" si="6"/>
        <v>k8s-trust</v>
      </c>
      <c r="F23" s="117" t="str">
        <f t="shared" si="1"/>
        <v>dmz</v>
      </c>
      <c r="G23" s="21">
        <v>31000</v>
      </c>
      <c r="H23" s="21">
        <v>32000</v>
      </c>
      <c r="I23" t="s">
        <v>10</v>
      </c>
      <c r="J23" t="s">
        <v>109</v>
      </c>
      <c r="L23" t="s">
        <v>93</v>
      </c>
      <c r="M23" t="s">
        <v>93</v>
      </c>
      <c r="O23" t="s">
        <v>93</v>
      </c>
      <c r="P23" t="s">
        <v>93</v>
      </c>
      <c r="R23" t="s">
        <v>79</v>
      </c>
      <c r="S23" s="15" t="str">
        <f t="shared" si="2"/>
        <v>http://ltm510:8000/trust510/auth_api</v>
      </c>
      <c r="T23" s="15" t="str">
        <f t="shared" si="3"/>
        <v>https://ltm510:8443/trust510/auth_api</v>
      </c>
    </row>
    <row r="24" spans="1:22">
      <c r="A24">
        <v>20</v>
      </c>
      <c r="B24" t="s">
        <v>46</v>
      </c>
      <c r="C24" t="s">
        <v>66</v>
      </c>
      <c r="D24" s="14" t="s">
        <v>68</v>
      </c>
      <c r="E24" s="117" t="str">
        <f t="shared" si="6"/>
        <v>k8s-trust</v>
      </c>
      <c r="F24" s="117" t="str">
        <f t="shared" si="1"/>
        <v>dmz</v>
      </c>
      <c r="G24" s="21">
        <v>31201</v>
      </c>
      <c r="H24" s="21">
        <v>32201</v>
      </c>
      <c r="I24" t="s">
        <v>27</v>
      </c>
      <c r="J24" t="s">
        <v>123</v>
      </c>
      <c r="L24" t="s">
        <v>93</v>
      </c>
      <c r="M24" t="s">
        <v>93</v>
      </c>
      <c r="O24" t="s">
        <v>93</v>
      </c>
      <c r="P24" t="s">
        <v>93</v>
      </c>
      <c r="R24" t="s">
        <v>79</v>
      </c>
      <c r="S24" s="15" t="str">
        <f t="shared" si="2"/>
        <v>http://ltm510:8000/trust510/bes_acc_im001_fft_account_registration</v>
      </c>
      <c r="T24" s="15" t="str">
        <f t="shared" si="3"/>
        <v>https://ltm510:8443/trust510/bes_acc_im001_fft_account_registration</v>
      </c>
    </row>
    <row r="25" spans="1:22">
      <c r="A25">
        <v>21</v>
      </c>
      <c r="B25" t="s">
        <v>70</v>
      </c>
      <c r="C25" s="14" t="s">
        <v>71</v>
      </c>
      <c r="D25" t="s">
        <v>68</v>
      </c>
      <c r="E25" s="117" t="str">
        <f t="shared" si="6"/>
        <v>k8s-trust</v>
      </c>
      <c r="F25" s="117" t="str">
        <f t="shared" si="1"/>
        <v>dmz</v>
      </c>
      <c r="G25" s="21">
        <v>31201</v>
      </c>
      <c r="H25" s="21">
        <v>32201</v>
      </c>
      <c r="I25" t="s">
        <v>27</v>
      </c>
      <c r="J25" t="s">
        <v>123</v>
      </c>
      <c r="L25" t="s">
        <v>93</v>
      </c>
      <c r="M25" t="s">
        <v>93</v>
      </c>
      <c r="O25" t="s">
        <v>93</v>
      </c>
      <c r="P25" t="s">
        <v>93</v>
      </c>
      <c r="R25" t="s">
        <v>79</v>
      </c>
      <c r="S25" s="15" t="str">
        <f t="shared" si="2"/>
        <v>http://ltm810:8000/trust810/bes_acc_im001_fft_account_registration</v>
      </c>
      <c r="T25" s="15" t="str">
        <f t="shared" si="3"/>
        <v>https://ltm810:8443/trust810/bes_acc_im001_fft_account_registration</v>
      </c>
    </row>
    <row r="26" spans="1:22">
      <c r="A26">
        <v>22</v>
      </c>
      <c r="B26" t="s">
        <v>46</v>
      </c>
      <c r="C26" t="s">
        <v>66</v>
      </c>
      <c r="D26" s="14" t="s">
        <v>68</v>
      </c>
      <c r="E26" s="117" t="str">
        <f t="shared" si="6"/>
        <v>k8s-trust</v>
      </c>
      <c r="F26" s="117" t="str">
        <f t="shared" si="1"/>
        <v>dmz</v>
      </c>
      <c r="G26" s="21">
        <v>31202</v>
      </c>
      <c r="H26" s="21">
        <v>32202</v>
      </c>
      <c r="I26" t="s">
        <v>28</v>
      </c>
      <c r="J26" t="s">
        <v>123</v>
      </c>
      <c r="L26" t="s">
        <v>93</v>
      </c>
      <c r="M26" t="s">
        <v>93</v>
      </c>
      <c r="O26" t="s">
        <v>93</v>
      </c>
      <c r="P26" t="s">
        <v>93</v>
      </c>
      <c r="R26" t="s">
        <v>79</v>
      </c>
      <c r="S26" s="15" t="str">
        <f t="shared" si="2"/>
        <v>http://ltm510:8000/trust510/bes_acc_im002_fft_vehicle_management</v>
      </c>
      <c r="T26" s="15" t="str">
        <f t="shared" si="3"/>
        <v>https://ltm510:8443/trust510/bes_acc_im002_fft_vehicle_management</v>
      </c>
    </row>
    <row r="27" spans="1:22">
      <c r="A27">
        <v>23</v>
      </c>
      <c r="B27" t="s">
        <v>70</v>
      </c>
      <c r="C27" s="14" t="s">
        <v>71</v>
      </c>
      <c r="D27" t="s">
        <v>68</v>
      </c>
      <c r="E27" s="117" t="str">
        <f t="shared" si="6"/>
        <v>k8s-trust</v>
      </c>
      <c r="F27" s="117" t="str">
        <f t="shared" si="1"/>
        <v>dmz</v>
      </c>
      <c r="G27" s="21">
        <v>31202</v>
      </c>
      <c r="H27" s="21">
        <v>32202</v>
      </c>
      <c r="I27" t="s">
        <v>28</v>
      </c>
      <c r="J27" t="s">
        <v>123</v>
      </c>
      <c r="L27" t="s">
        <v>93</v>
      </c>
      <c r="M27" t="s">
        <v>93</v>
      </c>
      <c r="O27" t="s">
        <v>93</v>
      </c>
      <c r="P27" t="s">
        <v>93</v>
      </c>
      <c r="R27" t="s">
        <v>79</v>
      </c>
      <c r="S27" s="15" t="str">
        <f t="shared" si="2"/>
        <v>http://ltm810:8000/trust810/bes_acc_im002_fft_vehicle_management</v>
      </c>
      <c r="T27" s="15" t="str">
        <f t="shared" si="3"/>
        <v>https://ltm810:8443/trust810/bes_acc_im002_fft_vehicle_management</v>
      </c>
    </row>
    <row r="28" spans="1:22">
      <c r="A28">
        <v>24</v>
      </c>
      <c r="B28" t="s">
        <v>46</v>
      </c>
      <c r="C28" t="s">
        <v>66</v>
      </c>
      <c r="D28" s="14" t="s">
        <v>68</v>
      </c>
      <c r="E28" s="117" t="str">
        <f t="shared" si="6"/>
        <v>k8s-trust</v>
      </c>
      <c r="F28" s="117" t="str">
        <f t="shared" si="1"/>
        <v>dmz</v>
      </c>
      <c r="G28" s="21">
        <v>31203</v>
      </c>
      <c r="H28" s="21">
        <v>32203</v>
      </c>
      <c r="I28" t="s">
        <v>29</v>
      </c>
      <c r="J28" t="s">
        <v>123</v>
      </c>
      <c r="L28" t="s">
        <v>93</v>
      </c>
      <c r="M28" t="s">
        <v>93</v>
      </c>
      <c r="O28" t="s">
        <v>93</v>
      </c>
      <c r="P28" t="s">
        <v>93</v>
      </c>
      <c r="R28" t="s">
        <v>79</v>
      </c>
      <c r="S28" s="15" t="str">
        <f t="shared" si="2"/>
        <v>http://ltm510:8000/trust510/bes_acc_im003_fft_vehicle_group_management</v>
      </c>
      <c r="T28" s="15" t="str">
        <f t="shared" si="3"/>
        <v>https://ltm510:8443/trust510/bes_acc_im003_fft_vehicle_group_management</v>
      </c>
    </row>
    <row r="29" spans="1:22">
      <c r="A29">
        <v>25</v>
      </c>
      <c r="B29" t="s">
        <v>70</v>
      </c>
      <c r="C29" s="14" t="s">
        <v>71</v>
      </c>
      <c r="D29" t="s">
        <v>68</v>
      </c>
      <c r="E29" s="117" t="str">
        <f t="shared" si="6"/>
        <v>k8s-trust</v>
      </c>
      <c r="F29" s="117" t="str">
        <f t="shared" si="1"/>
        <v>dmz</v>
      </c>
      <c r="G29" s="21">
        <v>31203</v>
      </c>
      <c r="H29" s="21">
        <v>32203</v>
      </c>
      <c r="I29" t="s">
        <v>29</v>
      </c>
      <c r="J29" t="s">
        <v>123</v>
      </c>
      <c r="L29" t="s">
        <v>93</v>
      </c>
      <c r="M29" t="s">
        <v>93</v>
      </c>
      <c r="O29" t="s">
        <v>93</v>
      </c>
      <c r="P29" t="s">
        <v>93</v>
      </c>
      <c r="R29" t="s">
        <v>79</v>
      </c>
      <c r="S29" s="15" t="str">
        <f t="shared" si="2"/>
        <v>http://ltm810:8000/trust810/bes_acc_im003_fft_vehicle_group_management</v>
      </c>
      <c r="T29" s="15" t="str">
        <f t="shared" si="3"/>
        <v>https://ltm810:8443/trust810/bes_acc_im003_fft_vehicle_group_management</v>
      </c>
    </row>
    <row r="30" spans="1:22">
      <c r="A30">
        <v>26</v>
      </c>
      <c r="B30" t="s">
        <v>46</v>
      </c>
      <c r="C30" t="s">
        <v>66</v>
      </c>
      <c r="D30" s="14" t="s">
        <v>68</v>
      </c>
      <c r="E30" s="117" t="str">
        <f t="shared" si="6"/>
        <v>k8s-trust</v>
      </c>
      <c r="F30" s="117" t="str">
        <f t="shared" si="1"/>
        <v>dmz</v>
      </c>
      <c r="G30" s="21">
        <v>31204</v>
      </c>
      <c r="H30" s="21">
        <v>32204</v>
      </c>
      <c r="I30" t="s">
        <v>30</v>
      </c>
      <c r="J30" t="s">
        <v>123</v>
      </c>
      <c r="L30" t="s">
        <v>93</v>
      </c>
      <c r="M30" t="s">
        <v>93</v>
      </c>
      <c r="O30" t="s">
        <v>93</v>
      </c>
      <c r="P30" t="s">
        <v>93</v>
      </c>
      <c r="R30" t="s">
        <v>79</v>
      </c>
      <c r="S30" s="15" t="str">
        <f t="shared" si="2"/>
        <v>http://ltm510:8000/trust510/bes_acc_im004_fft_account_search</v>
      </c>
      <c r="T30" s="15" t="str">
        <f t="shared" si="3"/>
        <v>https://ltm510:8443/trust510/bes_acc_im004_fft_account_search</v>
      </c>
    </row>
    <row r="31" spans="1:22">
      <c r="A31">
        <v>27</v>
      </c>
      <c r="B31" t="s">
        <v>70</v>
      </c>
      <c r="C31" s="14" t="s">
        <v>71</v>
      </c>
      <c r="D31" t="s">
        <v>68</v>
      </c>
      <c r="E31" s="117" t="str">
        <f t="shared" si="6"/>
        <v>k8s-trust</v>
      </c>
      <c r="F31" s="117" t="str">
        <f t="shared" si="1"/>
        <v>dmz</v>
      </c>
      <c r="G31" s="21">
        <v>31204</v>
      </c>
      <c r="H31" s="21">
        <v>32204</v>
      </c>
      <c r="I31" t="s">
        <v>30</v>
      </c>
      <c r="J31" t="s">
        <v>123</v>
      </c>
      <c r="L31" t="s">
        <v>93</v>
      </c>
      <c r="M31" t="s">
        <v>93</v>
      </c>
      <c r="O31" t="s">
        <v>93</v>
      </c>
      <c r="P31" t="s">
        <v>93</v>
      </c>
      <c r="R31" t="s">
        <v>79</v>
      </c>
      <c r="S31" s="15" t="str">
        <f t="shared" si="2"/>
        <v>http://ltm810:8000/trust810/bes_acc_im004_fft_account_search</v>
      </c>
      <c r="T31" s="15" t="str">
        <f t="shared" si="3"/>
        <v>https://ltm810:8443/trust810/bes_acc_im004_fft_account_search</v>
      </c>
    </row>
    <row r="32" spans="1:22">
      <c r="A32">
        <v>28</v>
      </c>
      <c r="B32" t="s">
        <v>46</v>
      </c>
      <c r="C32" t="s">
        <v>66</v>
      </c>
      <c r="D32" s="14" t="s">
        <v>68</v>
      </c>
      <c r="E32" s="117" t="str">
        <f t="shared" si="6"/>
        <v>k8s-trust</v>
      </c>
      <c r="F32" s="117" t="str">
        <f t="shared" si="1"/>
        <v>dmz</v>
      </c>
      <c r="G32" s="21">
        <v>31205</v>
      </c>
      <c r="H32" s="21">
        <v>32205</v>
      </c>
      <c r="I32" t="s">
        <v>31</v>
      </c>
      <c r="J32" t="s">
        <v>123</v>
      </c>
      <c r="L32" t="s">
        <v>93</v>
      </c>
      <c r="M32" t="s">
        <v>93</v>
      </c>
      <c r="O32" t="s">
        <v>93</v>
      </c>
      <c r="P32" t="s">
        <v>93</v>
      </c>
      <c r="R32" t="s">
        <v>79</v>
      </c>
      <c r="S32" s="15" t="str">
        <f t="shared" si="2"/>
        <v>http://ltm510:8000/trust510/bes_acc_im005_fft_driver_approval</v>
      </c>
      <c r="T32" s="15" t="str">
        <f t="shared" si="3"/>
        <v>https://ltm510:8443/trust510/bes_acc_im005_fft_driver_approval</v>
      </c>
    </row>
    <row r="33" spans="1:22">
      <c r="A33">
        <v>29</v>
      </c>
      <c r="B33" t="s">
        <v>70</v>
      </c>
      <c r="C33" s="14" t="s">
        <v>71</v>
      </c>
      <c r="D33" t="s">
        <v>68</v>
      </c>
      <c r="E33" s="117" t="str">
        <f t="shared" si="6"/>
        <v>k8s-trust</v>
      </c>
      <c r="F33" s="117" t="str">
        <f t="shared" ref="F33:F62" si="9">IF(D33="dmz","trust","dmz")</f>
        <v>dmz</v>
      </c>
      <c r="G33" s="21">
        <v>31205</v>
      </c>
      <c r="H33" s="21">
        <v>32205</v>
      </c>
      <c r="I33" t="s">
        <v>31</v>
      </c>
      <c r="J33" t="s">
        <v>123</v>
      </c>
      <c r="L33" t="s">
        <v>93</v>
      </c>
      <c r="M33" t="s">
        <v>93</v>
      </c>
      <c r="O33" t="s">
        <v>93</v>
      </c>
      <c r="P33" t="s">
        <v>93</v>
      </c>
      <c r="R33" t="s">
        <v>79</v>
      </c>
      <c r="S33" s="15" t="str">
        <f t="shared" ref="S33:S64" si="10">IF(LEN(B33)&gt;0,IF(ISNUMBER(FIND("api",CONCATENATE(L33,M33))),CONCATENATE("http://ltm",MID(B33,2,15),":8000/",D33,MID(B33,2,15),"/",$I33),""),"")</f>
        <v>http://ltm810:8000/trust810/bes_acc_im005_fft_driver_approval</v>
      </c>
      <c r="T33" s="15" t="str">
        <f t="shared" ref="T33:T64" si="11">IF(LEN(B33)&gt;0,IF(ISNUMBER(FIND("api",CONCATENATE(L33,M33))),CONCATENATE("https://ltm",MID(B33,2,15),":8443/",D33,MID(B33,2,15),"/",$I33),""),"")</f>
        <v>https://ltm810:8443/trust810/bes_acc_im005_fft_driver_approval</v>
      </c>
    </row>
    <row r="34" spans="1:22">
      <c r="A34">
        <v>30</v>
      </c>
      <c r="B34" t="s">
        <v>46</v>
      </c>
      <c r="C34" t="s">
        <v>66</v>
      </c>
      <c r="D34" s="14" t="s">
        <v>68</v>
      </c>
      <c r="E34" s="117" t="str">
        <f t="shared" si="6"/>
        <v>k8s-trust</v>
      </c>
      <c r="F34" s="117" t="str">
        <f t="shared" si="9"/>
        <v>dmz</v>
      </c>
      <c r="G34" s="21">
        <v>31206</v>
      </c>
      <c r="H34" s="21">
        <v>32206</v>
      </c>
      <c r="I34" t="s">
        <v>32</v>
      </c>
      <c r="J34" t="s">
        <v>123</v>
      </c>
      <c r="L34" t="s">
        <v>93</v>
      </c>
      <c r="M34" t="s">
        <v>93</v>
      </c>
      <c r="O34" t="s">
        <v>93</v>
      </c>
      <c r="P34" t="s">
        <v>93</v>
      </c>
      <c r="R34" t="s">
        <v>79</v>
      </c>
      <c r="S34" s="15" t="str">
        <f t="shared" si="10"/>
        <v>http://ltm510:8000/trust510/bes_acc_im006_fft_account_management</v>
      </c>
      <c r="T34" s="15" t="str">
        <f t="shared" si="11"/>
        <v>https://ltm510:8443/trust510/bes_acc_im006_fft_account_management</v>
      </c>
    </row>
    <row r="35" spans="1:22">
      <c r="A35">
        <v>31</v>
      </c>
      <c r="B35" t="s">
        <v>70</v>
      </c>
      <c r="C35" s="14" t="s">
        <v>71</v>
      </c>
      <c r="D35" t="s">
        <v>68</v>
      </c>
      <c r="E35" s="117" t="str">
        <f t="shared" si="6"/>
        <v>k8s-trust</v>
      </c>
      <c r="F35" s="117" t="str">
        <f t="shared" si="9"/>
        <v>dmz</v>
      </c>
      <c r="G35" s="21">
        <v>31206</v>
      </c>
      <c r="H35" s="21">
        <v>32206</v>
      </c>
      <c r="I35" t="s">
        <v>32</v>
      </c>
      <c r="J35" t="s">
        <v>123</v>
      </c>
      <c r="L35" t="s">
        <v>93</v>
      </c>
      <c r="M35" t="s">
        <v>93</v>
      </c>
      <c r="O35" t="s">
        <v>93</v>
      </c>
      <c r="P35" t="s">
        <v>93</v>
      </c>
      <c r="R35" t="s">
        <v>79</v>
      </c>
      <c r="S35" s="15" t="str">
        <f t="shared" si="10"/>
        <v>http://ltm810:8000/trust810/bes_acc_im006_fft_account_management</v>
      </c>
      <c r="T35" s="15" t="str">
        <f t="shared" si="11"/>
        <v>https://ltm810:8443/trust810/bes_acc_im006_fft_account_management</v>
      </c>
    </row>
    <row r="36" spans="1:22">
      <c r="A36">
        <v>32</v>
      </c>
      <c r="B36" t="s">
        <v>46</v>
      </c>
      <c r="C36" t="s">
        <v>66</v>
      </c>
      <c r="D36" s="14" t="s">
        <v>68</v>
      </c>
      <c r="E36" s="117" t="str">
        <f t="shared" si="6"/>
        <v>k8s-trust</v>
      </c>
      <c r="F36" s="117" t="str">
        <f t="shared" si="9"/>
        <v>dmz</v>
      </c>
      <c r="G36" s="21">
        <v>31207</v>
      </c>
      <c r="H36" s="21">
        <v>32207</v>
      </c>
      <c r="I36" t="s">
        <v>33</v>
      </c>
      <c r="J36" t="s">
        <v>123</v>
      </c>
      <c r="L36" t="s">
        <v>93</v>
      </c>
      <c r="M36" t="s">
        <v>93</v>
      </c>
      <c r="O36" t="s">
        <v>93</v>
      </c>
      <c r="P36" t="s">
        <v>93</v>
      </c>
      <c r="R36" t="s">
        <v>79</v>
      </c>
      <c r="S36" s="15" t="str">
        <f t="shared" si="10"/>
        <v>http://ltm510:8000/trust510/bes_acc_im007_fft_vehicle_pairing</v>
      </c>
      <c r="T36" s="15" t="str">
        <f t="shared" si="11"/>
        <v>https://ltm510:8443/trust510/bes_acc_im007_fft_vehicle_pairing</v>
      </c>
    </row>
    <row r="37" spans="1:22">
      <c r="A37">
        <v>33</v>
      </c>
      <c r="B37" t="s">
        <v>70</v>
      </c>
      <c r="C37" s="14" t="s">
        <v>71</v>
      </c>
      <c r="D37" t="s">
        <v>68</v>
      </c>
      <c r="E37" s="117" t="str">
        <f t="shared" si="6"/>
        <v>k8s-trust</v>
      </c>
      <c r="F37" s="117" t="str">
        <f t="shared" si="9"/>
        <v>dmz</v>
      </c>
      <c r="G37" s="21">
        <v>31207</v>
      </c>
      <c r="H37" s="21">
        <v>32207</v>
      </c>
      <c r="I37" t="s">
        <v>33</v>
      </c>
      <c r="J37" t="s">
        <v>123</v>
      </c>
      <c r="L37" t="s">
        <v>93</v>
      </c>
      <c r="M37" t="s">
        <v>93</v>
      </c>
      <c r="O37" t="s">
        <v>93</v>
      </c>
      <c r="P37" t="s">
        <v>93</v>
      </c>
      <c r="R37" t="s">
        <v>79</v>
      </c>
      <c r="S37" s="15" t="str">
        <f t="shared" si="10"/>
        <v>http://ltm810:8000/trust810/bes_acc_im007_fft_vehicle_pairing</v>
      </c>
      <c r="T37" s="15" t="str">
        <f t="shared" si="11"/>
        <v>https://ltm810:8443/trust810/bes_acc_im007_fft_vehicle_pairing</v>
      </c>
    </row>
    <row r="38" spans="1:22">
      <c r="A38">
        <v>34</v>
      </c>
      <c r="B38" t="s">
        <v>46</v>
      </c>
      <c r="C38" t="s">
        <v>66</v>
      </c>
      <c r="D38" s="14" t="s">
        <v>68</v>
      </c>
      <c r="E38" s="117" t="str">
        <f t="shared" si="6"/>
        <v>k8s-trust</v>
      </c>
      <c r="F38" s="117" t="str">
        <f t="shared" si="9"/>
        <v>dmz</v>
      </c>
      <c r="G38" s="21">
        <v>31208</v>
      </c>
      <c r="H38" s="21">
        <v>32208</v>
      </c>
      <c r="I38" t="s">
        <v>34</v>
      </c>
      <c r="J38" t="s">
        <v>123</v>
      </c>
      <c r="L38" t="s">
        <v>93</v>
      </c>
      <c r="M38" t="s">
        <v>93</v>
      </c>
      <c r="O38" t="s">
        <v>93</v>
      </c>
      <c r="P38" t="s">
        <v>93</v>
      </c>
      <c r="R38" t="s">
        <v>79</v>
      </c>
      <c r="S38" s="15" t="str">
        <f t="shared" si="10"/>
        <v>http://ltm510:8000/trust510/bes_acc_im008_fft_tag_management</v>
      </c>
      <c r="T38" s="15" t="str">
        <f t="shared" si="11"/>
        <v>https://ltm510:8443/trust510/bes_acc_im008_fft_tag_management</v>
      </c>
    </row>
    <row r="39" spans="1:22">
      <c r="A39">
        <v>35</v>
      </c>
      <c r="B39" t="s">
        <v>70</v>
      </c>
      <c r="C39" s="14" t="s">
        <v>71</v>
      </c>
      <c r="D39" t="s">
        <v>68</v>
      </c>
      <c r="E39" s="117" t="str">
        <f t="shared" si="6"/>
        <v>k8s-trust</v>
      </c>
      <c r="F39" s="117" t="str">
        <f t="shared" si="9"/>
        <v>dmz</v>
      </c>
      <c r="G39" s="21">
        <v>31208</v>
      </c>
      <c r="H39" s="21">
        <v>32208</v>
      </c>
      <c r="I39" t="s">
        <v>34</v>
      </c>
      <c r="J39" t="s">
        <v>123</v>
      </c>
      <c r="L39" t="s">
        <v>93</v>
      </c>
      <c r="M39" t="s">
        <v>93</v>
      </c>
      <c r="O39" t="s">
        <v>93</v>
      </c>
      <c r="P39" t="s">
        <v>93</v>
      </c>
      <c r="R39" t="s">
        <v>79</v>
      </c>
      <c r="S39" s="15" t="str">
        <f t="shared" si="10"/>
        <v>http://ltm810:8000/trust810/bes_acc_im008_fft_tag_management</v>
      </c>
      <c r="T39" s="15" t="str">
        <f t="shared" si="11"/>
        <v>https://ltm810:8443/trust810/bes_acc_im008_fft_tag_management</v>
      </c>
    </row>
    <row r="40" spans="1:22">
      <c r="A40">
        <v>36</v>
      </c>
      <c r="B40" t="s">
        <v>46</v>
      </c>
      <c r="C40" t="s">
        <v>66</v>
      </c>
      <c r="D40" s="14" t="s">
        <v>68</v>
      </c>
      <c r="E40" s="117" t="str">
        <f t="shared" si="6"/>
        <v>k8s-trust</v>
      </c>
      <c r="F40" s="117" t="str">
        <f t="shared" si="9"/>
        <v>dmz</v>
      </c>
      <c r="G40" s="21">
        <v>31209</v>
      </c>
      <c r="H40" s="21">
        <v>32209</v>
      </c>
      <c r="I40" t="s">
        <v>35</v>
      </c>
      <c r="J40" t="s">
        <v>123</v>
      </c>
      <c r="L40" t="s">
        <v>93</v>
      </c>
      <c r="M40" t="s">
        <v>93</v>
      </c>
      <c r="O40" t="s">
        <v>93</v>
      </c>
      <c r="P40" t="s">
        <v>93</v>
      </c>
      <c r="R40" t="s">
        <v>79</v>
      </c>
      <c r="S40" s="15" t="str">
        <f t="shared" si="10"/>
        <v>http://ltm510:8000/trust510/bes_acc_im009_fft_payment_and_billing</v>
      </c>
      <c r="T40" s="15" t="str">
        <f t="shared" si="11"/>
        <v>https://ltm510:8443/trust510/bes_acc_im009_fft_payment_and_billing</v>
      </c>
    </row>
    <row r="41" spans="1:22">
      <c r="A41">
        <v>37</v>
      </c>
      <c r="B41" t="s">
        <v>70</v>
      </c>
      <c r="C41" s="14" t="s">
        <v>71</v>
      </c>
      <c r="D41" t="s">
        <v>68</v>
      </c>
      <c r="E41" s="117" t="str">
        <f t="shared" si="6"/>
        <v>k8s-trust</v>
      </c>
      <c r="F41" s="117" t="str">
        <f t="shared" si="9"/>
        <v>dmz</v>
      </c>
      <c r="G41" s="21">
        <v>31209</v>
      </c>
      <c r="H41" s="21">
        <v>32209</v>
      </c>
      <c r="I41" t="s">
        <v>35</v>
      </c>
      <c r="J41" t="s">
        <v>123</v>
      </c>
      <c r="L41" t="s">
        <v>93</v>
      </c>
      <c r="M41" t="s">
        <v>93</v>
      </c>
      <c r="O41" t="s">
        <v>93</v>
      </c>
      <c r="P41" t="s">
        <v>93</v>
      </c>
      <c r="R41" t="s">
        <v>79</v>
      </c>
      <c r="S41" s="15" t="str">
        <f t="shared" si="10"/>
        <v>http://ltm810:8000/trust810/bes_acc_im009_fft_payment_and_billing</v>
      </c>
      <c r="T41" s="15" t="str">
        <f t="shared" si="11"/>
        <v>https://ltm810:8443/trust810/bes_acc_im009_fft_payment_and_billing</v>
      </c>
    </row>
    <row r="42" spans="1:22">
      <c r="A42">
        <v>38</v>
      </c>
      <c r="B42" t="s">
        <v>46</v>
      </c>
      <c r="C42" t="s">
        <v>66</v>
      </c>
      <c r="D42" s="14" t="s">
        <v>68</v>
      </c>
      <c r="E42" s="117" t="str">
        <f t="shared" si="6"/>
        <v>k8s-trust</v>
      </c>
      <c r="F42" s="117" t="str">
        <f t="shared" si="9"/>
        <v>dmz</v>
      </c>
      <c r="G42" s="21">
        <v>31210</v>
      </c>
      <c r="H42" s="21">
        <v>32210</v>
      </c>
      <c r="I42" t="s">
        <v>36</v>
      </c>
      <c r="J42" t="s">
        <v>123</v>
      </c>
      <c r="L42" t="s">
        <v>93</v>
      </c>
      <c r="M42" t="s">
        <v>93</v>
      </c>
      <c r="O42" t="s">
        <v>93</v>
      </c>
      <c r="P42" t="s">
        <v>93</v>
      </c>
      <c r="R42" t="s">
        <v>79</v>
      </c>
      <c r="S42" s="15" t="str">
        <f t="shared" si="10"/>
        <v>http://ltm510:8000/trust510/bes_acc_im010_fft_transaction</v>
      </c>
      <c r="T42" s="15" t="str">
        <f t="shared" si="11"/>
        <v>https://ltm510:8443/trust510/bes_acc_im010_fft_transaction</v>
      </c>
    </row>
    <row r="43" spans="1:22">
      <c r="A43">
        <v>39</v>
      </c>
      <c r="B43" t="s">
        <v>70</v>
      </c>
      <c r="C43" s="14" t="s">
        <v>71</v>
      </c>
      <c r="D43" t="s">
        <v>68</v>
      </c>
      <c r="E43" s="117" t="str">
        <f t="shared" si="6"/>
        <v>k8s-trust</v>
      </c>
      <c r="F43" s="117" t="str">
        <f t="shared" si="9"/>
        <v>dmz</v>
      </c>
      <c r="G43" s="21">
        <v>31210</v>
      </c>
      <c r="H43" s="21">
        <v>32210</v>
      </c>
      <c r="I43" t="s">
        <v>36</v>
      </c>
      <c r="J43" t="s">
        <v>123</v>
      </c>
      <c r="L43" t="s">
        <v>93</v>
      </c>
      <c r="M43" t="s">
        <v>93</v>
      </c>
      <c r="O43" t="s">
        <v>93</v>
      </c>
      <c r="P43" t="s">
        <v>93</v>
      </c>
      <c r="R43" t="s">
        <v>79</v>
      </c>
      <c r="S43" s="15" t="str">
        <f t="shared" si="10"/>
        <v>http://ltm810:8000/trust810/bes_acc_im010_fft_transaction</v>
      </c>
      <c r="T43" s="15" t="str">
        <f t="shared" si="11"/>
        <v>https://ltm810:8443/trust810/bes_acc_im010_fft_transaction</v>
      </c>
    </row>
    <row r="44" spans="1:22" s="102" customFormat="1">
      <c r="A44" s="102">
        <v>101</v>
      </c>
      <c r="B44" s="102" t="s">
        <v>46</v>
      </c>
      <c r="C44" s="102" t="s">
        <v>66</v>
      </c>
      <c r="D44" s="111" t="s">
        <v>68</v>
      </c>
      <c r="E44" s="120" t="str">
        <f t="shared" si="6"/>
        <v>k8s-trust</v>
      </c>
      <c r="F44" s="120" t="str">
        <f t="shared" si="9"/>
        <v>dmz</v>
      </c>
      <c r="G44" s="112">
        <v>31212</v>
      </c>
      <c r="H44" s="112">
        <v>32212</v>
      </c>
      <c r="I44" s="102" t="s">
        <v>253</v>
      </c>
      <c r="J44" s="102" t="s">
        <v>123</v>
      </c>
      <c r="L44" s="102" t="s">
        <v>93</v>
      </c>
      <c r="M44" s="102" t="s">
        <v>93</v>
      </c>
      <c r="O44" s="102" t="s">
        <v>93</v>
      </c>
      <c r="P44" s="102" t="s">
        <v>93</v>
      </c>
      <c r="R44" s="102" t="s">
        <v>79</v>
      </c>
      <c r="S44" s="102" t="str">
        <f t="shared" si="10"/>
        <v>http://ltm510:8000/trust510/bes_acc_im011_ffts_toll_and_surcharge</v>
      </c>
      <c r="T44" s="102" t="str">
        <f t="shared" si="11"/>
        <v>https://ltm510:8443/trust510/bes_acc_im011_ffts_toll_and_surcharge</v>
      </c>
      <c r="U44" s="113"/>
      <c r="V44" s="113"/>
    </row>
    <row r="45" spans="1:22" s="102" customFormat="1">
      <c r="A45" s="102">
        <v>102</v>
      </c>
      <c r="B45" s="102" t="s">
        <v>70</v>
      </c>
      <c r="C45" s="111" t="s">
        <v>71</v>
      </c>
      <c r="D45" s="102" t="s">
        <v>68</v>
      </c>
      <c r="E45" s="120" t="str">
        <f t="shared" si="6"/>
        <v>k8s-trust</v>
      </c>
      <c r="F45" s="120" t="str">
        <f t="shared" si="9"/>
        <v>dmz</v>
      </c>
      <c r="G45" s="112">
        <v>31212</v>
      </c>
      <c r="H45" s="112">
        <v>32212</v>
      </c>
      <c r="I45" s="102" t="s">
        <v>253</v>
      </c>
      <c r="J45" s="102" t="s">
        <v>123</v>
      </c>
      <c r="L45" s="102" t="s">
        <v>93</v>
      </c>
      <c r="M45" s="102" t="s">
        <v>93</v>
      </c>
      <c r="O45" s="102" t="s">
        <v>93</v>
      </c>
      <c r="P45" s="102" t="s">
        <v>93</v>
      </c>
      <c r="R45" s="102" t="s">
        <v>79</v>
      </c>
      <c r="S45" s="102" t="str">
        <f t="shared" si="10"/>
        <v>http://ltm810:8000/trust810/bes_acc_im011_ffts_toll_and_surcharge</v>
      </c>
      <c r="T45" s="102" t="str">
        <f t="shared" si="11"/>
        <v>https://ltm810:8443/trust810/bes_acc_im011_ffts_toll_and_surcharge</v>
      </c>
      <c r="U45" s="113"/>
      <c r="V45" s="113"/>
    </row>
    <row r="46" spans="1:22" s="102" customFormat="1">
      <c r="A46" s="102">
        <v>103</v>
      </c>
      <c r="B46" s="102" t="s">
        <v>46</v>
      </c>
      <c r="C46" s="102" t="s">
        <v>66</v>
      </c>
      <c r="D46" s="111" t="s">
        <v>68</v>
      </c>
      <c r="E46" s="120" t="str">
        <f t="shared" si="6"/>
        <v>k8s-trust</v>
      </c>
      <c r="F46" s="120" t="str">
        <f t="shared" si="9"/>
        <v>dmz</v>
      </c>
      <c r="G46" s="112">
        <v>31215</v>
      </c>
      <c r="H46" s="112">
        <v>32215</v>
      </c>
      <c r="I46" s="102" t="s">
        <v>265</v>
      </c>
      <c r="J46" s="102" t="s">
        <v>123</v>
      </c>
      <c r="L46" s="102" t="s">
        <v>93</v>
      </c>
      <c r="M46" s="102" t="s">
        <v>93</v>
      </c>
      <c r="O46" s="102" t="s">
        <v>93</v>
      </c>
      <c r="P46" s="102" t="s">
        <v>93</v>
      </c>
      <c r="R46" s="102" t="s">
        <v>79</v>
      </c>
      <c r="S46" s="102" t="str">
        <f t="shared" si="10"/>
        <v>http://ltm510:8000/trust510/bes_acc_im012_ffts_account_history</v>
      </c>
      <c r="T46" s="102" t="str">
        <f t="shared" si="11"/>
        <v>https://ltm510:8443/trust510/bes_acc_im012_ffts_account_history</v>
      </c>
      <c r="U46" s="113"/>
      <c r="V46" s="113"/>
    </row>
    <row r="47" spans="1:22" s="102" customFormat="1">
      <c r="A47" s="102">
        <v>104</v>
      </c>
      <c r="B47" s="102" t="s">
        <v>70</v>
      </c>
      <c r="C47" s="111" t="s">
        <v>71</v>
      </c>
      <c r="D47" s="102" t="s">
        <v>68</v>
      </c>
      <c r="E47" s="120" t="str">
        <f t="shared" si="6"/>
        <v>k8s-trust</v>
      </c>
      <c r="F47" s="120" t="str">
        <f t="shared" si="9"/>
        <v>dmz</v>
      </c>
      <c r="G47" s="112">
        <v>31215</v>
      </c>
      <c r="H47" s="112">
        <v>32215</v>
      </c>
      <c r="I47" s="102" t="s">
        <v>265</v>
      </c>
      <c r="J47" s="102" t="s">
        <v>123</v>
      </c>
      <c r="L47" s="102" t="s">
        <v>93</v>
      </c>
      <c r="M47" s="102" t="s">
        <v>93</v>
      </c>
      <c r="O47" s="102" t="s">
        <v>93</v>
      </c>
      <c r="P47" s="102" t="s">
        <v>93</v>
      </c>
      <c r="R47" s="102" t="s">
        <v>79</v>
      </c>
      <c r="S47" s="102" t="str">
        <f t="shared" si="10"/>
        <v>http://ltm810:8000/trust810/bes_acc_im012_ffts_account_history</v>
      </c>
      <c r="T47" s="102" t="str">
        <f t="shared" si="11"/>
        <v>https://ltm810:8443/trust810/bes_acc_im012_ffts_account_history</v>
      </c>
      <c r="U47" s="113"/>
      <c r="V47" s="113"/>
    </row>
    <row r="48" spans="1:22" s="102" customFormat="1">
      <c r="A48" s="102">
        <v>105</v>
      </c>
      <c r="B48" s="102" t="s">
        <v>46</v>
      </c>
      <c r="C48" s="102" t="s">
        <v>66</v>
      </c>
      <c r="D48" s="111" t="s">
        <v>68</v>
      </c>
      <c r="E48" s="120" t="str">
        <f t="shared" si="6"/>
        <v>k8s-trust</v>
      </c>
      <c r="F48" s="120" t="str">
        <f t="shared" si="9"/>
        <v>dmz</v>
      </c>
      <c r="G48" s="112">
        <v>31214</v>
      </c>
      <c r="H48" s="112">
        <v>32214</v>
      </c>
      <c r="I48" s="102" t="s">
        <v>254</v>
      </c>
      <c r="J48" s="102" t="s">
        <v>123</v>
      </c>
      <c r="L48" s="102" t="s">
        <v>93</v>
      </c>
      <c r="M48" s="102" t="s">
        <v>93</v>
      </c>
      <c r="O48" s="102" t="s">
        <v>93</v>
      </c>
      <c r="P48" s="102" t="s">
        <v>93</v>
      </c>
      <c r="R48" s="102" t="s">
        <v>79</v>
      </c>
      <c r="S48" s="102" t="str">
        <f t="shared" si="10"/>
        <v>http://ltm510:8000/trust510/bes_acc_im013_ffts_performance_monitoring</v>
      </c>
      <c r="T48" s="102" t="str">
        <f t="shared" si="11"/>
        <v>https://ltm510:8443/trust510/bes_acc_im013_ffts_performance_monitoring</v>
      </c>
      <c r="U48" s="113"/>
      <c r="V48" s="113"/>
    </row>
    <row r="49" spans="1:22" s="102" customFormat="1">
      <c r="A49" s="102">
        <v>106</v>
      </c>
      <c r="B49" s="102" t="s">
        <v>70</v>
      </c>
      <c r="C49" s="111" t="s">
        <v>71</v>
      </c>
      <c r="D49" s="102" t="s">
        <v>68</v>
      </c>
      <c r="E49" s="120" t="str">
        <f t="shared" si="6"/>
        <v>k8s-trust</v>
      </c>
      <c r="F49" s="120" t="str">
        <f t="shared" si="9"/>
        <v>dmz</v>
      </c>
      <c r="G49" s="112">
        <v>31214</v>
      </c>
      <c r="H49" s="112">
        <v>32214</v>
      </c>
      <c r="I49" s="102" t="s">
        <v>254</v>
      </c>
      <c r="J49" s="102" t="s">
        <v>123</v>
      </c>
      <c r="L49" s="102" t="s">
        <v>93</v>
      </c>
      <c r="M49" s="102" t="s">
        <v>93</v>
      </c>
      <c r="O49" s="102" t="s">
        <v>93</v>
      </c>
      <c r="P49" s="102" t="s">
        <v>93</v>
      </c>
      <c r="R49" s="102" t="s">
        <v>79</v>
      </c>
      <c r="S49" s="102" t="str">
        <f t="shared" si="10"/>
        <v>http://ltm810:8000/trust810/bes_acc_im013_ffts_performance_monitoring</v>
      </c>
      <c r="T49" s="102" t="str">
        <f t="shared" si="11"/>
        <v>https://ltm810:8443/trust810/bes_acc_im013_ffts_performance_monitoring</v>
      </c>
      <c r="U49" s="113"/>
      <c r="V49" s="113"/>
    </row>
    <row r="50" spans="1:22">
      <c r="A50">
        <v>40</v>
      </c>
      <c r="B50" t="s">
        <v>69</v>
      </c>
      <c r="C50" t="s">
        <v>66</v>
      </c>
      <c r="D50" s="14" t="s">
        <v>68</v>
      </c>
      <c r="E50" s="117" t="str">
        <f t="shared" si="6"/>
        <v>k8s-trust</v>
      </c>
      <c r="F50" s="117" t="str">
        <f t="shared" si="9"/>
        <v>dmz</v>
      </c>
      <c r="G50" s="21">
        <v>31311</v>
      </c>
      <c r="H50" s="21">
        <v>32311</v>
      </c>
      <c r="I50" t="s">
        <v>4</v>
      </c>
      <c r="J50" t="s">
        <v>181</v>
      </c>
      <c r="L50" t="s">
        <v>93</v>
      </c>
      <c r="M50" t="s">
        <v>93</v>
      </c>
      <c r="O50" t="s">
        <v>93</v>
      </c>
      <c r="P50" t="s">
        <v>93</v>
      </c>
      <c r="R50" t="s">
        <v>79</v>
      </c>
      <c r="S50" s="15" t="str">
        <f t="shared" si="10"/>
        <v>http://ltm510:8000/trust510/bes_ccs</v>
      </c>
      <c r="T50" s="15" t="str">
        <f t="shared" si="11"/>
        <v>https://ltm510:8443/trust510/bes_ccs</v>
      </c>
    </row>
    <row r="51" spans="1:22">
      <c r="A51">
        <v>41</v>
      </c>
      <c r="B51" t="s">
        <v>46</v>
      </c>
      <c r="C51" t="s">
        <v>66</v>
      </c>
      <c r="D51" s="14" t="s">
        <v>68</v>
      </c>
      <c r="E51" s="117" t="str">
        <f t="shared" si="6"/>
        <v>k8s-trust</v>
      </c>
      <c r="F51" s="117" t="str">
        <f t="shared" si="9"/>
        <v>dmz</v>
      </c>
      <c r="G51" s="21">
        <v>31301</v>
      </c>
      <c r="H51" s="21">
        <v>32301</v>
      </c>
      <c r="I51" t="s">
        <v>37</v>
      </c>
      <c r="J51" t="s">
        <v>124</v>
      </c>
      <c r="L51" t="s">
        <v>93</v>
      </c>
      <c r="M51" t="s">
        <v>93</v>
      </c>
      <c r="O51" t="s">
        <v>93</v>
      </c>
      <c r="P51" t="s">
        <v>93</v>
      </c>
      <c r="R51" t="s">
        <v>79</v>
      </c>
      <c r="S51" s="15" t="str">
        <f t="shared" si="10"/>
        <v>http://ltm510:8000/trust510/bes_cre_im001_tokenization</v>
      </c>
      <c r="T51" s="15" t="str">
        <f t="shared" si="11"/>
        <v>https://ltm510:8443/trust510/bes_cre_im001_tokenization</v>
      </c>
    </row>
    <row r="52" spans="1:22">
      <c r="A52">
        <v>42</v>
      </c>
      <c r="B52" t="s">
        <v>70</v>
      </c>
      <c r="C52" s="14" t="s">
        <v>71</v>
      </c>
      <c r="D52" t="s">
        <v>68</v>
      </c>
      <c r="E52" s="117" t="str">
        <f t="shared" si="6"/>
        <v>k8s-trust</v>
      </c>
      <c r="F52" s="117" t="str">
        <f t="shared" si="9"/>
        <v>dmz</v>
      </c>
      <c r="G52" s="21">
        <v>31301</v>
      </c>
      <c r="H52" s="21">
        <v>32301</v>
      </c>
      <c r="I52" t="s">
        <v>37</v>
      </c>
      <c r="J52" t="s">
        <v>124</v>
      </c>
      <c r="L52" t="s">
        <v>93</v>
      </c>
      <c r="M52" t="s">
        <v>93</v>
      </c>
      <c r="O52" t="s">
        <v>93</v>
      </c>
      <c r="P52" t="s">
        <v>93</v>
      </c>
      <c r="R52" t="s">
        <v>79</v>
      </c>
      <c r="S52" s="15" t="str">
        <f t="shared" si="10"/>
        <v>http://ltm810:8000/trust810/bes_cre_im001_tokenization</v>
      </c>
      <c r="T52" s="15" t="str">
        <f t="shared" si="11"/>
        <v>https://ltm810:8443/trust810/bes_cre_im001_tokenization</v>
      </c>
    </row>
    <row r="53" spans="1:22">
      <c r="A53">
        <v>43</v>
      </c>
      <c r="B53" t="s">
        <v>46</v>
      </c>
      <c r="C53" t="s">
        <v>66</v>
      </c>
      <c r="D53" s="14" t="s">
        <v>68</v>
      </c>
      <c r="E53" s="117" t="str">
        <f t="shared" si="6"/>
        <v>k8s-trust</v>
      </c>
      <c r="F53" s="117" t="str">
        <f t="shared" si="9"/>
        <v>dmz</v>
      </c>
      <c r="G53" s="21">
        <v>31302</v>
      </c>
      <c r="H53" s="21">
        <v>32302</v>
      </c>
      <c r="I53" t="s">
        <v>38</v>
      </c>
      <c r="J53" t="s">
        <v>124</v>
      </c>
      <c r="L53" t="s">
        <v>93</v>
      </c>
      <c r="M53" t="s">
        <v>93</v>
      </c>
      <c r="O53" t="s">
        <v>93</v>
      </c>
      <c r="P53" t="s">
        <v>93</v>
      </c>
      <c r="R53" t="s">
        <v>79</v>
      </c>
      <c r="S53" s="15" t="str">
        <f t="shared" si="10"/>
        <v>http://ltm510:8000/trust510/bes_cre_im002_otp</v>
      </c>
      <c r="T53" s="15" t="str">
        <f t="shared" si="11"/>
        <v>https://ltm510:8443/trust510/bes_cre_im002_otp</v>
      </c>
    </row>
    <row r="54" spans="1:22">
      <c r="A54">
        <v>44</v>
      </c>
      <c r="B54" t="s">
        <v>70</v>
      </c>
      <c r="C54" s="14" t="s">
        <v>71</v>
      </c>
      <c r="D54" t="s">
        <v>68</v>
      </c>
      <c r="E54" s="117" t="str">
        <f t="shared" si="6"/>
        <v>k8s-trust</v>
      </c>
      <c r="F54" s="117" t="str">
        <f t="shared" si="9"/>
        <v>dmz</v>
      </c>
      <c r="G54" s="21">
        <v>31302</v>
      </c>
      <c r="H54" s="21">
        <v>32302</v>
      </c>
      <c r="I54" t="s">
        <v>38</v>
      </c>
      <c r="J54" t="s">
        <v>124</v>
      </c>
      <c r="L54" t="s">
        <v>93</v>
      </c>
      <c r="M54" t="s">
        <v>93</v>
      </c>
      <c r="O54" t="s">
        <v>93</v>
      </c>
      <c r="P54" t="s">
        <v>93</v>
      </c>
      <c r="R54" t="s">
        <v>79</v>
      </c>
      <c r="S54" s="15" t="str">
        <f t="shared" si="10"/>
        <v>http://ltm810:8000/trust810/bes_cre_im002_otp</v>
      </c>
      <c r="T54" s="15" t="str">
        <f t="shared" si="11"/>
        <v>https://ltm810:8443/trust810/bes_cre_im002_otp</v>
      </c>
    </row>
    <row r="55" spans="1:22">
      <c r="A55">
        <v>45</v>
      </c>
      <c r="B55" t="s">
        <v>46</v>
      </c>
      <c r="C55" t="s">
        <v>66</v>
      </c>
      <c r="D55" s="14" t="s">
        <v>68</v>
      </c>
      <c r="E55" s="117" t="str">
        <f t="shared" si="6"/>
        <v>k8s-trust</v>
      </c>
      <c r="F55" s="117" t="str">
        <f t="shared" si="9"/>
        <v>dmz</v>
      </c>
      <c r="G55" s="21">
        <v>31307</v>
      </c>
      <c r="H55" s="21">
        <v>32307</v>
      </c>
      <c r="I55" t="s">
        <v>39</v>
      </c>
      <c r="J55" t="s">
        <v>142</v>
      </c>
      <c r="L55" t="s">
        <v>93</v>
      </c>
      <c r="M55" t="s">
        <v>93</v>
      </c>
      <c r="O55" t="s">
        <v>93</v>
      </c>
      <c r="P55" t="s">
        <v>93</v>
      </c>
      <c r="R55" t="s">
        <v>79</v>
      </c>
      <c r="S55" s="15" t="str">
        <f t="shared" si="10"/>
        <v>http://ltm510:8000/trust510/bes_cre_im007_notification_template_management</v>
      </c>
      <c r="T55" s="15" t="str">
        <f t="shared" si="11"/>
        <v>https://ltm510:8443/trust510/bes_cre_im007_notification_template_management</v>
      </c>
    </row>
    <row r="56" spans="1:22">
      <c r="A56">
        <v>46</v>
      </c>
      <c r="B56" t="s">
        <v>70</v>
      </c>
      <c r="C56" s="14" t="s">
        <v>71</v>
      </c>
      <c r="D56" t="s">
        <v>68</v>
      </c>
      <c r="E56" s="117" t="str">
        <f t="shared" si="6"/>
        <v>k8s-trust</v>
      </c>
      <c r="F56" s="117" t="str">
        <f t="shared" si="9"/>
        <v>dmz</v>
      </c>
      <c r="G56" s="21">
        <v>31307</v>
      </c>
      <c r="H56" s="21">
        <v>32307</v>
      </c>
      <c r="I56" t="s">
        <v>39</v>
      </c>
      <c r="J56" t="s">
        <v>142</v>
      </c>
      <c r="L56" t="s">
        <v>93</v>
      </c>
      <c r="M56" t="s">
        <v>93</v>
      </c>
      <c r="O56" t="s">
        <v>93</v>
      </c>
      <c r="P56" t="s">
        <v>93</v>
      </c>
      <c r="Q56" s="98"/>
      <c r="R56" t="s">
        <v>79</v>
      </c>
      <c r="S56" s="15" t="str">
        <f t="shared" si="10"/>
        <v>http://ltm810:8000/trust810/bes_cre_im007_notification_template_management</v>
      </c>
      <c r="T56" s="15" t="str">
        <f t="shared" si="11"/>
        <v>https://ltm810:8443/trust810/bes_cre_im007_notification_template_management</v>
      </c>
    </row>
    <row r="57" spans="1:22">
      <c r="A57">
        <v>47</v>
      </c>
      <c r="B57" t="s">
        <v>46</v>
      </c>
      <c r="C57" t="s">
        <v>66</v>
      </c>
      <c r="D57" s="14" t="s">
        <v>68</v>
      </c>
      <c r="E57" s="117" t="str">
        <f t="shared" si="6"/>
        <v>k8s-trust</v>
      </c>
      <c r="F57" s="117" t="str">
        <f t="shared" si="9"/>
        <v>dmz</v>
      </c>
      <c r="G57" s="21">
        <v>31308</v>
      </c>
      <c r="H57" s="21">
        <v>32308</v>
      </c>
      <c r="I57" t="s">
        <v>40</v>
      </c>
      <c r="J57" t="s">
        <v>142</v>
      </c>
      <c r="L57" t="s">
        <v>93</v>
      </c>
      <c r="M57" t="s">
        <v>93</v>
      </c>
      <c r="O57" t="s">
        <v>93</v>
      </c>
      <c r="P57" t="s">
        <v>93</v>
      </c>
      <c r="Q57" s="99" t="s">
        <v>136</v>
      </c>
      <c r="R57" t="s">
        <v>79</v>
      </c>
      <c r="S57" s="15" t="str">
        <f t="shared" si="10"/>
        <v>http://ltm510:8000/trust510/bes_cre_im008_notification_message_management</v>
      </c>
      <c r="T57" s="15" t="str">
        <f t="shared" si="11"/>
        <v>https://ltm510:8443/trust510/bes_cre_im008_notification_message_management</v>
      </c>
    </row>
    <row r="58" spans="1:22">
      <c r="A58">
        <v>48</v>
      </c>
      <c r="B58" t="s">
        <v>70</v>
      </c>
      <c r="C58" s="14" t="s">
        <v>71</v>
      </c>
      <c r="D58" t="s">
        <v>68</v>
      </c>
      <c r="E58" s="117" t="str">
        <f t="shared" si="6"/>
        <v>k8s-trust</v>
      </c>
      <c r="F58" s="117" t="str">
        <f t="shared" si="9"/>
        <v>dmz</v>
      </c>
      <c r="G58" s="21">
        <v>31308</v>
      </c>
      <c r="H58" s="21">
        <v>32308</v>
      </c>
      <c r="I58" t="s">
        <v>40</v>
      </c>
      <c r="J58" t="s">
        <v>142</v>
      </c>
      <c r="L58" t="s">
        <v>93</v>
      </c>
      <c r="M58" t="s">
        <v>93</v>
      </c>
      <c r="O58" t="s">
        <v>93</v>
      </c>
      <c r="P58" t="s">
        <v>93</v>
      </c>
      <c r="Q58" s="99" t="s">
        <v>136</v>
      </c>
      <c r="R58" t="s">
        <v>79</v>
      </c>
      <c r="S58" s="15" t="str">
        <f t="shared" si="10"/>
        <v>http://ltm810:8000/trust810/bes_cre_im008_notification_message_management</v>
      </c>
      <c r="T58" s="15" t="str">
        <f t="shared" si="11"/>
        <v>https://ltm810:8443/trust810/bes_cre_im008_notification_message_management</v>
      </c>
    </row>
    <row r="59" spans="1:22">
      <c r="A59">
        <v>49</v>
      </c>
      <c r="B59" t="s">
        <v>46</v>
      </c>
      <c r="C59" t="s">
        <v>66</v>
      </c>
      <c r="D59" s="14" t="s">
        <v>68</v>
      </c>
      <c r="E59" s="117" t="str">
        <f t="shared" si="6"/>
        <v>k8s-trust</v>
      </c>
      <c r="F59" s="117" t="str">
        <f t="shared" si="9"/>
        <v>dmz</v>
      </c>
      <c r="G59" s="21">
        <v>31309</v>
      </c>
      <c r="H59" s="21">
        <v>32309</v>
      </c>
      <c r="I59" t="s">
        <v>41</v>
      </c>
      <c r="J59" t="s">
        <v>125</v>
      </c>
      <c r="L59" t="s">
        <v>93</v>
      </c>
      <c r="M59" t="s">
        <v>93</v>
      </c>
      <c r="O59" t="s">
        <v>93</v>
      </c>
      <c r="P59" t="s">
        <v>93</v>
      </c>
      <c r="Q59" s="99" t="s">
        <v>136</v>
      </c>
      <c r="R59" t="s">
        <v>79</v>
      </c>
      <c r="S59" s="15" t="str">
        <f t="shared" si="10"/>
        <v>http://ltm510:8000/trust510/bes_cre_im009_notification_processor</v>
      </c>
      <c r="T59" s="15" t="str">
        <f t="shared" si="11"/>
        <v>https://ltm510:8443/trust510/bes_cre_im009_notification_processor</v>
      </c>
    </row>
    <row r="60" spans="1:22">
      <c r="A60">
        <v>50</v>
      </c>
      <c r="B60" t="s">
        <v>70</v>
      </c>
      <c r="C60" s="14" t="s">
        <v>71</v>
      </c>
      <c r="D60" t="s">
        <v>68</v>
      </c>
      <c r="E60" s="117" t="str">
        <f t="shared" si="6"/>
        <v>k8s-trust</v>
      </c>
      <c r="F60" s="117" t="str">
        <f t="shared" si="9"/>
        <v>dmz</v>
      </c>
      <c r="G60" s="21">
        <v>31309</v>
      </c>
      <c r="H60" s="21">
        <v>32309</v>
      </c>
      <c r="I60" t="s">
        <v>41</v>
      </c>
      <c r="J60" t="s">
        <v>125</v>
      </c>
      <c r="L60" t="s">
        <v>93</v>
      </c>
      <c r="M60" t="s">
        <v>93</v>
      </c>
      <c r="O60" t="s">
        <v>93</v>
      </c>
      <c r="P60" t="s">
        <v>93</v>
      </c>
      <c r="Q60" s="99" t="s">
        <v>136</v>
      </c>
      <c r="R60" t="s">
        <v>79</v>
      </c>
      <c r="S60" s="15" t="str">
        <f t="shared" si="10"/>
        <v>http://ltm810:8000/trust810/bes_cre_im009_notification_processor</v>
      </c>
      <c r="T60" s="15" t="str">
        <f t="shared" si="11"/>
        <v>https://ltm810:8443/trust810/bes_cre_im009_notification_processor</v>
      </c>
    </row>
    <row r="61" spans="1:22">
      <c r="A61">
        <v>51</v>
      </c>
      <c r="B61" t="s">
        <v>46</v>
      </c>
      <c r="C61" t="s">
        <v>66</v>
      </c>
      <c r="D61" s="14" t="s">
        <v>68</v>
      </c>
      <c r="E61" s="117" t="str">
        <f t="shared" si="6"/>
        <v>k8s-trust</v>
      </c>
      <c r="F61" s="117" t="str">
        <f t="shared" si="9"/>
        <v>dmz</v>
      </c>
      <c r="G61" s="21">
        <v>31310</v>
      </c>
      <c r="H61" s="21">
        <v>32310</v>
      </c>
      <c r="I61" t="s">
        <v>42</v>
      </c>
      <c r="J61" t="s">
        <v>124</v>
      </c>
      <c r="L61" t="s">
        <v>93</v>
      </c>
      <c r="M61" t="s">
        <v>93</v>
      </c>
      <c r="O61" t="s">
        <v>93</v>
      </c>
      <c r="P61" t="s">
        <v>93</v>
      </c>
      <c r="Q61" s="98"/>
      <c r="R61" t="s">
        <v>79</v>
      </c>
      <c r="S61" s="15" t="str">
        <f t="shared" si="10"/>
        <v>http://ltm510:8000/trust510/bes_cre_im010_shortlink</v>
      </c>
      <c r="T61" s="15" t="str">
        <f t="shared" si="11"/>
        <v>https://ltm510:8443/trust510/bes_cre_im010_shortlink</v>
      </c>
    </row>
    <row r="62" spans="1:22">
      <c r="A62">
        <v>52</v>
      </c>
      <c r="B62" t="s">
        <v>70</v>
      </c>
      <c r="C62" s="14" t="s">
        <v>71</v>
      </c>
      <c r="D62" t="s">
        <v>68</v>
      </c>
      <c r="E62" s="117" t="str">
        <f t="shared" si="6"/>
        <v>k8s-trust</v>
      </c>
      <c r="F62" s="117" t="str">
        <f t="shared" si="9"/>
        <v>dmz</v>
      </c>
      <c r="G62" s="21">
        <v>31310</v>
      </c>
      <c r="H62" s="21">
        <v>32310</v>
      </c>
      <c r="I62" t="s">
        <v>42</v>
      </c>
      <c r="J62" t="s">
        <v>124</v>
      </c>
      <c r="L62" t="s">
        <v>93</v>
      </c>
      <c r="M62" t="s">
        <v>93</v>
      </c>
      <c r="O62" t="s">
        <v>93</v>
      </c>
      <c r="P62" t="s">
        <v>93</v>
      </c>
      <c r="Q62" s="98"/>
      <c r="R62" t="s">
        <v>79</v>
      </c>
      <c r="S62" s="15" t="str">
        <f t="shared" si="10"/>
        <v>http://ltm810:8000/trust810/bes_cre_im010_shortlink</v>
      </c>
      <c r="T62" s="15" t="str">
        <f t="shared" si="11"/>
        <v>https://ltm810:8443/trust810/bes_cre_im010_shortlink</v>
      </c>
    </row>
    <row r="63" spans="1:22" s="102" customFormat="1">
      <c r="A63" s="102">
        <v>111</v>
      </c>
      <c r="B63" s="102" t="s">
        <v>46</v>
      </c>
      <c r="C63" s="102" t="s">
        <v>66</v>
      </c>
      <c r="D63" s="111" t="s">
        <v>68</v>
      </c>
      <c r="E63" s="120"/>
      <c r="F63" s="120"/>
      <c r="G63" s="112" t="s">
        <v>119</v>
      </c>
      <c r="H63" s="112" t="s">
        <v>119</v>
      </c>
      <c r="I63" s="102" t="s">
        <v>255</v>
      </c>
      <c r="J63" s="102" t="s">
        <v>125</v>
      </c>
      <c r="O63" s="102" t="s">
        <v>93</v>
      </c>
      <c r="Q63" s="114" t="s">
        <v>136</v>
      </c>
      <c r="R63" s="102" t="s">
        <v>80</v>
      </c>
      <c r="S63" s="102" t="str">
        <f t="shared" si="10"/>
        <v/>
      </c>
      <c r="T63" s="102" t="str">
        <f t="shared" si="11"/>
        <v/>
      </c>
      <c r="U63" s="113"/>
      <c r="V63" s="113"/>
    </row>
    <row r="64" spans="1:22" s="102" customFormat="1">
      <c r="A64" s="102">
        <v>112</v>
      </c>
      <c r="B64" s="102" t="s">
        <v>46</v>
      </c>
      <c r="C64" s="102" t="s">
        <v>66</v>
      </c>
      <c r="D64" s="102" t="s">
        <v>68</v>
      </c>
      <c r="E64" s="120"/>
      <c r="F64" s="120"/>
      <c r="G64" s="112" t="s">
        <v>119</v>
      </c>
      <c r="H64" s="112" t="s">
        <v>119</v>
      </c>
      <c r="I64" s="102" t="s">
        <v>256</v>
      </c>
      <c r="J64" s="102" t="s">
        <v>125</v>
      </c>
      <c r="P64" s="102" t="s">
        <v>93</v>
      </c>
      <c r="Q64" s="114" t="s">
        <v>136</v>
      </c>
      <c r="R64" s="102" t="s">
        <v>80</v>
      </c>
      <c r="S64" s="102" t="str">
        <f t="shared" si="10"/>
        <v/>
      </c>
      <c r="T64" s="102" t="str">
        <f t="shared" si="11"/>
        <v/>
      </c>
      <c r="U64" s="113"/>
      <c r="V64" s="113"/>
    </row>
    <row r="65" spans="1:22" s="102" customFormat="1">
      <c r="A65" s="102">
        <v>113</v>
      </c>
      <c r="B65" s="102" t="s">
        <v>46</v>
      </c>
      <c r="C65" s="102" t="s">
        <v>66</v>
      </c>
      <c r="D65" s="102" t="s">
        <v>68</v>
      </c>
      <c r="E65" s="120"/>
      <c r="F65" s="120"/>
      <c r="G65" s="112" t="s">
        <v>119</v>
      </c>
      <c r="H65" s="112" t="s">
        <v>119</v>
      </c>
      <c r="I65" s="102" t="s">
        <v>257</v>
      </c>
      <c r="J65" s="102" t="s">
        <v>125</v>
      </c>
      <c r="O65" s="102" t="s">
        <v>93</v>
      </c>
      <c r="Q65" s="114" t="s">
        <v>136</v>
      </c>
      <c r="R65" s="102" t="s">
        <v>80</v>
      </c>
      <c r="S65" s="102" t="str">
        <f t="shared" ref="S65:S92" si="12">IF(LEN(B65)&gt;0,IF(ISNUMBER(FIND("api",CONCATENATE(L65,M65))),CONCATENATE("http://ltm",MID(B65,2,15),":8000/",D65,MID(B65,2,15),"/",$I65),""),"")</f>
        <v/>
      </c>
      <c r="T65" s="102" t="str">
        <f t="shared" ref="T65:T92" si="13">IF(LEN(B65)&gt;0,IF(ISNUMBER(FIND("api",CONCATENATE(L65,M65))),CONCATENATE("https://ltm",MID(B65,2,15),":8443/",D65,MID(B65,2,15),"/",$I65),""),"")</f>
        <v/>
      </c>
      <c r="U65" s="113"/>
      <c r="V65" s="113"/>
    </row>
    <row r="66" spans="1:22" s="102" customFormat="1">
      <c r="A66" s="102">
        <v>114</v>
      </c>
      <c r="B66" s="102" t="s">
        <v>46</v>
      </c>
      <c r="C66" s="102" t="s">
        <v>66</v>
      </c>
      <c r="D66" s="102" t="s">
        <v>68</v>
      </c>
      <c r="E66" s="120"/>
      <c r="F66" s="120"/>
      <c r="G66" s="112" t="s">
        <v>119</v>
      </c>
      <c r="H66" s="112" t="s">
        <v>119</v>
      </c>
      <c r="I66" s="102" t="s">
        <v>258</v>
      </c>
      <c r="J66" s="102" t="s">
        <v>125</v>
      </c>
      <c r="P66" s="102" t="s">
        <v>93</v>
      </c>
      <c r="Q66" s="114" t="s">
        <v>136</v>
      </c>
      <c r="R66" s="102" t="s">
        <v>80</v>
      </c>
      <c r="S66" s="102" t="str">
        <f t="shared" si="12"/>
        <v/>
      </c>
      <c r="T66" s="102" t="str">
        <f t="shared" si="13"/>
        <v/>
      </c>
      <c r="U66" s="113"/>
      <c r="V66" s="113"/>
    </row>
    <row r="67" spans="1:22" s="102" customFormat="1">
      <c r="A67" s="102">
        <v>115</v>
      </c>
      <c r="B67" s="102" t="s">
        <v>46</v>
      </c>
      <c r="C67" s="102" t="s">
        <v>66</v>
      </c>
      <c r="D67" s="102" t="s">
        <v>68</v>
      </c>
      <c r="E67" s="120"/>
      <c r="F67" s="120"/>
      <c r="G67" s="112" t="s">
        <v>119</v>
      </c>
      <c r="H67" s="112" t="s">
        <v>119</v>
      </c>
      <c r="I67" s="102" t="s">
        <v>259</v>
      </c>
      <c r="J67" s="102" t="s">
        <v>125</v>
      </c>
      <c r="O67" s="102" t="s">
        <v>93</v>
      </c>
      <c r="Q67" s="114" t="s">
        <v>136</v>
      </c>
      <c r="R67" s="102" t="s">
        <v>80</v>
      </c>
      <c r="S67" s="102" t="str">
        <f t="shared" si="12"/>
        <v/>
      </c>
      <c r="T67" s="102" t="str">
        <f t="shared" si="13"/>
        <v/>
      </c>
      <c r="U67" s="113"/>
      <c r="V67" s="113"/>
    </row>
    <row r="68" spans="1:22">
      <c r="A68">
        <v>53</v>
      </c>
      <c r="B68" t="s">
        <v>69</v>
      </c>
      <c r="C68" t="s">
        <v>66</v>
      </c>
      <c r="D68" s="14" t="s">
        <v>68</v>
      </c>
      <c r="E68" s="117" t="str">
        <f t="shared" ref="E68:E87" si="14">"k8s-"&amp;D68</f>
        <v>k8s-trust</v>
      </c>
      <c r="F68" s="117" t="str">
        <f t="shared" ref="F68:F94" si="15">IF(D68="dmz","trust","dmz")</f>
        <v>dmz</v>
      </c>
      <c r="G68" s="21">
        <v>31312</v>
      </c>
      <c r="H68" s="21">
        <v>32312</v>
      </c>
      <c r="I68" t="s">
        <v>137</v>
      </c>
      <c r="J68" t="s">
        <v>138</v>
      </c>
      <c r="L68" t="s">
        <v>93</v>
      </c>
      <c r="M68" t="s">
        <v>93</v>
      </c>
      <c r="O68" t="s">
        <v>93</v>
      </c>
      <c r="P68" t="s">
        <v>93</v>
      </c>
      <c r="Q68" s="98"/>
      <c r="R68" t="s">
        <v>79</v>
      </c>
      <c r="S68" s="15" t="str">
        <f t="shared" si="12"/>
        <v>http://ltm510:8000/trust510/bes_das_im001_general</v>
      </c>
      <c r="T68" s="15" t="str">
        <f t="shared" si="13"/>
        <v>https://ltm510:8443/trust510/bes_das_im001_general</v>
      </c>
    </row>
    <row r="69" spans="1:22">
      <c r="A69">
        <v>54</v>
      </c>
      <c r="B69" t="s">
        <v>69</v>
      </c>
      <c r="C69" t="s">
        <v>66</v>
      </c>
      <c r="D69" s="14" t="s">
        <v>68</v>
      </c>
      <c r="E69" s="117" t="str">
        <f t="shared" si="14"/>
        <v>k8s-trust</v>
      </c>
      <c r="F69" s="117" t="str">
        <f t="shared" si="15"/>
        <v>dmz</v>
      </c>
      <c r="G69" s="21">
        <v>31313</v>
      </c>
      <c r="H69" s="21">
        <v>32313</v>
      </c>
      <c r="I69" t="s">
        <v>150</v>
      </c>
      <c r="J69" t="s">
        <v>183</v>
      </c>
      <c r="L69" t="s">
        <v>93</v>
      </c>
      <c r="M69" t="s">
        <v>93</v>
      </c>
      <c r="O69" t="s">
        <v>93</v>
      </c>
      <c r="P69" t="s">
        <v>93</v>
      </c>
      <c r="Q69" s="98"/>
      <c r="R69" t="s">
        <v>79</v>
      </c>
      <c r="S69" s="15" t="str">
        <f t="shared" si="12"/>
        <v>http://ltm510:8000/trust510/bes_tsp_misc</v>
      </c>
      <c r="T69" s="15" t="str">
        <f t="shared" si="13"/>
        <v>https://ltm510:8443/trust510/bes_tsp_misc</v>
      </c>
    </row>
    <row r="70" spans="1:22">
      <c r="A70">
        <v>56</v>
      </c>
      <c r="B70" t="s">
        <v>69</v>
      </c>
      <c r="C70" t="s">
        <v>66</v>
      </c>
      <c r="D70" s="14" t="s">
        <v>68</v>
      </c>
      <c r="E70" s="117" t="str">
        <f t="shared" si="14"/>
        <v>k8s-trust</v>
      </c>
      <c r="F70" s="117" t="str">
        <f t="shared" si="15"/>
        <v>dmz</v>
      </c>
      <c r="G70" s="21">
        <v>31315</v>
      </c>
      <c r="H70" s="21">
        <v>32315</v>
      </c>
      <c r="I70" s="103" t="s">
        <v>272</v>
      </c>
      <c r="J70" t="s">
        <v>184</v>
      </c>
      <c r="L70" t="s">
        <v>93</v>
      </c>
      <c r="M70" t="s">
        <v>93</v>
      </c>
      <c r="O70" t="s">
        <v>93</v>
      </c>
      <c r="P70" t="s">
        <v>93</v>
      </c>
      <c r="Q70" s="98"/>
      <c r="R70" t="s">
        <v>79</v>
      </c>
      <c r="S70" s="15" t="str">
        <f t="shared" si="12"/>
        <v>http://ltm510:8000/trust510/bes_validv</v>
      </c>
      <c r="T70" s="15" t="str">
        <f t="shared" si="13"/>
        <v>https://ltm510:8443/trust510/bes_validv</v>
      </c>
    </row>
    <row r="71" spans="1:22">
      <c r="A71">
        <v>57</v>
      </c>
      <c r="B71" t="s">
        <v>69</v>
      </c>
      <c r="C71" t="s">
        <v>66</v>
      </c>
      <c r="D71" s="14" t="s">
        <v>68</v>
      </c>
      <c r="E71" s="117" t="str">
        <f t="shared" si="14"/>
        <v>k8s-trust</v>
      </c>
      <c r="F71" s="117" t="str">
        <f t="shared" si="15"/>
        <v>dmz</v>
      </c>
      <c r="G71" s="21">
        <v>31316</v>
      </c>
      <c r="H71" s="21">
        <v>32316</v>
      </c>
      <c r="I71" t="s">
        <v>151</v>
      </c>
      <c r="J71" t="s">
        <v>182</v>
      </c>
      <c r="L71" t="s">
        <v>93</v>
      </c>
      <c r="M71" t="s">
        <v>93</v>
      </c>
      <c r="O71" t="s">
        <v>93</v>
      </c>
      <c r="P71" t="s">
        <v>93</v>
      </c>
      <c r="Q71" s="98"/>
      <c r="R71" t="s">
        <v>79</v>
      </c>
      <c r="S71" s="15" t="str">
        <f t="shared" si="12"/>
        <v>http://ltm510:8000/trust510/bes_vssd</v>
      </c>
      <c r="T71" s="15" t="str">
        <f t="shared" si="13"/>
        <v>https://ltm510:8443/trust510/bes_vssd</v>
      </c>
    </row>
    <row r="72" spans="1:22">
      <c r="A72">
        <v>58</v>
      </c>
      <c r="B72" t="s">
        <v>46</v>
      </c>
      <c r="C72" t="s">
        <v>66</v>
      </c>
      <c r="D72" t="s">
        <v>68</v>
      </c>
      <c r="E72" s="117" t="str">
        <f t="shared" si="14"/>
        <v>k8s-trust</v>
      </c>
      <c r="F72" s="117" t="str">
        <f t="shared" si="15"/>
        <v>dmz</v>
      </c>
      <c r="G72" s="21">
        <v>31027</v>
      </c>
      <c r="H72" s="21">
        <v>32027</v>
      </c>
      <c r="I72" t="s">
        <v>25</v>
      </c>
      <c r="J72" t="s">
        <v>122</v>
      </c>
      <c r="L72" t="s">
        <v>93</v>
      </c>
      <c r="M72" t="s">
        <v>93</v>
      </c>
      <c r="O72" t="s">
        <v>93</v>
      </c>
      <c r="P72" t="s">
        <v>93</v>
      </c>
      <c r="Q72" s="98"/>
      <c r="R72" t="s">
        <v>79</v>
      </c>
      <c r="S72" s="15" t="str">
        <f t="shared" si="12"/>
        <v>http://ltm510:8000/trust510/ccms_api</v>
      </c>
      <c r="T72" s="15" t="str">
        <f t="shared" si="13"/>
        <v>https://ltm510:8443/trust510/ccms_api</v>
      </c>
    </row>
    <row r="73" spans="1:22">
      <c r="A73">
        <v>59</v>
      </c>
      <c r="B73" t="s">
        <v>46</v>
      </c>
      <c r="C73" t="s">
        <v>66</v>
      </c>
      <c r="D73" t="s">
        <v>68</v>
      </c>
      <c r="E73" s="117" t="str">
        <f t="shared" si="14"/>
        <v>k8s-trust</v>
      </c>
      <c r="F73" s="117" t="str">
        <f t="shared" si="15"/>
        <v>dmz</v>
      </c>
      <c r="G73" s="21">
        <v>31015</v>
      </c>
      <c r="H73" s="21">
        <v>32015</v>
      </c>
      <c r="I73" t="s">
        <v>16</v>
      </c>
      <c r="J73" t="s">
        <v>114</v>
      </c>
      <c r="L73" t="s">
        <v>93</v>
      </c>
      <c r="O73" t="s">
        <v>93</v>
      </c>
      <c r="Q73" s="98"/>
      <c r="R73" t="s">
        <v>79</v>
      </c>
      <c r="S73" s="15" t="str">
        <f t="shared" si="12"/>
        <v>http://ltm510:8000/trust510/central_db_services_accmgt</v>
      </c>
      <c r="T73" s="15" t="str">
        <f t="shared" si="13"/>
        <v>https://ltm510:8443/trust510/central_db_services_accmgt</v>
      </c>
    </row>
    <row r="74" spans="1:22">
      <c r="A74">
        <v>60</v>
      </c>
      <c r="B74" t="s">
        <v>46</v>
      </c>
      <c r="C74" t="s">
        <v>66</v>
      </c>
      <c r="D74" t="s">
        <v>68</v>
      </c>
      <c r="E74" s="117" t="str">
        <f t="shared" si="14"/>
        <v>k8s-trust</v>
      </c>
      <c r="F74" s="117" t="str">
        <f t="shared" si="15"/>
        <v>dmz</v>
      </c>
      <c r="G74" s="21">
        <v>31017</v>
      </c>
      <c r="H74" s="21">
        <v>32017</v>
      </c>
      <c r="I74" t="s">
        <v>18</v>
      </c>
      <c r="J74" t="s">
        <v>116</v>
      </c>
      <c r="L74" t="s">
        <v>93</v>
      </c>
      <c r="O74" t="s">
        <v>93</v>
      </c>
      <c r="Q74" s="98"/>
      <c r="R74" t="s">
        <v>79</v>
      </c>
      <c r="S74" s="15" t="str">
        <f t="shared" si="12"/>
        <v>http://ltm510:8000/trust510/central_db_services_ccms</v>
      </c>
      <c r="T74" s="15" t="str">
        <f t="shared" si="13"/>
        <v>https://ltm510:8443/trust510/central_db_services_ccms</v>
      </c>
    </row>
    <row r="75" spans="1:22">
      <c r="A75">
        <v>61</v>
      </c>
      <c r="B75" t="s">
        <v>69</v>
      </c>
      <c r="C75" s="14" t="s">
        <v>66</v>
      </c>
      <c r="D75" t="s">
        <v>68</v>
      </c>
      <c r="E75" s="117" t="str">
        <f t="shared" si="14"/>
        <v>k8s-trust</v>
      </c>
      <c r="F75" s="117" t="str">
        <f t="shared" si="15"/>
        <v>dmz</v>
      </c>
      <c r="G75" s="21">
        <v>31016</v>
      </c>
      <c r="H75" s="21">
        <v>32016</v>
      </c>
      <c r="I75" t="s">
        <v>17</v>
      </c>
      <c r="J75" t="s">
        <v>115</v>
      </c>
      <c r="L75" t="s">
        <v>93</v>
      </c>
      <c r="O75" t="s">
        <v>93</v>
      </c>
      <c r="Q75" s="98"/>
      <c r="R75" t="s">
        <v>79</v>
      </c>
      <c r="S75" s="15" t="str">
        <f t="shared" si="12"/>
        <v>http://ltm510:8000/trust510/central_db_services_core</v>
      </c>
      <c r="T75" s="15" t="str">
        <f t="shared" si="13"/>
        <v>https://ltm510:8443/trust510/central_db_services_core</v>
      </c>
    </row>
    <row r="76" spans="1:22">
      <c r="A76">
        <v>62</v>
      </c>
      <c r="B76" t="s">
        <v>70</v>
      </c>
      <c r="C76" s="14" t="s">
        <v>71</v>
      </c>
      <c r="D76" s="14" t="s">
        <v>68</v>
      </c>
      <c r="E76" s="117" t="str">
        <f t="shared" si="14"/>
        <v>k8s-trust</v>
      </c>
      <c r="F76" s="117" t="str">
        <f t="shared" si="15"/>
        <v>dmz</v>
      </c>
      <c r="G76" s="21">
        <v>31016</v>
      </c>
      <c r="H76" s="21">
        <v>32016</v>
      </c>
      <c r="I76" t="s">
        <v>17</v>
      </c>
      <c r="J76" t="s">
        <v>115</v>
      </c>
      <c r="L76" t="s">
        <v>93</v>
      </c>
      <c r="O76" t="s">
        <v>93</v>
      </c>
      <c r="Q76" s="98"/>
      <c r="R76" t="s">
        <v>79</v>
      </c>
      <c r="S76" s="15" t="str">
        <f t="shared" si="12"/>
        <v>http://ltm810:8000/trust810/central_db_services_core</v>
      </c>
      <c r="T76" s="15" t="str">
        <f t="shared" si="13"/>
        <v>https://ltm810:8443/trust810/central_db_services_core</v>
      </c>
    </row>
    <row r="77" spans="1:22">
      <c r="A77">
        <v>63</v>
      </c>
      <c r="B77" t="s">
        <v>46</v>
      </c>
      <c r="C77" t="s">
        <v>66</v>
      </c>
      <c r="D77" t="s">
        <v>68</v>
      </c>
      <c r="E77" s="117" t="str">
        <f t="shared" si="14"/>
        <v>k8s-trust</v>
      </c>
      <c r="F77" s="117" t="str">
        <f t="shared" si="15"/>
        <v>dmz</v>
      </c>
      <c r="G77" s="21">
        <v>31018</v>
      </c>
      <c r="H77" s="21">
        <v>32018</v>
      </c>
      <c r="I77" t="s">
        <v>19</v>
      </c>
      <c r="J77" t="s">
        <v>117</v>
      </c>
      <c r="L77" t="s">
        <v>93</v>
      </c>
      <c r="O77" t="s">
        <v>93</v>
      </c>
      <c r="Q77" s="98"/>
      <c r="R77" t="s">
        <v>79</v>
      </c>
      <c r="S77" s="15" t="str">
        <f t="shared" si="12"/>
        <v>http://ltm510:8000/trust510/central_db_services_ecms</v>
      </c>
      <c r="T77" s="15" t="str">
        <f t="shared" si="13"/>
        <v>https://ltm510:8443/trust510/central_db_services_ecms</v>
      </c>
    </row>
    <row r="78" spans="1:22" s="102" customFormat="1">
      <c r="A78" s="102">
        <v>107</v>
      </c>
      <c r="B78" s="102" t="s">
        <v>46</v>
      </c>
      <c r="C78" s="102" t="s">
        <v>66</v>
      </c>
      <c r="D78" s="102" t="s">
        <v>68</v>
      </c>
      <c r="E78" s="120" t="str">
        <f t="shared" si="14"/>
        <v>k8s-trust</v>
      </c>
      <c r="F78" s="120" t="str">
        <f t="shared" si="15"/>
        <v>dmz</v>
      </c>
      <c r="G78" s="112">
        <v>31219</v>
      </c>
      <c r="H78" s="112">
        <v>32219</v>
      </c>
      <c r="I78" s="102" t="s">
        <v>266</v>
      </c>
      <c r="J78" s="102" t="s">
        <v>267</v>
      </c>
      <c r="L78" s="102" t="s">
        <v>93</v>
      </c>
      <c r="O78" s="102" t="s">
        <v>93</v>
      </c>
      <c r="Q78" s="115"/>
      <c r="R78" s="102" t="s">
        <v>79</v>
      </c>
      <c r="S78" s="102" t="str">
        <f t="shared" si="12"/>
        <v>http://ltm510:8000/trust510/central_db_services_das</v>
      </c>
      <c r="T78" s="102" t="str">
        <f t="shared" si="13"/>
        <v>https://ltm510:8443/trust510/central_db_services_das</v>
      </c>
      <c r="U78" s="113"/>
      <c r="V78" s="113"/>
    </row>
    <row r="79" spans="1:22">
      <c r="A79">
        <v>64</v>
      </c>
      <c r="B79" t="s">
        <v>69</v>
      </c>
      <c r="C79" t="s">
        <v>66</v>
      </c>
      <c r="D79" s="14" t="s">
        <v>68</v>
      </c>
      <c r="E79" s="117" t="str">
        <f t="shared" si="14"/>
        <v>k8s-trust</v>
      </c>
      <c r="F79" s="117" t="str">
        <f t="shared" si="15"/>
        <v>dmz</v>
      </c>
      <c r="G79" s="21">
        <v>31317</v>
      </c>
      <c r="H79" s="21">
        <v>32317</v>
      </c>
      <c r="I79" t="s">
        <v>185</v>
      </c>
      <c r="J79" t="s">
        <v>186</v>
      </c>
      <c r="L79" t="s">
        <v>93</v>
      </c>
      <c r="M79" t="s">
        <v>93</v>
      </c>
      <c r="O79" t="s">
        <v>93</v>
      </c>
      <c r="P79" t="s">
        <v>93</v>
      </c>
      <c r="Q79" s="98"/>
      <c r="R79" t="s">
        <v>79</v>
      </c>
      <c r="S79" s="15" t="str">
        <f t="shared" si="12"/>
        <v>http://ltm510:8000/trust510/conf_setting</v>
      </c>
      <c r="T79" s="15" t="str">
        <f t="shared" si="13"/>
        <v>https://ltm510:8443/trust510/conf_setting</v>
      </c>
    </row>
    <row r="80" spans="1:22">
      <c r="A80">
        <v>65</v>
      </c>
      <c r="B80" t="s">
        <v>46</v>
      </c>
      <c r="C80" t="s">
        <v>66</v>
      </c>
      <c r="D80" s="14" t="s">
        <v>68</v>
      </c>
      <c r="E80" s="117" t="str">
        <f t="shared" si="14"/>
        <v>k8s-trust</v>
      </c>
      <c r="F80" s="117" t="str">
        <f t="shared" si="15"/>
        <v>dmz</v>
      </c>
      <c r="G80" s="21" t="s">
        <v>119</v>
      </c>
      <c r="H80" s="21" t="s">
        <v>119</v>
      </c>
      <c r="I80" t="s">
        <v>58</v>
      </c>
      <c r="J80" t="s">
        <v>139</v>
      </c>
      <c r="O80" t="s">
        <v>93</v>
      </c>
      <c r="Q80" s="99" t="s">
        <v>136</v>
      </c>
      <c r="R80" s="10" t="s">
        <v>80</v>
      </c>
      <c r="S80" s="15" t="str">
        <f t="shared" si="12"/>
        <v/>
      </c>
      <c r="T80" s="15" t="str">
        <f t="shared" si="13"/>
        <v/>
      </c>
    </row>
    <row r="81" spans="1:22">
      <c r="A81">
        <v>66</v>
      </c>
      <c r="B81" t="s">
        <v>46</v>
      </c>
      <c r="C81" t="s">
        <v>66</v>
      </c>
      <c r="D81" s="14" t="s">
        <v>68</v>
      </c>
      <c r="E81" s="117" t="str">
        <f t="shared" si="14"/>
        <v>k8s-trust</v>
      </c>
      <c r="F81" s="117" t="str">
        <f t="shared" si="15"/>
        <v>dmz</v>
      </c>
      <c r="G81" s="21" t="s">
        <v>119</v>
      </c>
      <c r="H81" s="21" t="s">
        <v>119</v>
      </c>
      <c r="I81" t="s">
        <v>60</v>
      </c>
      <c r="J81" t="s">
        <v>141</v>
      </c>
      <c r="O81" t="s">
        <v>93</v>
      </c>
      <c r="Q81" s="99" t="s">
        <v>246</v>
      </c>
      <c r="R81" s="10" t="s">
        <v>80</v>
      </c>
      <c r="S81" s="15" t="str">
        <f t="shared" si="12"/>
        <v/>
      </c>
      <c r="T81" s="15" t="str">
        <f t="shared" si="13"/>
        <v/>
      </c>
    </row>
    <row r="82" spans="1:22">
      <c r="A82">
        <v>67</v>
      </c>
      <c r="B82" t="s">
        <v>46</v>
      </c>
      <c r="C82" t="s">
        <v>66</v>
      </c>
      <c r="D82" s="14" t="s">
        <v>68</v>
      </c>
      <c r="E82" s="117" t="str">
        <f t="shared" si="14"/>
        <v>k8s-trust</v>
      </c>
      <c r="F82" s="117" t="str">
        <f t="shared" si="15"/>
        <v>dmz</v>
      </c>
      <c r="G82" s="21" t="s">
        <v>119</v>
      </c>
      <c r="H82" s="21" t="s">
        <v>119</v>
      </c>
      <c r="I82" t="s">
        <v>59</v>
      </c>
      <c r="J82" t="s">
        <v>140</v>
      </c>
      <c r="O82" t="s">
        <v>93</v>
      </c>
      <c r="Q82" s="99" t="s">
        <v>136</v>
      </c>
      <c r="R82" s="10" t="s">
        <v>80</v>
      </c>
      <c r="S82" s="15" t="str">
        <f t="shared" si="12"/>
        <v/>
      </c>
      <c r="T82" s="15" t="str">
        <f t="shared" si="13"/>
        <v/>
      </c>
    </row>
    <row r="83" spans="1:22" s="102" customFormat="1">
      <c r="A83" s="102">
        <v>108</v>
      </c>
      <c r="B83" s="102" t="s">
        <v>46</v>
      </c>
      <c r="C83" s="102" t="s">
        <v>66</v>
      </c>
      <c r="D83" s="102" t="s">
        <v>68</v>
      </c>
      <c r="E83" s="120" t="str">
        <f t="shared" si="14"/>
        <v>k8s-trust</v>
      </c>
      <c r="F83" s="120" t="str">
        <f t="shared" si="15"/>
        <v>dmz</v>
      </c>
      <c r="G83" s="112">
        <v>31218</v>
      </c>
      <c r="H83" s="112">
        <v>32218</v>
      </c>
      <c r="I83" s="102" t="s">
        <v>260</v>
      </c>
      <c r="J83" s="102" t="s">
        <v>138</v>
      </c>
      <c r="L83" s="102" t="s">
        <v>93</v>
      </c>
      <c r="M83" s="102" t="s">
        <v>93</v>
      </c>
      <c r="O83" s="102" t="s">
        <v>93</v>
      </c>
      <c r="P83" s="102" t="s">
        <v>93</v>
      </c>
      <c r="Q83" s="115" t="s">
        <v>247</v>
      </c>
      <c r="R83" s="102" t="s">
        <v>79</v>
      </c>
      <c r="S83" s="102" t="str">
        <f t="shared" si="12"/>
        <v>http://ltm510:8000/trust510/das_evid_api</v>
      </c>
      <c r="T83" s="102" t="str">
        <f t="shared" si="13"/>
        <v>https://ltm510:8443/trust510/das_evid_api</v>
      </c>
      <c r="U83" s="113"/>
      <c r="V83" s="113"/>
    </row>
    <row r="84" spans="1:22">
      <c r="A84">
        <v>68</v>
      </c>
      <c r="B84" t="s">
        <v>46</v>
      </c>
      <c r="C84" t="s">
        <v>66</v>
      </c>
      <c r="D84" t="s">
        <v>68</v>
      </c>
      <c r="E84" s="117" t="str">
        <f t="shared" si="14"/>
        <v>k8s-trust</v>
      </c>
      <c r="F84" s="117" t="str">
        <f t="shared" si="15"/>
        <v>dmz</v>
      </c>
      <c r="G84" s="21">
        <v>31014</v>
      </c>
      <c r="H84" s="21">
        <v>32014</v>
      </c>
      <c r="I84" t="s">
        <v>15</v>
      </c>
      <c r="J84" t="s">
        <v>113</v>
      </c>
      <c r="M84" t="s">
        <v>93</v>
      </c>
      <c r="O84" t="s">
        <v>93</v>
      </c>
      <c r="P84" t="s">
        <v>93</v>
      </c>
      <c r="Q84" s="98" t="s">
        <v>247</v>
      </c>
      <c r="R84" t="s">
        <v>79</v>
      </c>
      <c r="S84" s="15" t="str">
        <f t="shared" si="12"/>
        <v>http://ltm510:8000/trust510/ecms_api</v>
      </c>
      <c r="T84" s="15" t="str">
        <f t="shared" si="13"/>
        <v>https://ltm510:8443/trust510/ecms_api</v>
      </c>
    </row>
    <row r="85" spans="1:22">
      <c r="A85">
        <v>69</v>
      </c>
      <c r="B85" t="s">
        <v>46</v>
      </c>
      <c r="C85" t="s">
        <v>66</v>
      </c>
      <c r="D85" t="s">
        <v>68</v>
      </c>
      <c r="E85" s="117" t="str">
        <f t="shared" si="14"/>
        <v>k8s-trust</v>
      </c>
      <c r="F85" s="117" t="str">
        <f t="shared" si="15"/>
        <v>dmz</v>
      </c>
      <c r="G85" s="21">
        <v>31024</v>
      </c>
      <c r="H85" s="21" t="s">
        <v>119</v>
      </c>
      <c r="I85" t="s">
        <v>24</v>
      </c>
      <c r="J85" t="s">
        <v>120</v>
      </c>
      <c r="L85" t="s">
        <v>93</v>
      </c>
      <c r="O85" t="s">
        <v>93</v>
      </c>
      <c r="Q85" s="98" t="s">
        <v>247</v>
      </c>
      <c r="R85" t="s">
        <v>79</v>
      </c>
      <c r="S85" s="15" t="str">
        <f t="shared" si="12"/>
        <v>http://ltm510:8000/trust510/secondocr_webapi</v>
      </c>
      <c r="T85" s="15" t="str">
        <f t="shared" si="13"/>
        <v>https://ltm510:8443/trust510/secondocr_webapi</v>
      </c>
    </row>
    <row r="86" spans="1:22">
      <c r="A86">
        <v>70</v>
      </c>
      <c r="B86" t="s">
        <v>70</v>
      </c>
      <c r="C86" t="s">
        <v>71</v>
      </c>
      <c r="D86" s="14" t="s">
        <v>68</v>
      </c>
      <c r="E86" s="117" t="str">
        <f t="shared" si="14"/>
        <v>k8s-trust</v>
      </c>
      <c r="F86" s="117" t="str">
        <f t="shared" si="15"/>
        <v>dmz</v>
      </c>
      <c r="G86" s="21">
        <v>31318</v>
      </c>
      <c r="H86" s="21">
        <v>32318</v>
      </c>
      <c r="I86" t="s">
        <v>554</v>
      </c>
      <c r="J86" t="s">
        <v>189</v>
      </c>
      <c r="L86" t="s">
        <v>93</v>
      </c>
      <c r="M86" t="s">
        <v>93</v>
      </c>
      <c r="O86" t="s">
        <v>93</v>
      </c>
      <c r="P86" t="s">
        <v>93</v>
      </c>
      <c r="Q86" s="98"/>
      <c r="R86" t="s">
        <v>79</v>
      </c>
      <c r="S86" s="15" t="str">
        <f t="shared" si="12"/>
        <v>http://ltm810:8000/trust810/statement_api</v>
      </c>
      <c r="T86" s="15" t="str">
        <f t="shared" si="13"/>
        <v>https://ltm810:8443/trust810/statement_api</v>
      </c>
    </row>
    <row r="87" spans="1:22">
      <c r="A87">
        <v>71</v>
      </c>
      <c r="B87" t="s">
        <v>69</v>
      </c>
      <c r="C87" t="s">
        <v>66</v>
      </c>
      <c r="D87" s="14" t="s">
        <v>68</v>
      </c>
      <c r="E87" s="117" t="str">
        <f t="shared" si="14"/>
        <v>k8s-trust</v>
      </c>
      <c r="F87" s="117" t="str">
        <f t="shared" si="15"/>
        <v>dmz</v>
      </c>
      <c r="G87" s="21">
        <v>31319</v>
      </c>
      <c r="H87" s="21">
        <v>32319</v>
      </c>
      <c r="I87" t="s">
        <v>188</v>
      </c>
      <c r="J87" t="s">
        <v>190</v>
      </c>
      <c r="L87" t="s">
        <v>93</v>
      </c>
      <c r="M87" t="s">
        <v>93</v>
      </c>
      <c r="O87" t="s">
        <v>93</v>
      </c>
      <c r="P87" t="s">
        <v>93</v>
      </c>
      <c r="Q87" s="98"/>
      <c r="R87" t="s">
        <v>79</v>
      </c>
      <c r="S87" s="15" t="str">
        <f t="shared" si="12"/>
        <v>http://ltm510:8000/trust510/toll_cal_setting</v>
      </c>
      <c r="T87" s="15" t="str">
        <f t="shared" si="13"/>
        <v>https://ltm510:8443/trust510/toll_cal_setting</v>
      </c>
    </row>
    <row r="88" spans="1:22">
      <c r="A88">
        <v>72</v>
      </c>
      <c r="B88" t="s">
        <v>198</v>
      </c>
      <c r="C88" t="s">
        <v>43</v>
      </c>
      <c r="D88" s="14" t="s">
        <v>68</v>
      </c>
      <c r="E88" s="117" t="str">
        <f>"toms-"&amp;D88</f>
        <v>toms-trust</v>
      </c>
      <c r="F88" s="117" t="str">
        <f t="shared" si="15"/>
        <v>dmz</v>
      </c>
      <c r="G88" s="21">
        <v>31001</v>
      </c>
      <c r="H88" s="21">
        <v>32001</v>
      </c>
      <c r="I88" t="s">
        <v>73</v>
      </c>
      <c r="J88" t="s">
        <v>192</v>
      </c>
      <c r="M88" t="s">
        <v>93</v>
      </c>
      <c r="P88" t="s">
        <v>93</v>
      </c>
      <c r="Q88" s="98"/>
      <c r="R88" t="s">
        <v>79</v>
      </c>
      <c r="S88" s="97" t="str">
        <f t="shared" si="12"/>
        <v>http://ltm511:8000/trust511/toms_api</v>
      </c>
      <c r="T88" s="97" t="str">
        <f t="shared" si="13"/>
        <v>https://ltm511:8443/trust511/toms_api</v>
      </c>
    </row>
    <row r="89" spans="1:22">
      <c r="A89">
        <v>73</v>
      </c>
      <c r="B89" t="s">
        <v>45</v>
      </c>
      <c r="C89" t="s">
        <v>43</v>
      </c>
      <c r="D89" s="14" t="s">
        <v>68</v>
      </c>
      <c r="E89" s="117" t="str">
        <f>"toms-"&amp;D89</f>
        <v>toms-trust</v>
      </c>
      <c r="F89" s="117" t="str">
        <f t="shared" si="15"/>
        <v>dmz</v>
      </c>
      <c r="G89" s="21">
        <v>31004</v>
      </c>
      <c r="H89" s="21">
        <v>32004</v>
      </c>
      <c r="I89" t="s">
        <v>75</v>
      </c>
      <c r="J89" t="s">
        <v>193</v>
      </c>
      <c r="L89" t="s">
        <v>93</v>
      </c>
      <c r="M89" t="s">
        <v>93</v>
      </c>
      <c r="O89" t="s">
        <v>93</v>
      </c>
      <c r="P89" t="s">
        <v>93</v>
      </c>
      <c r="Q89" s="98"/>
      <c r="R89" t="s">
        <v>79</v>
      </c>
      <c r="S89" s="97" t="str">
        <f t="shared" si="12"/>
        <v>http://ltm511:8000/trust511/toms_auth_api</v>
      </c>
      <c r="T89" s="97" t="str">
        <f t="shared" si="13"/>
        <v>https://ltm511:8443/trust511/toms_auth_api</v>
      </c>
    </row>
    <row r="90" spans="1:22">
      <c r="A90">
        <v>74</v>
      </c>
      <c r="B90" t="s">
        <v>46</v>
      </c>
      <c r="C90" t="s">
        <v>66</v>
      </c>
      <c r="D90" t="s">
        <v>68</v>
      </c>
      <c r="E90" s="117" t="str">
        <f>"k8s-"&amp;D90</f>
        <v>k8s-trust</v>
      </c>
      <c r="F90" s="117" t="str">
        <f t="shared" si="15"/>
        <v>dmz</v>
      </c>
      <c r="G90" s="21">
        <v>31021</v>
      </c>
      <c r="H90" s="21">
        <v>32021</v>
      </c>
      <c r="I90" t="s">
        <v>21</v>
      </c>
      <c r="J90" t="s">
        <v>118</v>
      </c>
      <c r="L90" t="s">
        <v>93</v>
      </c>
      <c r="O90" t="s">
        <v>93</v>
      </c>
      <c r="Q90" s="98" t="s">
        <v>247</v>
      </c>
      <c r="R90" t="s">
        <v>79</v>
      </c>
      <c r="S90" s="15" t="str">
        <f t="shared" si="12"/>
        <v>http://ltm510:8000/trust510/tx_validation</v>
      </c>
      <c r="T90" s="15" t="str">
        <f t="shared" si="13"/>
        <v>https://ltm510:8443/trust510/tx_validation</v>
      </c>
    </row>
    <row r="91" spans="1:22" s="102" customFormat="1">
      <c r="A91" s="102">
        <v>109</v>
      </c>
      <c r="B91" s="102" t="s">
        <v>46</v>
      </c>
      <c r="C91" s="102" t="s">
        <v>66</v>
      </c>
      <c r="D91" s="102" t="s">
        <v>68</v>
      </c>
      <c r="E91" s="120" t="str">
        <f>"k8s-"&amp;D91</f>
        <v>k8s-trust</v>
      </c>
      <c r="F91" s="120" t="str">
        <f t="shared" si="15"/>
        <v>dmz</v>
      </c>
      <c r="G91" s="112">
        <v>31216</v>
      </c>
      <c r="H91" s="112">
        <v>32216</v>
      </c>
      <c r="I91" s="102" t="s">
        <v>262</v>
      </c>
      <c r="J91" s="102" t="s">
        <v>268</v>
      </c>
      <c r="L91" s="102" t="s">
        <v>93</v>
      </c>
      <c r="M91" s="102" t="s">
        <v>93</v>
      </c>
      <c r="O91" s="102" t="s">
        <v>93</v>
      </c>
      <c r="Q91" s="115"/>
      <c r="R91" s="102" t="s">
        <v>79</v>
      </c>
      <c r="S91" s="102" t="str">
        <f t="shared" si="12"/>
        <v>http://ltm510:8000/trust510/validv_api</v>
      </c>
      <c r="T91" s="102" t="str">
        <f t="shared" si="13"/>
        <v>https://ltm510:8443/trust510/validv_api</v>
      </c>
      <c r="U91" s="113"/>
      <c r="V91" s="113"/>
    </row>
    <row r="92" spans="1:22" s="102" customFormat="1">
      <c r="A92" s="102">
        <v>110</v>
      </c>
      <c r="B92" s="102" t="s">
        <v>46</v>
      </c>
      <c r="C92" s="102" t="s">
        <v>66</v>
      </c>
      <c r="D92" s="102" t="s">
        <v>68</v>
      </c>
      <c r="E92" s="120" t="str">
        <f>"k8s-"&amp;D92</f>
        <v>k8s-trust</v>
      </c>
      <c r="F92" s="120" t="str">
        <f t="shared" si="15"/>
        <v>dmz</v>
      </c>
      <c r="G92" s="112">
        <v>31023</v>
      </c>
      <c r="H92" s="112">
        <v>32023</v>
      </c>
      <c r="I92" s="102" t="s">
        <v>23</v>
      </c>
      <c r="J92" s="102" t="s">
        <v>269</v>
      </c>
      <c r="L92" s="102" t="s">
        <v>93</v>
      </c>
      <c r="M92" s="102" t="s">
        <v>93</v>
      </c>
      <c r="O92" s="102" t="s">
        <v>93</v>
      </c>
      <c r="Q92" s="115"/>
      <c r="R92" s="102" t="s">
        <v>79</v>
      </c>
      <c r="S92" s="102" t="str">
        <f t="shared" si="12"/>
        <v>http://ltm510:8000/trust510/vrm_verification</v>
      </c>
      <c r="T92" s="102" t="str">
        <f t="shared" si="13"/>
        <v>https://ltm510:8443/trust510/vrm_verification</v>
      </c>
      <c r="U92" s="113"/>
      <c r="V92" s="113"/>
    </row>
    <row r="93" spans="1:22" s="89" customFormat="1">
      <c r="A93" s="89" t="s">
        <v>180</v>
      </c>
      <c r="B93" s="89" t="s">
        <v>46</v>
      </c>
      <c r="C93" s="89" t="s">
        <v>66</v>
      </c>
      <c r="D93" s="89" t="s">
        <v>68</v>
      </c>
      <c r="E93" s="117" t="str">
        <f>"k8s-"&amp;D93</f>
        <v>k8s-trust</v>
      </c>
      <c r="F93" s="117" t="str">
        <f t="shared" si="15"/>
        <v>dmz</v>
      </c>
      <c r="G93" s="90">
        <v>31020</v>
      </c>
      <c r="H93" s="90">
        <v>32020</v>
      </c>
      <c r="I93" s="89" t="s">
        <v>20</v>
      </c>
      <c r="J93" s="89" t="s">
        <v>135</v>
      </c>
      <c r="R93" s="89" t="s">
        <v>79</v>
      </c>
      <c r="S93" s="91" t="str">
        <f>IF(D93="dmz",IF(ISNUMBER(FIND("api",L93)),"http://trust-kong:8000/dmz/"&amp;I93,""),IF(ISNUMBER(FIND("api",M93)),"http://dmz-kong:8000/trust/"&amp;I93,""))</f>
        <v/>
      </c>
      <c r="T93" s="91" t="str">
        <f>IF(D93="dmz",IF(ISNUMBER(FIND("api",L93)),"httpss://trust-kong:8443/dmz/"&amp;I93,""),IF(ISNUMBER(FIND("api",M93)),"httpss://dmz-kong:8443/trust/"&amp;I93,""))</f>
        <v/>
      </c>
      <c r="U93" s="96"/>
      <c r="V93" s="96"/>
    </row>
    <row r="94" spans="1:22" s="89" customFormat="1">
      <c r="A94" s="89" t="s">
        <v>180</v>
      </c>
      <c r="B94" s="89" t="s">
        <v>46</v>
      </c>
      <c r="C94" s="89" t="s">
        <v>66</v>
      </c>
      <c r="D94" s="89" t="s">
        <v>68</v>
      </c>
      <c r="E94" s="117" t="str">
        <f>"k8s-"&amp;D94</f>
        <v>k8s-trust</v>
      </c>
      <c r="F94" s="117" t="str">
        <f t="shared" si="15"/>
        <v>dmz</v>
      </c>
      <c r="G94" s="90">
        <v>31022</v>
      </c>
      <c r="H94" s="90">
        <v>32022</v>
      </c>
      <c r="I94" s="89" t="s">
        <v>22</v>
      </c>
      <c r="J94" s="89" t="s">
        <v>135</v>
      </c>
      <c r="R94" s="89" t="s">
        <v>79</v>
      </c>
      <c r="S94" s="91" t="str">
        <f>IF(D94="dmz",IF(ISNUMBER(FIND("api",L94)),"http://trust-kong:8000/dmz/"&amp;I94,""),IF(ISNUMBER(FIND("api",M94)),"http://dmz-kong:8000/trust/"&amp;I94,""))</f>
        <v/>
      </c>
      <c r="T94" s="91" t="str">
        <f>IF(D94="dmz",IF(ISNUMBER(FIND("api",L94)),"httpss://trust-kong:8443/dmz/"&amp;I94,""),IF(ISNUMBER(FIND("api",M94)),"httpss://dmz-kong:8443/trust/"&amp;I94,""))</f>
        <v/>
      </c>
      <c r="U94" s="96"/>
      <c r="V94" s="96"/>
    </row>
    <row r="95" spans="1:22">
      <c r="A95">
        <v>120</v>
      </c>
      <c r="B95" t="s">
        <v>46</v>
      </c>
      <c r="C95" t="s">
        <v>66</v>
      </c>
      <c r="D95" t="s">
        <v>68</v>
      </c>
      <c r="G95" s="128">
        <v>31220</v>
      </c>
      <c r="H95" s="128">
        <v>32220</v>
      </c>
      <c r="I95" t="s">
        <v>404</v>
      </c>
      <c r="J95" t="s">
        <v>404</v>
      </c>
      <c r="L95" s="102" t="s">
        <v>93</v>
      </c>
      <c r="M95" s="102" t="s">
        <v>93</v>
      </c>
      <c r="O95" t="s">
        <v>93</v>
      </c>
      <c r="P95" t="s">
        <v>93</v>
      </c>
      <c r="R95" t="s">
        <v>79</v>
      </c>
      <c r="S95" s="102" t="str">
        <f>IF(LEN(B95)&gt;0,IF(ISNUMBER(FIND("api",CONCATENATE(L95,M95))),CONCATENATE("http://ltm",MID(B95,2,15),":8000/",D95,MID(B95,2,15),"/",$I95),""),"")</f>
        <v>http://ltm510:8000/trust510/s3_api</v>
      </c>
    </row>
    <row r="96" spans="1:22" s="104" customFormat="1">
      <c r="A96" s="104">
        <v>121</v>
      </c>
      <c r="B96" s="104" t="s">
        <v>65</v>
      </c>
      <c r="C96" s="104" t="s">
        <v>63</v>
      </c>
      <c r="D96" s="104" t="s">
        <v>67</v>
      </c>
      <c r="E96" s="119" t="str">
        <f t="shared" ref="E96:E97" si="16">"k8s-"&amp;D96</f>
        <v>k8s-dmz</v>
      </c>
      <c r="F96" s="119" t="str">
        <f t="shared" ref="F96:F97" si="17">IF(D96="dmz","trust","dmz")</f>
        <v>trust</v>
      </c>
      <c r="G96" s="128">
        <v>31050</v>
      </c>
      <c r="H96" s="128">
        <v>32050</v>
      </c>
      <c r="I96" s="104" t="s">
        <v>405</v>
      </c>
      <c r="J96" s="104" t="s">
        <v>174</v>
      </c>
      <c r="K96" s="104" t="s">
        <v>156</v>
      </c>
      <c r="L96" s="104" t="s">
        <v>93</v>
      </c>
      <c r="M96" s="104" t="s">
        <v>93</v>
      </c>
      <c r="O96" s="104" t="s">
        <v>93</v>
      </c>
      <c r="P96" s="104" t="s">
        <v>93</v>
      </c>
      <c r="R96" s="104" t="s">
        <v>79</v>
      </c>
      <c r="S96" s="95" t="str">
        <f>IF(LEN(B96)&gt;0,IF(ISNUMBER(FIND("api",CONCATENATE(L96,M96))),CONCATENATE("http://ltm",MID(B96,2,15),":8000/",D96,MID(B96,2,15),"/",$I96),""),"")</f>
        <v>http://ltm504:8000/dmz504/bes_wmm2</v>
      </c>
      <c r="T96" s="95" t="str">
        <f t="shared" ref="T96:T97" si="18">IF(LEN(B96)&gt;0,IF(ISNUMBER(FIND("api",CONCATENATE(L96,M96))),CONCATENATE("https://ltm",MID(B96,2,15),":8443/",D96,MID(B96,2,15),"/",$I96),""),"")</f>
        <v>https://ltm504:8443/dmz504/bes_wmm2</v>
      </c>
      <c r="U96" s="95" t="str">
        <f t="shared" ref="U96:U97" si="19">IF(D96="dmz",IF(ISNUMBER(FIND("api",K96)),CONCATENATE("http://",B96,".bes_ext_api:8000/",D96,MID(B96,2,15),"/",I96,""),""),"")</f>
        <v>http://v504.bes_ext_api:8000/dmz504/bes_wmm2</v>
      </c>
      <c r="V96" s="95" t="str">
        <f t="shared" ref="V96:V97" si="20">IF(D96="dmz",IF(ISNUMBER(FIND("api",K96)),CONCATENATE("https://",B96,".bes_ext_api:8443/",D96,MID(B96,2,15),"/",I96,""),""),"")</f>
        <v>https://v504.bes_ext_api:8443/dmz504/bes_wmm2</v>
      </c>
    </row>
    <row r="97" spans="1:23" s="104" customFormat="1">
      <c r="A97" s="104">
        <v>122</v>
      </c>
      <c r="B97" s="104" t="s">
        <v>159</v>
      </c>
      <c r="C97" s="104" t="s">
        <v>158</v>
      </c>
      <c r="D97" s="104" t="s">
        <v>67</v>
      </c>
      <c r="E97" s="119" t="str">
        <f t="shared" si="16"/>
        <v>k8s-dmz</v>
      </c>
      <c r="F97" s="119" t="str">
        <f t="shared" si="17"/>
        <v>trust</v>
      </c>
      <c r="G97" s="128">
        <v>31050</v>
      </c>
      <c r="H97" s="128">
        <v>32050</v>
      </c>
      <c r="I97" s="104" t="s">
        <v>405</v>
      </c>
      <c r="J97" s="104" t="s">
        <v>174</v>
      </c>
      <c r="K97" s="104" t="s">
        <v>156</v>
      </c>
      <c r="L97" s="104" t="s">
        <v>93</v>
      </c>
      <c r="M97" s="104" t="s">
        <v>93</v>
      </c>
      <c r="O97" s="104" t="s">
        <v>93</v>
      </c>
      <c r="P97" s="104" t="s">
        <v>93</v>
      </c>
      <c r="R97" s="104" t="s">
        <v>79</v>
      </c>
      <c r="S97" s="95" t="str">
        <f t="shared" ref="S97" si="21">IF(LEN(B97)&gt;0,IF(ISNUMBER(FIND("api",CONCATENATE(L97,M97))),CONCATENATE("http://ltm",MID(B97,2,15),":8000/",D97,MID(B97,2,15),"/",$I97),""),"")</f>
        <v>http://ltm804:8000/dmz804/bes_wmm2</v>
      </c>
      <c r="T97" s="95" t="str">
        <f t="shared" si="18"/>
        <v>https://ltm804:8443/dmz804/bes_wmm2</v>
      </c>
      <c r="U97" s="95" t="str">
        <f t="shared" si="19"/>
        <v>http://v804.bes_ext_api:8000/dmz804/bes_wmm2</v>
      </c>
      <c r="V97" s="95" t="str">
        <f t="shared" si="20"/>
        <v>https://v804.bes_ext_api:8443/dmz804/bes_wmm2</v>
      </c>
    </row>
    <row r="98" spans="1:23">
      <c r="A98" s="104">
        <v>136</v>
      </c>
      <c r="B98" s="104" t="s">
        <v>65</v>
      </c>
      <c r="C98" s="104" t="s">
        <v>63</v>
      </c>
      <c r="D98" s="104" t="s">
        <v>67</v>
      </c>
      <c r="E98" s="119"/>
      <c r="F98" s="119"/>
      <c r="G98" s="105">
        <v>31082</v>
      </c>
      <c r="H98" s="105">
        <v>32082</v>
      </c>
      <c r="I98" s="104" t="s">
        <v>418</v>
      </c>
      <c r="J98" s="104" t="s">
        <v>169</v>
      </c>
      <c r="K98" s="106" t="s">
        <v>126</v>
      </c>
      <c r="L98" s="104" t="s">
        <v>93</v>
      </c>
      <c r="M98" s="104"/>
      <c r="N98" s="104" t="s">
        <v>176</v>
      </c>
      <c r="O98" s="104" t="s">
        <v>93</v>
      </c>
      <c r="P98" s="104"/>
      <c r="Q98" s="104"/>
      <c r="R98" s="104" t="s">
        <v>79</v>
      </c>
      <c r="S98" s="95" t="str">
        <f t="shared" ref="S98:S104" si="22">IF(LEN(B98)&gt;0,IF(ISNUMBER(FIND("api",CONCATENATE(L98,M98))),CONCATENATE("http://ltm",MID(B98,2,15),":8000/",D98,MID(B98,2,15),"/",$I98),""),"")</f>
        <v>http://ltm504:8000/dmz504/bes_ttis</v>
      </c>
      <c r="T98" s="95" t="str">
        <f t="shared" ref="T98:T104" si="23">IF(LEN(B98)&gt;0,IF(ISNUMBER(FIND("api",CONCATENATE(L98,M98))),CONCATENATE("https://ltm",MID(B98,2,15),":8443/",D98,MID(B98,2,15),"/",$I98),""),"")</f>
        <v>https://ltm504:8443/dmz504/bes_ttis</v>
      </c>
      <c r="U98" s="95" t="str">
        <f t="shared" ref="U98" si="24">IF(D98="dmz",IF(ISNUMBER(FIND("api",K98)),CONCATENATE("http://",B98,".bes_ext_api:8000/",D98,MID(B98,2,15),"/",I98,""),""),"")</f>
        <v>http://v504.bes_ext_api:8000/dmz504/bes_ttis</v>
      </c>
      <c r="V98" s="95" t="str">
        <f t="shared" ref="V98" si="25">IF(D98="dmz",IF(ISNUMBER(FIND("api",K98)),CONCATENATE("https://",B98,".bes_ext_api:8443/",D98,MID(B98,2,15),"/",I98,""),""),"")</f>
        <v>https://v504.bes_ext_api:8443/dmz504/bes_ttis</v>
      </c>
      <c r="W98" s="104"/>
    </row>
    <row r="99" spans="1:23">
      <c r="A99" s="104">
        <v>139</v>
      </c>
      <c r="B99" s="104" t="s">
        <v>463</v>
      </c>
      <c r="C99" s="104" t="s">
        <v>63</v>
      </c>
      <c r="D99" s="104" t="s">
        <v>67</v>
      </c>
      <c r="G99" s="21">
        <v>31032</v>
      </c>
      <c r="H99" s="21">
        <v>32032</v>
      </c>
      <c r="I99" t="s">
        <v>462</v>
      </c>
      <c r="J99" t="s">
        <v>464</v>
      </c>
      <c r="K99" s="106" t="s">
        <v>126</v>
      </c>
      <c r="L99" s="104" t="s">
        <v>93</v>
      </c>
      <c r="M99" s="104" t="s">
        <v>93</v>
      </c>
      <c r="N99" s="104" t="s">
        <v>176</v>
      </c>
      <c r="O99" s="104" t="s">
        <v>93</v>
      </c>
      <c r="P99" s="104" t="s">
        <v>93</v>
      </c>
      <c r="R99" s="104" t="s">
        <v>79</v>
      </c>
      <c r="S99" s="95" t="str">
        <f t="shared" si="22"/>
        <v>http://ltm504:8000/dmz504/bes_tsp</v>
      </c>
      <c r="T99" s="95" t="str">
        <f t="shared" si="23"/>
        <v>https://ltm504:8443/dmz504/bes_tsp</v>
      </c>
    </row>
    <row r="100" spans="1:23">
      <c r="A100" s="104">
        <v>133</v>
      </c>
      <c r="B100" s="104" t="s">
        <v>407</v>
      </c>
      <c r="C100" s="104" t="s">
        <v>8</v>
      </c>
      <c r="D100" s="104" t="s">
        <v>67</v>
      </c>
      <c r="G100" s="21">
        <v>31052</v>
      </c>
      <c r="H100" s="21">
        <v>32052</v>
      </c>
      <c r="I100" s="104" t="s">
        <v>406</v>
      </c>
      <c r="L100" s="104" t="s">
        <v>93</v>
      </c>
      <c r="M100" s="104" t="s">
        <v>93</v>
      </c>
      <c r="O100" s="104" t="s">
        <v>93</v>
      </c>
      <c r="P100" s="104" t="s">
        <v>93</v>
      </c>
      <c r="R100" s="104" t="s">
        <v>79</v>
      </c>
      <c r="S100" s="95" t="str">
        <f t="shared" si="22"/>
        <v>http://ltm630:8000/dmz630/das_middleware_load_test</v>
      </c>
      <c r="T100" s="95" t="str">
        <f t="shared" si="23"/>
        <v>https://ltm630:8443/dmz630/das_middleware_load_test</v>
      </c>
      <c r="U100" s="95" t="str">
        <f>IF(D100="dmz",IF(ISNUMBER(FIND("api",K100)),CONCATENATE("http://",B100,".bes_ext_api:8000/",D100,MID(B100,2,15),"/",I100,""),""),"")</f>
        <v/>
      </c>
      <c r="V100" s="95" t="str">
        <f>IF(D100="dmz",IF(ISNUMBER(FIND("api",K100)),CONCATENATE("https://",B100,".bes_ext_api:8443/",D100,MID(B100,2,15),"/",I100,""),""),"")</f>
        <v/>
      </c>
    </row>
    <row r="101" spans="1:23">
      <c r="A101" s="104">
        <v>134</v>
      </c>
      <c r="B101" s="104" t="s">
        <v>360</v>
      </c>
      <c r="C101" s="104" t="s">
        <v>8</v>
      </c>
      <c r="D101" s="104" t="s">
        <v>67</v>
      </c>
      <c r="G101" s="21">
        <v>31053</v>
      </c>
      <c r="H101" s="21">
        <v>32053</v>
      </c>
      <c r="I101" s="104" t="s">
        <v>408</v>
      </c>
      <c r="L101" s="104" t="s">
        <v>93</v>
      </c>
      <c r="M101" s="104" t="s">
        <v>93</v>
      </c>
      <c r="O101" s="104" t="s">
        <v>93</v>
      </c>
      <c r="P101" s="104" t="s">
        <v>93</v>
      </c>
      <c r="R101" s="104" t="s">
        <v>79</v>
      </c>
      <c r="S101" s="95" t="str">
        <f t="shared" si="22"/>
        <v>http://ltm630:8000/dmz630/das_middleware_load_test_2</v>
      </c>
      <c r="T101" s="95" t="str">
        <f t="shared" si="23"/>
        <v>https://ltm630:8443/dmz630/das_middleware_load_test_2</v>
      </c>
      <c r="U101" s="95" t="str">
        <f>IF(D101="dmz",IF(ISNUMBER(FIND("api",K101)),CONCATENATE("http://",B101,".bes_ext_api:8000/",D101,MID(B101,2,15),"/",I101,""),""),"")</f>
        <v/>
      </c>
      <c r="V101" s="95" t="str">
        <f>IF(D101="dmz",IF(ISNUMBER(FIND("api",K101)),CONCATENATE("https://",B101,".bes_ext_api:8443/",D101,MID(B101,2,15),"/",I101,""),""),"")</f>
        <v/>
      </c>
    </row>
    <row r="102" spans="1:23">
      <c r="A102" s="104">
        <v>135</v>
      </c>
      <c r="B102" s="104" t="s">
        <v>360</v>
      </c>
      <c r="C102" s="104" t="s">
        <v>8</v>
      </c>
      <c r="D102" s="104" t="s">
        <v>67</v>
      </c>
      <c r="G102" s="21">
        <v>31054</v>
      </c>
      <c r="H102" s="21">
        <v>32054</v>
      </c>
      <c r="I102" s="104" t="s">
        <v>409</v>
      </c>
      <c r="L102" s="104" t="s">
        <v>93</v>
      </c>
      <c r="M102" s="104" t="s">
        <v>93</v>
      </c>
      <c r="O102" s="104" t="s">
        <v>93</v>
      </c>
      <c r="P102" s="104" t="s">
        <v>93</v>
      </c>
      <c r="R102" s="104" t="s">
        <v>79</v>
      </c>
      <c r="S102" s="95" t="str">
        <f t="shared" si="22"/>
        <v>http://ltm630:8000/dmz630/das_middleware_load_test_3</v>
      </c>
      <c r="T102" s="95" t="str">
        <f t="shared" si="23"/>
        <v>https://ltm630:8443/dmz630/das_middleware_load_test_3</v>
      </c>
      <c r="U102" s="95" t="str">
        <f>IF(D102="dmz",IF(ISNUMBER(FIND("api",K102)),CONCATENATE("http://",B102,".bes_ext_api:8000/",D102,MID(B102,2,15),"/",I102,""),""),"")</f>
        <v/>
      </c>
      <c r="V102" s="95" t="str">
        <f>IF(D102="dmz",IF(ISNUMBER(FIND("api",K102)),CONCATENATE("https://",B102,".bes_ext_api:8443/",D102,MID(B102,2,15),"/",I102,""),""),"")</f>
        <v/>
      </c>
    </row>
    <row r="103" spans="1:23">
      <c r="A103" s="104">
        <v>137</v>
      </c>
      <c r="B103" s="104" t="s">
        <v>360</v>
      </c>
      <c r="C103" s="104" t="s">
        <v>8</v>
      </c>
      <c r="D103" s="104" t="s">
        <v>67</v>
      </c>
      <c r="G103" s="21">
        <v>31055</v>
      </c>
      <c r="H103" s="21">
        <v>32055</v>
      </c>
      <c r="I103" s="104" t="s">
        <v>459</v>
      </c>
      <c r="L103" s="104" t="s">
        <v>93</v>
      </c>
      <c r="M103" s="104" t="s">
        <v>93</v>
      </c>
      <c r="O103" s="104" t="s">
        <v>93</v>
      </c>
      <c r="P103" s="104" t="s">
        <v>93</v>
      </c>
      <c r="R103" s="104" t="s">
        <v>79</v>
      </c>
      <c r="S103" s="95" t="str">
        <f t="shared" si="22"/>
        <v>http://ltm630:8000/dmz630/das_middleware_load_test_4</v>
      </c>
      <c r="T103" s="95" t="str">
        <f t="shared" si="23"/>
        <v>https://ltm630:8443/dmz630/das_middleware_load_test_4</v>
      </c>
      <c r="U103" s="95" t="str">
        <f t="shared" ref="U103" si="26">IF(D103="dmz",IF(ISNUMBER(FIND("api",K103)),CONCATENATE("http://",B103,".bes_ext_api:8000/",D103,MID(B103,2,15),"/",I103,""),""),"")</f>
        <v/>
      </c>
      <c r="V103" s="95" t="str">
        <f t="shared" ref="V103" si="27">IF(D103="dmz",IF(ISNUMBER(FIND("api",K103)),CONCATENATE("https://",B103,".bes_ext_api:8443/",D103,MID(B103,2,15),"/",I103,""),""),"")</f>
        <v/>
      </c>
    </row>
    <row r="104" spans="1:23">
      <c r="A104" s="104">
        <v>138</v>
      </c>
      <c r="B104" s="104" t="s">
        <v>360</v>
      </c>
      <c r="C104" s="104" t="s">
        <v>8</v>
      </c>
      <c r="D104" s="104" t="s">
        <v>67</v>
      </c>
      <c r="G104" s="21">
        <v>31056</v>
      </c>
      <c r="H104" s="21">
        <v>32056</v>
      </c>
      <c r="I104" s="104" t="s">
        <v>460</v>
      </c>
      <c r="L104" s="104" t="s">
        <v>93</v>
      </c>
      <c r="M104" s="104" t="s">
        <v>93</v>
      </c>
      <c r="O104" s="104" t="s">
        <v>93</v>
      </c>
      <c r="P104" s="104" t="s">
        <v>93</v>
      </c>
      <c r="R104" s="104" t="s">
        <v>79</v>
      </c>
      <c r="S104" s="95" t="str">
        <f t="shared" si="22"/>
        <v>http://ltm630:8000/dmz630/das_middleware_load_test_5</v>
      </c>
      <c r="T104" s="95" t="str">
        <f t="shared" si="23"/>
        <v>https://ltm630:8443/dmz630/das_middleware_load_test_5</v>
      </c>
      <c r="U104" s="95" t="str">
        <f t="shared" ref="U104" si="28">IF(D104="dmz",IF(ISNUMBER(FIND("api",K104)),CONCATENATE("http://",B104,".bes_ext_api:8000/",D104,MID(B104,2,15),"/",I104,""),""),"")</f>
        <v/>
      </c>
      <c r="V104" s="95" t="str">
        <f t="shared" ref="V104" si="29">IF(D104="dmz",IF(ISNUMBER(FIND("api",K104)),CONCATENATE("https://",B104,".bes_ext_api:8443/",D104,MID(B104,2,15),"/",I104,""),""),"")</f>
        <v/>
      </c>
    </row>
    <row r="105" spans="1:23">
      <c r="A105" s="104">
        <v>139</v>
      </c>
      <c r="B105" s="104" t="s">
        <v>360</v>
      </c>
      <c r="C105" s="104" t="s">
        <v>8</v>
      </c>
      <c r="D105" s="104" t="s">
        <v>67</v>
      </c>
      <c r="G105" s="21">
        <v>31114</v>
      </c>
      <c r="H105" s="21">
        <v>32114</v>
      </c>
      <c r="I105" s="104" t="s">
        <v>503</v>
      </c>
      <c r="L105" s="104" t="s">
        <v>93</v>
      </c>
      <c r="M105" s="104" t="s">
        <v>93</v>
      </c>
      <c r="O105" s="104" t="s">
        <v>93</v>
      </c>
      <c r="P105" s="104" t="s">
        <v>93</v>
      </c>
      <c r="R105" s="104" t="s">
        <v>79</v>
      </c>
      <c r="S105" s="95" t="str">
        <f t="shared" ref="S105" si="30">IF(LEN(B105)&gt;0,IF(ISNUMBER(FIND("api",CONCATENATE(L105,M105))),CONCATENATE("http://ltm",MID(B105,2,15),":8000/",D105,MID(B105,2,15),"/",$I105),""),"")</f>
        <v>http://ltm630:8000/dmz630/das_middleware_lrt</v>
      </c>
      <c r="T105" s="95" t="str">
        <f t="shared" ref="T105" si="31">IF(LEN(B105)&gt;0,IF(ISNUMBER(FIND("api",CONCATENATE(L105,M105))),CONCATENATE("https://ltm",MID(B105,2,15),":8443/",D105,MID(B105,2,15),"/",$I105),""),"")</f>
        <v>https://ltm630:8443/dmz630/das_middleware_lrt</v>
      </c>
      <c r="U105" s="95" t="str">
        <f t="shared" ref="U105" si="32">IF(D105="dmz",IF(ISNUMBER(FIND("api",K105)),CONCATENATE("http://",B105,".bes_ext_api:8000/",D105,MID(B105,2,15),"/",I105,""),""),"")</f>
        <v/>
      </c>
      <c r="V105" s="95" t="str">
        <f t="shared" ref="V105" si="33">IF(D105="dmz",IF(ISNUMBER(FIND("api",K105)),CONCATENATE("https://",B105,".bes_ext_api:8443/",D105,MID(B105,2,15),"/",I105,""),""),"")</f>
        <v/>
      </c>
    </row>
    <row r="106" spans="1:23">
      <c r="A106" s="104">
        <v>140</v>
      </c>
      <c r="B106" s="104" t="s">
        <v>546</v>
      </c>
      <c r="C106" s="104" t="s">
        <v>8</v>
      </c>
      <c r="D106" s="104" t="s">
        <v>67</v>
      </c>
      <c r="G106" s="21">
        <v>31115</v>
      </c>
      <c r="H106" s="21">
        <v>32115</v>
      </c>
      <c r="I106" s="104" t="s">
        <v>545</v>
      </c>
      <c r="L106" s="104" t="s">
        <v>93</v>
      </c>
      <c r="M106" s="104" t="s">
        <v>93</v>
      </c>
      <c r="O106" s="104" t="s">
        <v>93</v>
      </c>
      <c r="P106" s="104" t="s">
        <v>93</v>
      </c>
      <c r="R106" s="104" t="s">
        <v>79</v>
      </c>
      <c r="S106" s="95" t="str">
        <f t="shared" ref="S106" si="34">IF(LEN(B106)&gt;0,IF(ISNUMBER(FIND("api",CONCATENATE(L106,M106))),CONCATENATE("http://ltm",MID(B106,2,15),":8000/",D106,MID(B106,2,15),"/",$I106),""),"")</f>
        <v>http://ltm630:8000/dmz630/das_middleware_smt</v>
      </c>
      <c r="T106" s="95" t="str">
        <f t="shared" ref="T106" si="35">IF(LEN(B106)&gt;0,IF(ISNUMBER(FIND("api",CONCATENATE(L106,M106))),CONCATENATE("https://ltm",MID(B106,2,15),":8443/",D106,MID(B106,2,15),"/",$I106),""),"")</f>
        <v>https://ltm630:8443/dmz630/das_middleware_smt</v>
      </c>
      <c r="U106" s="95" t="str">
        <f t="shared" ref="U106" si="36">IF(D106="dmz",IF(ISNUMBER(FIND("api",K106)),CONCATENATE("http://",B106,".bes_ext_api:8000/",D106,MID(B106,2,15),"/",I106,""),""),"")</f>
        <v/>
      </c>
      <c r="V106" s="95" t="str">
        <f t="shared" ref="V106" si="37">IF(D106="dmz",IF(ISNUMBER(FIND("api",K106)),CONCATENATE("https://",B106,".bes_ext_api:8443/",D106,MID(B106,2,15),"/",I106,""),""),"")</f>
        <v/>
      </c>
    </row>
    <row r="107" spans="1:23">
      <c r="A107" s="104">
        <v>141</v>
      </c>
      <c r="B107" s="104" t="s">
        <v>360</v>
      </c>
      <c r="C107" s="104" t="s">
        <v>8</v>
      </c>
      <c r="D107" s="104" t="s">
        <v>67</v>
      </c>
      <c r="G107" s="21">
        <v>31124</v>
      </c>
      <c r="H107" s="21">
        <v>32124</v>
      </c>
      <c r="I107" s="104" t="s">
        <v>547</v>
      </c>
      <c r="L107" s="104" t="s">
        <v>93</v>
      </c>
      <c r="M107" s="104" t="s">
        <v>93</v>
      </c>
      <c r="O107" s="104" t="s">
        <v>93</v>
      </c>
      <c r="P107" s="104" t="s">
        <v>93</v>
      </c>
      <c r="R107" s="104" t="s">
        <v>79</v>
      </c>
      <c r="S107" s="95" t="str">
        <f t="shared" ref="S107:S108" si="38">IF(LEN(B107)&gt;0,IF(ISNUMBER(FIND("api",CONCATENATE(L107,M107))),CONCATENATE("http://ltm",MID(B107,2,15),":8000/",D107,MID(B107,2,15),"/",$I107),""),"")</f>
        <v>http://ltm630:8000/dmz630/das_middleware_lrt_video</v>
      </c>
      <c r="T107" s="95" t="str">
        <f t="shared" ref="T107:T108" si="39">IF(LEN(B107)&gt;0,IF(ISNUMBER(FIND("api",CONCATENATE(L107,M107))),CONCATENATE("https://ltm",MID(B107,2,15),":8443/",D107,MID(B107,2,15),"/",$I107),""),"")</f>
        <v>https://ltm630:8443/dmz630/das_middleware_lrt_video</v>
      </c>
      <c r="U107" s="95" t="str">
        <f t="shared" ref="U107:U108" si="40">IF(D107="dmz",IF(ISNUMBER(FIND("api",K107)),CONCATENATE("http://",B107,".bes_ext_api:8000/",D107,MID(B107,2,15),"/",I107,""),""),"")</f>
        <v/>
      </c>
      <c r="V107" s="95" t="str">
        <f t="shared" ref="V107:V108" si="41">IF(D107="dmz",IF(ISNUMBER(FIND("api",K107)),CONCATENATE("https://",B107,".bes_ext_api:8443/",D107,MID(B107,2,15),"/",I107,""),""),"")</f>
        <v/>
      </c>
    </row>
    <row r="108" spans="1:23">
      <c r="A108" s="104">
        <v>142</v>
      </c>
      <c r="B108" s="104" t="s">
        <v>360</v>
      </c>
      <c r="C108" s="104" t="s">
        <v>8</v>
      </c>
      <c r="D108" s="104" t="s">
        <v>67</v>
      </c>
      <c r="G108" s="21">
        <v>31125</v>
      </c>
      <c r="H108" s="21">
        <v>32125</v>
      </c>
      <c r="I108" s="104" t="s">
        <v>548</v>
      </c>
      <c r="L108" s="104" t="s">
        <v>93</v>
      </c>
      <c r="M108" s="104" t="s">
        <v>93</v>
      </c>
      <c r="O108" s="104" t="s">
        <v>93</v>
      </c>
      <c r="P108" s="104" t="s">
        <v>93</v>
      </c>
      <c r="R108" s="104" t="s">
        <v>79</v>
      </c>
      <c r="S108" s="95" t="str">
        <f t="shared" si="38"/>
        <v>http://ltm630:8000/dmz630/das_middleware_smt_video</v>
      </c>
      <c r="T108" s="95" t="str">
        <f t="shared" si="39"/>
        <v>https://ltm630:8443/dmz630/das_middleware_smt_video</v>
      </c>
      <c r="U108" s="95" t="str">
        <f t="shared" si="40"/>
        <v/>
      </c>
      <c r="V108" s="95" t="str">
        <f t="shared" si="41"/>
        <v/>
      </c>
    </row>
    <row r="109" spans="1:23" s="104" customFormat="1">
      <c r="A109" s="104">
        <v>143</v>
      </c>
      <c r="B109" s="104" t="s">
        <v>552</v>
      </c>
      <c r="C109" s="104" t="s">
        <v>8</v>
      </c>
      <c r="D109" s="104" t="s">
        <v>67</v>
      </c>
      <c r="E109" s="119" t="str">
        <f>"k8s-"&amp;D109</f>
        <v>k8s-dmz</v>
      </c>
      <c r="F109" s="119" t="str">
        <f>IF(D109="dmz","trust","dmz")</f>
        <v>trust</v>
      </c>
      <c r="G109" s="105">
        <v>31129</v>
      </c>
      <c r="H109" s="105">
        <v>32129</v>
      </c>
      <c r="I109" s="104" t="s">
        <v>550</v>
      </c>
      <c r="J109" s="104" t="s">
        <v>173</v>
      </c>
      <c r="K109" s="104" t="s">
        <v>128</v>
      </c>
      <c r="L109" s="104" t="s">
        <v>93</v>
      </c>
      <c r="N109" s="104" t="s">
        <v>163</v>
      </c>
      <c r="O109" s="104" t="s">
        <v>93</v>
      </c>
      <c r="Q109" s="104" t="s">
        <v>246</v>
      </c>
      <c r="R109" s="104" t="s">
        <v>79</v>
      </c>
      <c r="S109" s="95" t="str">
        <f>IF(LEN(B109)&gt;0,IF(ISNUMBER(FIND("api",CONCATENATE(L109,M109))),CONCATENATE("http://ltm",MID(B109,2,15),":8000/",D109,MID(B109,2,15),"/",$I109),""),"")</f>
        <v>http://ltm630:8000/dmz630/das_middleware_video</v>
      </c>
      <c r="T109" s="95" t="str">
        <f>IF(LEN(B109)&gt;0,IF(ISNUMBER(FIND("api",CONCATENATE(L109,M109))),CONCATENATE("https://ltm",MID(B109,2,15),":8443/",D109,MID(B109,2,15),"/",$I109),""),"")</f>
        <v>https://ltm630:8443/dmz630/das_middleware_video</v>
      </c>
      <c r="U109" s="95" t="str">
        <f>IF(D109="dmz",IF(ISNUMBER(FIND("api",K109)),CONCATENATE("http://",B109,".bes_ext_api:8000/",D109,MID(B109,2,15),"/",I109,""),""),"")</f>
        <v>http://v630.bes_ext_api:8000/dmz630/das_middleware_video</v>
      </c>
      <c r="V109" s="95" t="str">
        <f>IF(D109="dmz",IF(ISNUMBER(FIND("api",K109)),CONCATENATE("https://",B109,".bes_ext_api:8443/",D109,MID(B109,2,15),"/",I109,""),""),"")</f>
        <v>https://v630.bes_ext_api:8443/dmz630/das_middleware_video</v>
      </c>
      <c r="W109"/>
    </row>
    <row r="110" spans="1:23">
      <c r="A110" s="104">
        <v>144</v>
      </c>
      <c r="B110" t="s">
        <v>555</v>
      </c>
      <c r="C110" s="104" t="s">
        <v>8</v>
      </c>
      <c r="D110" s="14" t="s">
        <v>68</v>
      </c>
      <c r="G110" s="21">
        <v>31313</v>
      </c>
      <c r="H110" s="21">
        <v>32313</v>
      </c>
      <c r="I110" s="104" t="s">
        <v>551</v>
      </c>
      <c r="L110" s="104" t="s">
        <v>93</v>
      </c>
      <c r="M110" s="104" t="s">
        <v>93</v>
      </c>
      <c r="O110" s="104" t="s">
        <v>93</v>
      </c>
      <c r="P110" s="104" t="s">
        <v>93</v>
      </c>
      <c r="R110" s="104" t="s">
        <v>79</v>
      </c>
      <c r="S110" s="95" t="str">
        <f>IF(LEN(B110)&gt;0,IF(ISNUMBER(FIND("api",CONCATENATE(L110,M110))),CONCATENATE("http://ltm",MID(B110,2,15),":8000/",D110,MID(B110,2,15),"/",$I110),""),"")</f>
        <v>http://ltm910:8000/trust910/ccs_api</v>
      </c>
      <c r="T110" s="95" t="str">
        <f>IF(LEN(B110)&gt;0,IF(ISNUMBER(FIND("api",CONCATENATE(L110,M110))),CONCATENATE("https://ltm",MID(B110,2,15),":8443/",D110,MID(B110,2,15),"/",$I110),""),"")</f>
        <v>https://ltm910:8443/trust910/ccs_api</v>
      </c>
      <c r="U110" s="95" t="str">
        <f>IF(D110="dmz",IF(ISNUMBER(FIND("api",K110)),CONCATENATE("http://",B110,".bes_ext_api:8000/",D110,MID(B110,2,15),"/",I110,""),""),"")</f>
        <v/>
      </c>
      <c r="V110" s="95" t="str">
        <f>IF(D110="dmz",IF(ISNUMBER(FIND("api",K110)),CONCATENATE("https://",B110,".bes_ext_api:8443/",D110,MID(B110,2,15),"/",I110,""),""),"")</f>
        <v/>
      </c>
      <c r="W110" t="s">
        <v>553</v>
      </c>
    </row>
    <row r="111" spans="1:23">
      <c r="A111" s="104">
        <v>145</v>
      </c>
      <c r="B111" s="104" t="s">
        <v>360</v>
      </c>
      <c r="C111" s="104" t="s">
        <v>8</v>
      </c>
      <c r="D111" s="104" t="s">
        <v>67</v>
      </c>
      <c r="G111" s="21">
        <v>31112</v>
      </c>
      <c r="H111" s="21">
        <v>32112</v>
      </c>
      <c r="I111" s="104" t="s">
        <v>556</v>
      </c>
      <c r="L111" s="104" t="s">
        <v>93</v>
      </c>
      <c r="M111" s="104" t="s">
        <v>93</v>
      </c>
      <c r="O111" s="104" t="s">
        <v>93</v>
      </c>
      <c r="P111" s="104" t="s">
        <v>93</v>
      </c>
      <c r="R111" s="104" t="s">
        <v>79</v>
      </c>
      <c r="S111" s="95" t="str">
        <f t="shared" ref="S111:S112" si="42">IF(LEN(B111)&gt;0,IF(ISNUMBER(FIND("api",CONCATENATE(L111,M111))),CONCATENATE("http://ltm",MID(B111,2,15),":8000/",D111,MID(B111,2,15),"/",$I111),""),"")</f>
        <v>http://ltm630:8000/dmz630/das_middleware_cht</v>
      </c>
      <c r="T111" s="95" t="str">
        <f t="shared" ref="T111:T112" si="43">IF(LEN(B111)&gt;0,IF(ISNUMBER(FIND("api",CONCATENATE(L111,M111))),CONCATENATE("https://ltm",MID(B111,2,15),":8443/",D111,MID(B111,2,15),"/",$I111),""),"")</f>
        <v>https://ltm630:8443/dmz630/das_middleware_cht</v>
      </c>
      <c r="U111" s="95" t="str">
        <f t="shared" ref="U111:U112" si="44">IF(D111="dmz",IF(ISNUMBER(FIND("api",K111)),CONCATENATE("http://",B111,".bes_ext_api:8000/",D111,MID(B111,2,15),"/",I111,""),""),"")</f>
        <v/>
      </c>
      <c r="V111" s="95" t="str">
        <f t="shared" ref="V111:V112" si="45">IF(D111="dmz",IF(ISNUMBER(FIND("api",K111)),CONCATENATE("https://",B111,".bes_ext_api:8443/",D111,MID(B111,2,15),"/",I111,""),""),"")</f>
        <v/>
      </c>
    </row>
    <row r="112" spans="1:23">
      <c r="A112" s="104">
        <v>146</v>
      </c>
      <c r="B112" s="104" t="s">
        <v>360</v>
      </c>
      <c r="C112" s="104" t="s">
        <v>8</v>
      </c>
      <c r="D112" s="104" t="s">
        <v>67</v>
      </c>
      <c r="G112" s="21">
        <v>31122</v>
      </c>
      <c r="H112" s="21">
        <v>32122</v>
      </c>
      <c r="I112" s="104" t="s">
        <v>557</v>
      </c>
      <c r="L112" s="104" t="s">
        <v>93</v>
      </c>
      <c r="M112" s="104" t="s">
        <v>93</v>
      </c>
      <c r="O112" s="104" t="s">
        <v>93</v>
      </c>
      <c r="P112" s="104" t="s">
        <v>93</v>
      </c>
      <c r="R112" s="104" t="s">
        <v>79</v>
      </c>
      <c r="S112" s="95" t="str">
        <f t="shared" si="42"/>
        <v>http://ltm630:8000/dmz630/das_middleware_cht_video</v>
      </c>
      <c r="T112" s="95" t="str">
        <f t="shared" si="43"/>
        <v>https://ltm630:8443/dmz630/das_middleware_cht_video</v>
      </c>
      <c r="U112" s="95" t="str">
        <f t="shared" si="44"/>
        <v/>
      </c>
      <c r="V112" s="95" t="str">
        <f t="shared" si="45"/>
        <v/>
      </c>
    </row>
  </sheetData>
  <autoFilter ref="A1:T94"/>
  <sortState ref="A2:Z78">
    <sortCondition ref="D2:D78"/>
    <sortCondition ref="I2:I78"/>
    <sortCondition ref="B2:B78"/>
  </sortState>
  <phoneticPr fontId="2" type="noConversion"/>
  <printOptions gridLines="1"/>
  <pageMargins left="0.25" right="0.25" top="0.75" bottom="0.75" header="0.3" footer="0.3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82"/>
  <sheetViews>
    <sheetView workbookViewId="0">
      <selection activeCell="B4" sqref="A4:B4"/>
    </sheetView>
  </sheetViews>
  <sheetFormatPr defaultColWidth="9.140625" defaultRowHeight="15.75"/>
  <cols>
    <col min="1" max="1" width="10.7109375" style="28" bestFit="1" customWidth="1"/>
    <col min="2" max="2" width="46" style="29" bestFit="1" customWidth="1"/>
    <col min="3" max="3" width="10.28515625" style="28" customWidth="1"/>
    <col min="4" max="4" width="6.42578125" style="30" customWidth="1"/>
    <col min="5" max="67" width="6.42578125" style="28" customWidth="1"/>
    <col min="68" max="16384" width="9.140625" style="28"/>
  </cols>
  <sheetData>
    <row r="1" spans="1:67" ht="16.5" thickBot="1">
      <c r="D1" s="135" t="s">
        <v>61</v>
      </c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</row>
    <row r="2" spans="1:67" s="30" customFormat="1" ht="211.9" customHeight="1" thickBot="1">
      <c r="A2" s="62"/>
      <c r="B2" s="63"/>
      <c r="C2" s="64"/>
      <c r="D2" s="11" t="s">
        <v>145</v>
      </c>
      <c r="E2" s="12" t="s">
        <v>5</v>
      </c>
      <c r="F2" s="12" t="s">
        <v>7</v>
      </c>
      <c r="G2" s="12" t="s">
        <v>146</v>
      </c>
      <c r="H2" s="12" t="s">
        <v>12</v>
      </c>
      <c r="I2" s="12" t="s">
        <v>13</v>
      </c>
      <c r="J2" s="12" t="s">
        <v>14</v>
      </c>
      <c r="K2" s="12" t="s">
        <v>26</v>
      </c>
      <c r="L2" s="12" t="s">
        <v>72</v>
      </c>
      <c r="M2" s="12" t="s">
        <v>74</v>
      </c>
      <c r="N2" s="12" t="s">
        <v>73</v>
      </c>
      <c r="O2" s="13" t="s">
        <v>75</v>
      </c>
      <c r="P2" s="12" t="s">
        <v>9</v>
      </c>
      <c r="Q2" s="12" t="s">
        <v>10</v>
      </c>
      <c r="R2" s="12" t="s">
        <v>11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131</v>
      </c>
      <c r="Y2" s="12" t="s">
        <v>21</v>
      </c>
      <c r="Z2" s="12" t="s">
        <v>143</v>
      </c>
      <c r="AA2" s="12" t="s">
        <v>166</v>
      </c>
      <c r="AB2" s="12" t="s">
        <v>24</v>
      </c>
      <c r="AC2" s="12" t="s">
        <v>25</v>
      </c>
      <c r="AD2" s="12" t="s">
        <v>27</v>
      </c>
      <c r="AE2" s="12" t="s">
        <v>28</v>
      </c>
      <c r="AF2" s="12" t="s">
        <v>29</v>
      </c>
      <c r="AG2" s="12" t="s">
        <v>30</v>
      </c>
      <c r="AH2" s="12" t="s">
        <v>31</v>
      </c>
      <c r="AI2" s="12" t="s">
        <v>32</v>
      </c>
      <c r="AJ2" s="12" t="s">
        <v>33</v>
      </c>
      <c r="AK2" s="12" t="s">
        <v>34</v>
      </c>
      <c r="AL2" s="12" t="s">
        <v>35</v>
      </c>
      <c r="AM2" s="12" t="s">
        <v>36</v>
      </c>
      <c r="AN2" s="12" t="s">
        <v>37</v>
      </c>
      <c r="AO2" s="12" t="s">
        <v>38</v>
      </c>
      <c r="AP2" s="12" t="s">
        <v>39</v>
      </c>
      <c r="AQ2" s="12" t="s">
        <v>40</v>
      </c>
      <c r="AR2" s="12" t="s">
        <v>41</v>
      </c>
      <c r="AS2" s="12" t="s">
        <v>42</v>
      </c>
      <c r="AT2" s="13" t="s">
        <v>167</v>
      </c>
      <c r="AU2" s="13" t="s">
        <v>147</v>
      </c>
      <c r="AV2" s="13" t="s">
        <v>152</v>
      </c>
      <c r="AW2" s="13" t="s">
        <v>4</v>
      </c>
      <c r="AX2" s="13" t="s">
        <v>137</v>
      </c>
      <c r="AY2" s="13" t="s">
        <v>150</v>
      </c>
      <c r="AZ2" s="13" t="s">
        <v>149</v>
      </c>
      <c r="BA2" s="13" t="s">
        <v>148</v>
      </c>
      <c r="BB2" s="13" t="s">
        <v>151</v>
      </c>
      <c r="BC2" s="13" t="s">
        <v>185</v>
      </c>
      <c r="BD2" s="13" t="s">
        <v>58</v>
      </c>
      <c r="BE2" s="13" t="s">
        <v>60</v>
      </c>
      <c r="BF2" s="13" t="s">
        <v>59</v>
      </c>
      <c r="BG2" s="13" t="s">
        <v>187</v>
      </c>
      <c r="BH2" s="71" t="s">
        <v>188</v>
      </c>
      <c r="BI2" s="78" t="s">
        <v>94</v>
      </c>
      <c r="BJ2" s="24" t="s">
        <v>95</v>
      </c>
      <c r="BK2" s="24" t="s">
        <v>96</v>
      </c>
      <c r="BL2" s="24" t="s">
        <v>97</v>
      </c>
      <c r="BM2" s="24" t="s">
        <v>98</v>
      </c>
      <c r="BN2" s="24" t="s">
        <v>99</v>
      </c>
      <c r="BO2" s="23" t="s">
        <v>100</v>
      </c>
    </row>
    <row r="3" spans="1:67" ht="48" thickBot="1">
      <c r="A3" s="59" t="s">
        <v>56</v>
      </c>
      <c r="B3" s="60" t="s">
        <v>62</v>
      </c>
      <c r="C3" s="61" t="s">
        <v>57</v>
      </c>
      <c r="D3" s="66" t="s">
        <v>82</v>
      </c>
      <c r="E3" s="67" t="s">
        <v>155</v>
      </c>
      <c r="F3" s="67" t="s">
        <v>159</v>
      </c>
      <c r="G3" s="67" t="s">
        <v>65</v>
      </c>
      <c r="H3" s="67" t="s">
        <v>81</v>
      </c>
      <c r="I3" s="67" t="s">
        <v>65</v>
      </c>
      <c r="J3" s="67" t="s">
        <v>81</v>
      </c>
      <c r="K3" s="67" t="s">
        <v>81</v>
      </c>
      <c r="L3" s="67" t="s">
        <v>350</v>
      </c>
      <c r="M3" s="68" t="s">
        <v>65</v>
      </c>
      <c r="N3" s="25" t="s">
        <v>198</v>
      </c>
      <c r="O3" s="25" t="s">
        <v>198</v>
      </c>
      <c r="P3" s="68" t="s">
        <v>237</v>
      </c>
      <c r="Q3" s="25" t="s">
        <v>69</v>
      </c>
      <c r="R3" s="25" t="s">
        <v>69</v>
      </c>
      <c r="S3" s="25" t="s">
        <v>69</v>
      </c>
      <c r="T3" s="25" t="s">
        <v>69</v>
      </c>
      <c r="U3" s="69" t="s">
        <v>196</v>
      </c>
      <c r="V3" s="25" t="s">
        <v>69</v>
      </c>
      <c r="W3" s="25" t="s">
        <v>69</v>
      </c>
      <c r="X3" s="68" t="s">
        <v>237</v>
      </c>
      <c r="Y3" s="25" t="s">
        <v>69</v>
      </c>
      <c r="Z3" s="68" t="s">
        <v>65</v>
      </c>
      <c r="AA3" s="68" t="s">
        <v>65</v>
      </c>
      <c r="AB3" s="25" t="s">
        <v>69</v>
      </c>
      <c r="AC3" s="25" t="s">
        <v>69</v>
      </c>
      <c r="AD3" s="69" t="s">
        <v>196</v>
      </c>
      <c r="AE3" s="69" t="s">
        <v>196</v>
      </c>
      <c r="AF3" s="69" t="s">
        <v>196</v>
      </c>
      <c r="AG3" s="69" t="s">
        <v>196</v>
      </c>
      <c r="AH3" s="69" t="s">
        <v>196</v>
      </c>
      <c r="AI3" s="69" t="s">
        <v>196</v>
      </c>
      <c r="AJ3" s="69" t="s">
        <v>196</v>
      </c>
      <c r="AK3" s="69" t="s">
        <v>196</v>
      </c>
      <c r="AL3" s="69" t="s">
        <v>196</v>
      </c>
      <c r="AM3" s="69" t="s">
        <v>196</v>
      </c>
      <c r="AN3" s="69" t="s">
        <v>196</v>
      </c>
      <c r="AO3" s="69" t="s">
        <v>196</v>
      </c>
      <c r="AP3" s="69" t="s">
        <v>196</v>
      </c>
      <c r="AQ3" s="69" t="s">
        <v>196</v>
      </c>
      <c r="AR3" s="69" t="s">
        <v>196</v>
      </c>
      <c r="AS3" s="69" t="s">
        <v>196</v>
      </c>
      <c r="AT3" s="68" t="s">
        <v>65</v>
      </c>
      <c r="AU3" s="68" t="s">
        <v>82</v>
      </c>
      <c r="AV3" s="68" t="s">
        <v>82</v>
      </c>
      <c r="AW3" s="25" t="s">
        <v>69</v>
      </c>
      <c r="AX3" s="25" t="s">
        <v>69</v>
      </c>
      <c r="AY3" s="25" t="s">
        <v>69</v>
      </c>
      <c r="AZ3" s="25" t="s">
        <v>69</v>
      </c>
      <c r="BA3" s="25" t="s">
        <v>69</v>
      </c>
      <c r="BB3" s="25" t="s">
        <v>69</v>
      </c>
      <c r="BC3" s="25" t="s">
        <v>69</v>
      </c>
      <c r="BD3" s="25" t="s">
        <v>69</v>
      </c>
      <c r="BE3" s="25" t="s">
        <v>69</v>
      </c>
      <c r="BF3" s="25" t="s">
        <v>69</v>
      </c>
      <c r="BG3" s="25" t="s">
        <v>70</v>
      </c>
      <c r="BH3" s="72" t="s">
        <v>69</v>
      </c>
      <c r="BI3" s="79"/>
      <c r="BJ3" s="26"/>
      <c r="BK3" s="26"/>
      <c r="BL3" s="26"/>
      <c r="BM3" s="26"/>
      <c r="BN3" s="26"/>
      <c r="BO3" s="70"/>
    </row>
    <row r="4" spans="1:67">
      <c r="A4" s="27" t="s">
        <v>82</v>
      </c>
      <c r="B4" s="6" t="s">
        <v>145</v>
      </c>
      <c r="C4" s="57">
        <v>31211</v>
      </c>
      <c r="D4" s="65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2" t="s">
        <v>55</v>
      </c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73"/>
      <c r="BI4" s="80"/>
      <c r="BJ4" s="41"/>
      <c r="BK4" s="41"/>
      <c r="BL4" s="41"/>
      <c r="BM4" s="41"/>
      <c r="BN4" s="41"/>
      <c r="BO4" s="81"/>
    </row>
    <row r="5" spans="1:67">
      <c r="A5" s="27" t="s">
        <v>155</v>
      </c>
      <c r="B5" s="6" t="s">
        <v>5</v>
      </c>
      <c r="C5" s="57">
        <v>31026</v>
      </c>
      <c r="D5" s="42"/>
      <c r="E5" s="38"/>
      <c r="F5" s="1" t="s">
        <v>55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74"/>
      <c r="BI5" s="82"/>
      <c r="BJ5" s="32"/>
      <c r="BK5" s="32"/>
      <c r="BL5" s="1" t="s">
        <v>55</v>
      </c>
      <c r="BM5" s="32"/>
      <c r="BN5" s="1" t="s">
        <v>55</v>
      </c>
      <c r="BO5" s="83"/>
    </row>
    <row r="6" spans="1:67">
      <c r="A6" s="27" t="s">
        <v>159</v>
      </c>
      <c r="B6" s="6" t="s">
        <v>7</v>
      </c>
      <c r="C6" s="57">
        <v>31029</v>
      </c>
      <c r="D6" s="42"/>
      <c r="E6" s="33"/>
      <c r="F6" s="38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74"/>
      <c r="BI6" s="82"/>
      <c r="BJ6" s="32"/>
      <c r="BK6" s="32"/>
      <c r="BL6" s="1" t="s">
        <v>55</v>
      </c>
      <c r="BM6" s="32"/>
      <c r="BN6" s="32"/>
      <c r="BO6" s="83"/>
    </row>
    <row r="7" spans="1:67">
      <c r="A7" s="27" t="s">
        <v>65</v>
      </c>
      <c r="B7" s="6" t="s">
        <v>146</v>
      </c>
      <c r="C7" s="57">
        <v>31031</v>
      </c>
      <c r="D7" s="42"/>
      <c r="E7" s="33"/>
      <c r="F7" s="32"/>
      <c r="G7" s="38"/>
      <c r="H7" s="32"/>
      <c r="I7" s="32"/>
      <c r="J7" s="32"/>
      <c r="K7" s="32"/>
      <c r="L7" s="1" t="s">
        <v>55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1" t="s">
        <v>55</v>
      </c>
      <c r="AJ7" s="32"/>
      <c r="AK7" s="32"/>
      <c r="AL7" s="1" t="s">
        <v>55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74"/>
      <c r="BI7" s="82"/>
      <c r="BJ7" s="32"/>
      <c r="BK7" s="32"/>
      <c r="BL7" s="32"/>
      <c r="BM7" s="32"/>
      <c r="BN7" s="1" t="s">
        <v>55</v>
      </c>
      <c r="BO7" s="83"/>
    </row>
    <row r="8" spans="1:67">
      <c r="A8" s="27" t="s">
        <v>81</v>
      </c>
      <c r="B8" s="6" t="s">
        <v>12</v>
      </c>
      <c r="C8" s="57">
        <v>31010</v>
      </c>
      <c r="D8" s="42"/>
      <c r="E8" s="32"/>
      <c r="F8" s="32"/>
      <c r="G8" s="32"/>
      <c r="H8" s="38"/>
      <c r="I8" s="1" t="s">
        <v>55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74"/>
      <c r="BI8" s="82"/>
      <c r="BJ8" s="32"/>
      <c r="BK8" s="32"/>
      <c r="BL8" s="32"/>
      <c r="BM8" s="1" t="s">
        <v>55</v>
      </c>
      <c r="BN8" s="1" t="s">
        <v>55</v>
      </c>
      <c r="BO8" s="83"/>
    </row>
    <row r="9" spans="1:67">
      <c r="A9" s="27" t="s">
        <v>65</v>
      </c>
      <c r="B9" s="6" t="s">
        <v>13</v>
      </c>
      <c r="C9" s="57">
        <v>31011</v>
      </c>
      <c r="D9" s="42"/>
      <c r="E9" s="32"/>
      <c r="F9" s="32"/>
      <c r="G9" s="32"/>
      <c r="H9" s="1" t="s">
        <v>55</v>
      </c>
      <c r="I9" s="38"/>
      <c r="J9" s="1" t="s">
        <v>55</v>
      </c>
      <c r="K9" s="1" t="s">
        <v>55</v>
      </c>
      <c r="L9" s="32"/>
      <c r="M9" s="34"/>
      <c r="N9" s="32"/>
      <c r="O9" s="32"/>
      <c r="P9" s="32"/>
      <c r="Q9" s="32"/>
      <c r="R9" s="1" t="s">
        <v>55</v>
      </c>
      <c r="S9" s="1" t="s">
        <v>55</v>
      </c>
      <c r="T9" s="32"/>
      <c r="U9" s="32"/>
      <c r="V9" s="32"/>
      <c r="W9" s="32"/>
      <c r="X9" s="32"/>
      <c r="Y9" s="32"/>
      <c r="Z9" s="32"/>
      <c r="AA9" s="32"/>
      <c r="AB9" s="32"/>
      <c r="AC9" s="1" t="s">
        <v>55</v>
      </c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74"/>
      <c r="BI9" s="82"/>
      <c r="BJ9" s="32"/>
      <c r="BK9" s="32"/>
      <c r="BL9" s="32"/>
      <c r="BM9" s="32"/>
      <c r="BN9" s="1" t="s">
        <v>55</v>
      </c>
      <c r="BO9" s="83"/>
    </row>
    <row r="10" spans="1:67">
      <c r="A10" s="27" t="s">
        <v>81</v>
      </c>
      <c r="B10" s="6" t="s">
        <v>14</v>
      </c>
      <c r="C10" s="57">
        <v>31013</v>
      </c>
      <c r="D10" s="42"/>
      <c r="E10" s="32"/>
      <c r="F10" s="32"/>
      <c r="G10" s="32"/>
      <c r="H10" s="32"/>
      <c r="I10" s="1" t="s">
        <v>55</v>
      </c>
      <c r="J10" s="38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74"/>
      <c r="BI10" s="82"/>
      <c r="BJ10" s="32"/>
      <c r="BK10" s="32"/>
      <c r="BL10" s="32"/>
      <c r="BM10" s="1" t="s">
        <v>55</v>
      </c>
      <c r="BN10" s="1" t="s">
        <v>55</v>
      </c>
      <c r="BO10" s="83"/>
    </row>
    <row r="11" spans="1:67">
      <c r="A11" s="27" t="s">
        <v>81</v>
      </c>
      <c r="B11" s="6" t="s">
        <v>26</v>
      </c>
      <c r="C11" s="57">
        <v>31028</v>
      </c>
      <c r="D11" s="42"/>
      <c r="E11" s="32"/>
      <c r="F11" s="32"/>
      <c r="G11" s="35"/>
      <c r="H11" s="32"/>
      <c r="I11" s="1" t="s">
        <v>55</v>
      </c>
      <c r="J11" s="32"/>
      <c r="K11" s="38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74"/>
      <c r="BI11" s="82"/>
      <c r="BJ11" s="32"/>
      <c r="BK11" s="32"/>
      <c r="BL11" s="32"/>
      <c r="BM11" s="1" t="s">
        <v>55</v>
      </c>
      <c r="BN11" s="1" t="s">
        <v>55</v>
      </c>
      <c r="BO11" s="83"/>
    </row>
    <row r="12" spans="1:67">
      <c r="A12" s="27" t="s">
        <v>351</v>
      </c>
      <c r="B12" s="6" t="s">
        <v>72</v>
      </c>
      <c r="C12" s="57">
        <v>31030</v>
      </c>
      <c r="D12" s="52"/>
      <c r="E12" s="32"/>
      <c r="F12" s="32"/>
      <c r="G12" s="1" t="s">
        <v>55</v>
      </c>
      <c r="H12" s="32"/>
      <c r="I12" s="32"/>
      <c r="J12" s="32"/>
      <c r="K12" s="32"/>
      <c r="L12" s="38"/>
      <c r="M12" s="32"/>
      <c r="N12" s="1" t="s">
        <v>55</v>
      </c>
      <c r="O12" s="32"/>
      <c r="P12" s="1" t="s">
        <v>55</v>
      </c>
      <c r="Q12" s="32"/>
      <c r="R12" s="32"/>
      <c r="S12" s="32"/>
      <c r="T12" s="32"/>
      <c r="U12" s="32"/>
      <c r="V12" s="32"/>
      <c r="W12" s="32"/>
      <c r="X12" s="1" t="s">
        <v>55</v>
      </c>
      <c r="Y12" s="32"/>
      <c r="Z12" s="1" t="s">
        <v>55</v>
      </c>
      <c r="AA12" s="1" t="s">
        <v>55</v>
      </c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1" t="s">
        <v>55</v>
      </c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74"/>
      <c r="BI12" s="82"/>
      <c r="BJ12" s="32"/>
      <c r="BK12" s="1" t="s">
        <v>55</v>
      </c>
      <c r="BL12" s="32"/>
      <c r="BM12" s="32"/>
      <c r="BN12" s="32"/>
      <c r="BO12" s="83"/>
    </row>
    <row r="13" spans="1:67">
      <c r="A13" s="27" t="s">
        <v>197</v>
      </c>
      <c r="B13" s="6" t="s">
        <v>74</v>
      </c>
      <c r="C13" s="57">
        <v>31002</v>
      </c>
      <c r="D13" s="42"/>
      <c r="E13" s="32"/>
      <c r="F13" s="32"/>
      <c r="G13" s="32"/>
      <c r="H13" s="32"/>
      <c r="I13" s="32"/>
      <c r="J13" s="32"/>
      <c r="K13" s="32"/>
      <c r="L13" s="32"/>
      <c r="M13" s="38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74"/>
      <c r="BI13" s="82"/>
      <c r="BJ13" s="32"/>
      <c r="BK13" s="32"/>
      <c r="BL13" s="32"/>
      <c r="BM13" s="32"/>
      <c r="BN13" s="1" t="s">
        <v>55</v>
      </c>
      <c r="BO13" s="83"/>
    </row>
    <row r="14" spans="1:67">
      <c r="A14" s="4" t="s">
        <v>198</v>
      </c>
      <c r="B14" s="6" t="s">
        <v>73</v>
      </c>
      <c r="C14" s="57">
        <v>31001</v>
      </c>
      <c r="D14" s="42"/>
      <c r="E14" s="32"/>
      <c r="F14" s="32"/>
      <c r="G14" s="32"/>
      <c r="H14" s="32"/>
      <c r="I14" s="32"/>
      <c r="J14" s="32"/>
      <c r="K14" s="32"/>
      <c r="L14" s="1" t="s">
        <v>55</v>
      </c>
      <c r="M14" s="1" t="s">
        <v>55</v>
      </c>
      <c r="N14" s="38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74"/>
      <c r="BI14" s="82"/>
      <c r="BJ14" s="32"/>
      <c r="BK14" s="32"/>
      <c r="BL14" s="32"/>
      <c r="BM14" s="32"/>
      <c r="BN14" s="32"/>
      <c r="BO14" s="83"/>
    </row>
    <row r="15" spans="1:67">
      <c r="A15" s="4" t="s">
        <v>198</v>
      </c>
      <c r="B15" s="6" t="s">
        <v>75</v>
      </c>
      <c r="C15" s="57">
        <v>31004</v>
      </c>
      <c r="D15" s="42"/>
      <c r="E15" s="32"/>
      <c r="F15" s="32"/>
      <c r="G15" s="35"/>
      <c r="H15" s="32"/>
      <c r="I15" s="32"/>
      <c r="J15" s="32"/>
      <c r="K15" s="32"/>
      <c r="L15" s="32"/>
      <c r="M15" s="1" t="s">
        <v>55</v>
      </c>
      <c r="N15" s="32"/>
      <c r="O15" s="38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74"/>
      <c r="BI15" s="82"/>
      <c r="BJ15" s="32"/>
      <c r="BK15" s="32"/>
      <c r="BL15" s="32"/>
      <c r="BM15" s="32"/>
      <c r="BN15" s="32"/>
      <c r="BO15" s="83"/>
    </row>
    <row r="16" spans="1:67">
      <c r="A16" s="27" t="s">
        <v>237</v>
      </c>
      <c r="B16" s="6" t="s">
        <v>9</v>
      </c>
      <c r="C16" s="57">
        <v>31025</v>
      </c>
      <c r="D16" s="42"/>
      <c r="E16" s="32"/>
      <c r="F16" s="32"/>
      <c r="G16" s="32"/>
      <c r="H16" s="32"/>
      <c r="I16" s="32"/>
      <c r="J16" s="32"/>
      <c r="K16" s="32"/>
      <c r="L16" s="1" t="s">
        <v>55</v>
      </c>
      <c r="M16" s="32"/>
      <c r="N16" s="32"/>
      <c r="O16" s="32"/>
      <c r="P16" s="38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1" t="s">
        <v>55</v>
      </c>
      <c r="AY16" s="32"/>
      <c r="AZ16" s="32"/>
      <c r="BA16" s="32"/>
      <c r="BB16" s="32"/>
      <c r="BC16" s="32"/>
      <c r="BD16" s="32"/>
      <c r="BE16" s="32"/>
      <c r="BF16" s="32"/>
      <c r="BG16" s="32"/>
      <c r="BH16" s="74"/>
      <c r="BI16" s="82"/>
      <c r="BJ16" s="32"/>
      <c r="BK16" s="1" t="s">
        <v>55</v>
      </c>
      <c r="BL16" s="32"/>
      <c r="BM16" s="32"/>
      <c r="BN16" s="32"/>
      <c r="BO16" s="83"/>
    </row>
    <row r="17" spans="1:67">
      <c r="A17" s="4" t="s">
        <v>69</v>
      </c>
      <c r="B17" s="6" t="s">
        <v>10</v>
      </c>
      <c r="C17" s="57">
        <v>31000</v>
      </c>
      <c r="D17" s="42"/>
      <c r="E17" s="32"/>
      <c r="F17" s="32"/>
      <c r="G17" s="32"/>
      <c r="H17" s="1" t="s">
        <v>55</v>
      </c>
      <c r="I17" s="32"/>
      <c r="J17" s="1" t="s">
        <v>55</v>
      </c>
      <c r="K17" s="1" t="s">
        <v>55</v>
      </c>
      <c r="L17" s="32"/>
      <c r="M17" s="34"/>
      <c r="N17" s="32"/>
      <c r="O17" s="32"/>
      <c r="P17" s="32"/>
      <c r="Q17" s="38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74"/>
      <c r="BI17" s="82"/>
      <c r="BJ17" s="32"/>
      <c r="BK17" s="32"/>
      <c r="BL17" s="32"/>
      <c r="BM17" s="32"/>
      <c r="BN17" s="32"/>
      <c r="BO17" s="83"/>
    </row>
    <row r="18" spans="1:67">
      <c r="A18" s="4" t="s">
        <v>69</v>
      </c>
      <c r="B18" s="6" t="s">
        <v>11</v>
      </c>
      <c r="C18" s="57">
        <v>31009</v>
      </c>
      <c r="D18" s="42"/>
      <c r="E18" s="1" t="s">
        <v>55</v>
      </c>
      <c r="F18" s="32"/>
      <c r="G18" s="32"/>
      <c r="H18" s="1" t="s">
        <v>55</v>
      </c>
      <c r="I18" s="32"/>
      <c r="J18" s="1" t="s">
        <v>55</v>
      </c>
      <c r="K18" s="1" t="s">
        <v>55</v>
      </c>
      <c r="L18" s="32"/>
      <c r="M18" s="32"/>
      <c r="N18" s="32"/>
      <c r="O18" s="32"/>
      <c r="P18" s="32"/>
      <c r="Q18" s="32"/>
      <c r="R18" s="38"/>
      <c r="S18" s="1" t="s">
        <v>55</v>
      </c>
      <c r="T18" s="32"/>
      <c r="U18" s="32"/>
      <c r="V18" s="32"/>
      <c r="W18" s="32"/>
      <c r="X18" s="32"/>
      <c r="Y18" s="32"/>
      <c r="Z18" s="32"/>
      <c r="AA18" s="32"/>
      <c r="AB18" s="32"/>
      <c r="AC18" s="1" t="s">
        <v>55</v>
      </c>
      <c r="AD18" s="1" t="s">
        <v>55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55</v>
      </c>
      <c r="AJ18" s="1" t="s">
        <v>55</v>
      </c>
      <c r="AK18" s="1" t="s">
        <v>55</v>
      </c>
      <c r="AL18" s="1" t="s">
        <v>55</v>
      </c>
      <c r="AM18" s="1" t="s">
        <v>55</v>
      </c>
      <c r="AN18" s="1" t="s">
        <v>55</v>
      </c>
      <c r="AO18" s="1" t="s">
        <v>55</v>
      </c>
      <c r="AP18" s="32"/>
      <c r="AQ18" s="32"/>
      <c r="AR18" s="32"/>
      <c r="AS18" s="1" t="s">
        <v>55</v>
      </c>
      <c r="AT18" s="32"/>
      <c r="AU18" s="32"/>
      <c r="AV18" s="32"/>
      <c r="AW18" s="32"/>
      <c r="AX18" s="32"/>
      <c r="AY18" s="1" t="s">
        <v>55</v>
      </c>
      <c r="AZ18" s="1" t="s">
        <v>55</v>
      </c>
      <c r="BA18" s="1" t="s">
        <v>55</v>
      </c>
      <c r="BB18" s="32"/>
      <c r="BC18" s="32"/>
      <c r="BD18" s="32"/>
      <c r="BE18" s="32"/>
      <c r="BF18" s="32"/>
      <c r="BG18" s="32"/>
      <c r="BH18" s="74"/>
      <c r="BI18" s="82"/>
      <c r="BJ18" s="32"/>
      <c r="BK18" s="32"/>
      <c r="BL18" s="32"/>
      <c r="BM18" s="32"/>
      <c r="BN18" s="32"/>
      <c r="BO18" s="83"/>
    </row>
    <row r="19" spans="1:67">
      <c r="A19" s="4" t="s">
        <v>69</v>
      </c>
      <c r="B19" s="6" t="s">
        <v>15</v>
      </c>
      <c r="C19" s="57">
        <v>31014</v>
      </c>
      <c r="D19" s="42"/>
      <c r="E19" s="32"/>
      <c r="F19" s="32"/>
      <c r="G19" s="32"/>
      <c r="H19" s="1" t="s">
        <v>55</v>
      </c>
      <c r="I19" s="32"/>
      <c r="J19" s="1" t="s">
        <v>55</v>
      </c>
      <c r="K19" s="32"/>
      <c r="L19" s="32"/>
      <c r="M19" s="32"/>
      <c r="N19" s="32"/>
      <c r="O19" s="32"/>
      <c r="P19" s="32"/>
      <c r="Q19" s="32"/>
      <c r="R19" s="1" t="s">
        <v>55</v>
      </c>
      <c r="S19" s="38"/>
      <c r="T19" s="32"/>
      <c r="U19" s="32"/>
      <c r="V19" s="32"/>
      <c r="W19" s="32"/>
      <c r="X19" s="32"/>
      <c r="Y19" s="32"/>
      <c r="Z19" s="32"/>
      <c r="AA19" s="32"/>
      <c r="AB19" s="32"/>
      <c r="AC19" s="1" t="s">
        <v>55</v>
      </c>
      <c r="AD19" s="1" t="s">
        <v>55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55</v>
      </c>
      <c r="AJ19" s="1" t="s">
        <v>55</v>
      </c>
      <c r="AK19" s="1" t="s">
        <v>55</v>
      </c>
      <c r="AL19" s="1" t="s">
        <v>55</v>
      </c>
      <c r="AM19" s="1" t="s">
        <v>55</v>
      </c>
      <c r="AN19" s="1" t="s">
        <v>55</v>
      </c>
      <c r="AO19" s="1" t="s">
        <v>55</v>
      </c>
      <c r="AP19" s="32"/>
      <c r="AQ19" s="32"/>
      <c r="AR19" s="32"/>
      <c r="AS19" s="1" t="s">
        <v>55</v>
      </c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74"/>
      <c r="BI19" s="82"/>
      <c r="BJ19" s="32"/>
      <c r="BK19" s="32"/>
      <c r="BL19" s="32"/>
      <c r="BM19" s="32"/>
      <c r="BN19" s="32"/>
      <c r="BO19" s="83"/>
    </row>
    <row r="20" spans="1:67">
      <c r="A20" s="4" t="s">
        <v>69</v>
      </c>
      <c r="B20" s="6" t="s">
        <v>16</v>
      </c>
      <c r="C20" s="57">
        <v>31015</v>
      </c>
      <c r="D20" s="4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1" t="s">
        <v>55</v>
      </c>
      <c r="S20" s="1" t="s">
        <v>55</v>
      </c>
      <c r="T20" s="38"/>
      <c r="U20" s="32"/>
      <c r="V20" s="32"/>
      <c r="W20" s="32"/>
      <c r="X20" s="32"/>
      <c r="Y20" s="1" t="s">
        <v>55</v>
      </c>
      <c r="Z20" s="32"/>
      <c r="AA20" s="32"/>
      <c r="AB20" s="32"/>
      <c r="AC20" s="1" t="s">
        <v>55</v>
      </c>
      <c r="AD20" s="1" t="s">
        <v>55</v>
      </c>
      <c r="AE20" s="1" t="s">
        <v>55</v>
      </c>
      <c r="AF20" s="1" t="s">
        <v>55</v>
      </c>
      <c r="AG20" s="1" t="s">
        <v>55</v>
      </c>
      <c r="AH20" s="1" t="s">
        <v>55</v>
      </c>
      <c r="AI20" s="1" t="s">
        <v>55</v>
      </c>
      <c r="AJ20" s="1" t="s">
        <v>55</v>
      </c>
      <c r="AK20" s="1" t="s">
        <v>55</v>
      </c>
      <c r="AL20" s="1" t="s">
        <v>55</v>
      </c>
      <c r="AM20" s="1" t="s">
        <v>55</v>
      </c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1" t="s">
        <v>55</v>
      </c>
      <c r="AZ20" s="32"/>
      <c r="BA20" s="32"/>
      <c r="BB20" s="32"/>
      <c r="BC20" s="1" t="s">
        <v>55</v>
      </c>
      <c r="BD20" s="32"/>
      <c r="BE20" s="32"/>
      <c r="BF20" s="32"/>
      <c r="BG20" s="32"/>
      <c r="BH20" s="74"/>
      <c r="BI20" s="82"/>
      <c r="BJ20" s="32"/>
      <c r="BK20" s="32"/>
      <c r="BL20" s="32"/>
      <c r="BM20" s="32"/>
      <c r="BN20" s="32"/>
      <c r="BO20" s="83"/>
    </row>
    <row r="21" spans="1:67">
      <c r="A21" s="4" t="s">
        <v>196</v>
      </c>
      <c r="B21" s="6" t="s">
        <v>17</v>
      </c>
      <c r="C21" s="57">
        <v>31016</v>
      </c>
      <c r="D21" s="4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1" t="s">
        <v>55</v>
      </c>
      <c r="S21" s="1" t="s">
        <v>55</v>
      </c>
      <c r="T21" s="32"/>
      <c r="U21" s="38"/>
      <c r="V21" s="32"/>
      <c r="W21" s="32"/>
      <c r="X21" s="32"/>
      <c r="Y21" s="1" t="s">
        <v>55</v>
      </c>
      <c r="Z21" s="32"/>
      <c r="AA21" s="32"/>
      <c r="AB21" s="32"/>
      <c r="AC21" s="1" t="s">
        <v>55</v>
      </c>
      <c r="AD21" s="1" t="s">
        <v>55</v>
      </c>
      <c r="AE21" s="1" t="s">
        <v>55</v>
      </c>
      <c r="AF21" s="1" t="s">
        <v>55</v>
      </c>
      <c r="AG21" s="1" t="s">
        <v>55</v>
      </c>
      <c r="AH21" s="1" t="s">
        <v>55</v>
      </c>
      <c r="AI21" s="1" t="s">
        <v>55</v>
      </c>
      <c r="AJ21" s="1" t="s">
        <v>55</v>
      </c>
      <c r="AK21" s="1" t="s">
        <v>55</v>
      </c>
      <c r="AL21" s="1" t="s">
        <v>55</v>
      </c>
      <c r="AM21" s="1" t="s">
        <v>55</v>
      </c>
      <c r="AN21" s="1" t="s">
        <v>55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  <c r="AT21" s="32"/>
      <c r="AU21" s="32"/>
      <c r="AV21" s="32"/>
      <c r="AW21" s="1" t="s">
        <v>55</v>
      </c>
      <c r="AX21" s="1" t="s">
        <v>55</v>
      </c>
      <c r="AY21" s="1" t="s">
        <v>55</v>
      </c>
      <c r="AZ21" s="1" t="s">
        <v>55</v>
      </c>
      <c r="BA21" s="1" t="s">
        <v>55</v>
      </c>
      <c r="BB21" s="1" t="s">
        <v>55</v>
      </c>
      <c r="BC21" s="1" t="s">
        <v>55</v>
      </c>
      <c r="BD21" s="1" t="s">
        <v>55</v>
      </c>
      <c r="BE21" s="1" t="s">
        <v>55</v>
      </c>
      <c r="BF21" s="1" t="s">
        <v>55</v>
      </c>
      <c r="BG21" s="1" t="s">
        <v>55</v>
      </c>
      <c r="BH21" s="20" t="s">
        <v>55</v>
      </c>
      <c r="BI21" s="82"/>
      <c r="BJ21" s="32"/>
      <c r="BK21" s="32"/>
      <c r="BL21" s="32"/>
      <c r="BM21" s="32"/>
      <c r="BN21" s="32"/>
      <c r="BO21" s="83"/>
    </row>
    <row r="22" spans="1:67">
      <c r="A22" s="4" t="s">
        <v>69</v>
      </c>
      <c r="B22" s="6" t="s">
        <v>18</v>
      </c>
      <c r="C22" s="57">
        <v>31017</v>
      </c>
      <c r="D22" s="4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1" t="s">
        <v>55</v>
      </c>
      <c r="S22" s="32"/>
      <c r="T22" s="32"/>
      <c r="U22" s="32"/>
      <c r="V22" s="38"/>
      <c r="W22" s="32"/>
      <c r="X22" s="32"/>
      <c r="Y22" s="32"/>
      <c r="Z22" s="32"/>
      <c r="AA22" s="32"/>
      <c r="AB22" s="32"/>
      <c r="AC22" s="1" t="s">
        <v>55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1" t="s">
        <v>55</v>
      </c>
      <c r="BD22" s="32"/>
      <c r="BE22" s="32"/>
      <c r="BF22" s="32"/>
      <c r="BG22" s="32"/>
      <c r="BH22" s="74"/>
      <c r="BI22" s="82"/>
      <c r="BJ22" s="32"/>
      <c r="BK22" s="32"/>
      <c r="BL22" s="32"/>
      <c r="BM22" s="32"/>
      <c r="BN22" s="32"/>
      <c r="BO22" s="83"/>
    </row>
    <row r="23" spans="1:67">
      <c r="A23" s="4" t="s">
        <v>69</v>
      </c>
      <c r="B23" s="6" t="s">
        <v>19</v>
      </c>
      <c r="C23" s="57">
        <v>31018</v>
      </c>
      <c r="D23" s="4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1" t="s">
        <v>55</v>
      </c>
      <c r="S23" s="1" t="s">
        <v>55</v>
      </c>
      <c r="T23" s="32"/>
      <c r="U23" s="32"/>
      <c r="V23" s="32"/>
      <c r="W23" s="38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1" t="s">
        <v>55</v>
      </c>
      <c r="BD23" s="32"/>
      <c r="BE23" s="32"/>
      <c r="BF23" s="32"/>
      <c r="BG23" s="32"/>
      <c r="BH23" s="74"/>
      <c r="BI23" s="82"/>
      <c r="BJ23" s="32"/>
      <c r="BK23" s="32"/>
      <c r="BL23" s="32"/>
      <c r="BM23" s="32"/>
      <c r="BN23" s="32"/>
      <c r="BO23" s="83"/>
    </row>
    <row r="24" spans="1:67">
      <c r="A24" s="27" t="s">
        <v>354</v>
      </c>
      <c r="B24" s="6" t="s">
        <v>131</v>
      </c>
      <c r="C24" s="57">
        <v>31019</v>
      </c>
      <c r="D24" s="42"/>
      <c r="E24" s="32"/>
      <c r="F24" s="32"/>
      <c r="G24" s="32"/>
      <c r="H24" s="32"/>
      <c r="I24" s="32"/>
      <c r="J24" s="32"/>
      <c r="K24" s="32"/>
      <c r="L24" s="1" t="s">
        <v>55</v>
      </c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8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1" t="s">
        <v>55</v>
      </c>
      <c r="AY24" s="32"/>
      <c r="AZ24" s="32"/>
      <c r="BA24" s="32"/>
      <c r="BB24" s="32"/>
      <c r="BC24" s="32"/>
      <c r="BD24" s="32"/>
      <c r="BE24" s="32"/>
      <c r="BF24" s="32"/>
      <c r="BG24" s="32"/>
      <c r="BH24" s="74"/>
      <c r="BI24" s="82"/>
      <c r="BJ24" s="32"/>
      <c r="BK24" s="1" t="s">
        <v>55</v>
      </c>
      <c r="BL24" s="32"/>
      <c r="BM24" s="32"/>
      <c r="BN24" s="32"/>
      <c r="BO24" s="83"/>
    </row>
    <row r="25" spans="1:67">
      <c r="A25" s="4" t="s">
        <v>69</v>
      </c>
      <c r="B25" s="6" t="s">
        <v>21</v>
      </c>
      <c r="C25" s="57">
        <v>31021</v>
      </c>
      <c r="D25" s="4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1" t="s">
        <v>55</v>
      </c>
      <c r="T25" s="32"/>
      <c r="U25" s="32"/>
      <c r="V25" s="32"/>
      <c r="W25" s="32"/>
      <c r="X25" s="32"/>
      <c r="Y25" s="38"/>
      <c r="Z25" s="32"/>
      <c r="AA25" s="32"/>
      <c r="AB25" s="1" t="s">
        <v>55</v>
      </c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1" t="s">
        <v>55</v>
      </c>
      <c r="BE25" s="1" t="s">
        <v>55</v>
      </c>
      <c r="BF25" s="1" t="s">
        <v>55</v>
      </c>
      <c r="BG25" s="32"/>
      <c r="BH25" s="74"/>
      <c r="BI25" s="82"/>
      <c r="BJ25" s="32"/>
      <c r="BK25" s="32"/>
      <c r="BL25" s="32"/>
      <c r="BM25" s="32"/>
      <c r="BN25" s="32"/>
      <c r="BO25" s="83"/>
    </row>
    <row r="26" spans="1:67">
      <c r="A26" s="27" t="s">
        <v>65</v>
      </c>
      <c r="B26" s="6" t="s">
        <v>143</v>
      </c>
      <c r="C26" s="57">
        <v>31400</v>
      </c>
      <c r="D26" s="42"/>
      <c r="E26" s="32"/>
      <c r="F26" s="32"/>
      <c r="G26" s="32"/>
      <c r="H26" s="32"/>
      <c r="I26" s="32"/>
      <c r="J26" s="32"/>
      <c r="K26" s="32"/>
      <c r="L26" s="1" t="s">
        <v>55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8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74"/>
      <c r="BI26" s="82"/>
      <c r="BJ26" s="32"/>
      <c r="BK26" s="32"/>
      <c r="BL26" s="32"/>
      <c r="BM26" s="32"/>
      <c r="BN26" s="1" t="s">
        <v>55</v>
      </c>
      <c r="BO26" s="83"/>
    </row>
    <row r="27" spans="1:67">
      <c r="A27" s="27" t="s">
        <v>65</v>
      </c>
      <c r="B27" s="6" t="s">
        <v>166</v>
      </c>
      <c r="C27" s="57">
        <v>31401</v>
      </c>
      <c r="D27" s="42"/>
      <c r="E27" s="32"/>
      <c r="F27" s="32"/>
      <c r="G27" s="32"/>
      <c r="H27" s="32"/>
      <c r="I27" s="32"/>
      <c r="J27" s="32"/>
      <c r="K27" s="32"/>
      <c r="L27" s="1" t="s">
        <v>55</v>
      </c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8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74"/>
      <c r="BI27" s="82"/>
      <c r="BJ27" s="32"/>
      <c r="BK27" s="32"/>
      <c r="BL27" s="32"/>
      <c r="BM27" s="32"/>
      <c r="BN27" s="1" t="s">
        <v>55</v>
      </c>
      <c r="BO27" s="83"/>
    </row>
    <row r="28" spans="1:67">
      <c r="A28" s="4" t="s">
        <v>69</v>
      </c>
      <c r="B28" s="6" t="s">
        <v>24</v>
      </c>
      <c r="C28" s="57">
        <v>31024</v>
      </c>
      <c r="D28" s="42"/>
      <c r="E28" s="32"/>
      <c r="F28" s="32"/>
      <c r="G28" s="35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1" t="s">
        <v>55</v>
      </c>
      <c r="Z28" s="32"/>
      <c r="AA28" s="32"/>
      <c r="AB28" s="38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74"/>
      <c r="BI28" s="82"/>
      <c r="BJ28" s="32"/>
      <c r="BK28" s="32"/>
      <c r="BL28" s="32"/>
      <c r="BM28" s="32"/>
      <c r="BN28" s="32"/>
      <c r="BO28" s="83"/>
    </row>
    <row r="29" spans="1:67">
      <c r="A29" s="4" t="s">
        <v>69</v>
      </c>
      <c r="B29" s="6" t="s">
        <v>25</v>
      </c>
      <c r="C29" s="57">
        <v>31027</v>
      </c>
      <c r="D29" s="42"/>
      <c r="E29" s="1" t="s">
        <v>55</v>
      </c>
      <c r="F29" s="32"/>
      <c r="G29" s="35"/>
      <c r="H29" s="1" t="s">
        <v>55</v>
      </c>
      <c r="I29" s="32"/>
      <c r="J29" s="1" t="s">
        <v>55</v>
      </c>
      <c r="K29" s="1" t="s">
        <v>55</v>
      </c>
      <c r="L29" s="32"/>
      <c r="M29" s="32"/>
      <c r="N29" s="32"/>
      <c r="O29" s="32"/>
      <c r="P29" s="32"/>
      <c r="Q29" s="32"/>
      <c r="R29" s="1" t="s">
        <v>55</v>
      </c>
      <c r="S29" s="1" t="s">
        <v>55</v>
      </c>
      <c r="T29" s="32"/>
      <c r="U29" s="32"/>
      <c r="V29" s="32"/>
      <c r="W29" s="32"/>
      <c r="X29" s="32"/>
      <c r="Y29" s="32"/>
      <c r="Z29" s="32"/>
      <c r="AA29" s="32"/>
      <c r="AB29" s="32"/>
      <c r="AC29" s="38"/>
      <c r="AD29" s="1" t="s">
        <v>55</v>
      </c>
      <c r="AE29" s="1" t="s">
        <v>55</v>
      </c>
      <c r="AF29" s="1" t="s">
        <v>55</v>
      </c>
      <c r="AG29" s="1" t="s">
        <v>55</v>
      </c>
      <c r="AH29" s="1" t="s">
        <v>55</v>
      </c>
      <c r="AI29" s="1" t="s">
        <v>55</v>
      </c>
      <c r="AJ29" s="1" t="s">
        <v>55</v>
      </c>
      <c r="AK29" s="1" t="s">
        <v>55</v>
      </c>
      <c r="AL29" s="1" t="s">
        <v>55</v>
      </c>
      <c r="AM29" s="1" t="s">
        <v>55</v>
      </c>
      <c r="AN29" s="1" t="s">
        <v>55</v>
      </c>
      <c r="AO29" s="1" t="s">
        <v>55</v>
      </c>
      <c r="AP29" s="32"/>
      <c r="AQ29" s="32"/>
      <c r="AR29" s="32"/>
      <c r="AS29" s="1" t="s">
        <v>55</v>
      </c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74"/>
      <c r="BI29" s="82"/>
      <c r="BJ29" s="32"/>
      <c r="BK29" s="32"/>
      <c r="BL29" s="32"/>
      <c r="BM29" s="32"/>
      <c r="BN29" s="32"/>
      <c r="BO29" s="83"/>
    </row>
    <row r="30" spans="1:67">
      <c r="A30" s="4" t="s">
        <v>196</v>
      </c>
      <c r="B30" s="6" t="s">
        <v>27</v>
      </c>
      <c r="C30" s="57">
        <v>31201</v>
      </c>
      <c r="D30" s="42"/>
      <c r="E30" s="1" t="s">
        <v>55</v>
      </c>
      <c r="F30" s="32"/>
      <c r="G30" s="35"/>
      <c r="H30" s="1" t="s">
        <v>55</v>
      </c>
      <c r="I30" s="32"/>
      <c r="J30" s="32"/>
      <c r="K30" s="1" t="s">
        <v>55</v>
      </c>
      <c r="L30" s="32"/>
      <c r="M30" s="32"/>
      <c r="N30" s="32"/>
      <c r="O30" s="32"/>
      <c r="P30" s="32"/>
      <c r="Q30" s="32"/>
      <c r="R30" s="1" t="s">
        <v>55</v>
      </c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1" t="s">
        <v>55</v>
      </c>
      <c r="AD30" s="38"/>
      <c r="AE30" s="1" t="s">
        <v>55</v>
      </c>
      <c r="AF30" s="1" t="s">
        <v>55</v>
      </c>
      <c r="AG30" s="1" t="s">
        <v>55</v>
      </c>
      <c r="AH30" s="1" t="s">
        <v>55</v>
      </c>
      <c r="AI30" s="1" t="s">
        <v>55</v>
      </c>
      <c r="AJ30" s="1" t="s">
        <v>55</v>
      </c>
      <c r="AK30" s="1" t="s">
        <v>55</v>
      </c>
      <c r="AL30" s="1" t="s">
        <v>55</v>
      </c>
      <c r="AM30" s="1" t="s">
        <v>55</v>
      </c>
      <c r="AN30" s="1" t="s">
        <v>55</v>
      </c>
      <c r="AO30" s="1" t="s">
        <v>55</v>
      </c>
      <c r="AP30" s="32"/>
      <c r="AQ30" s="32"/>
      <c r="AR30" s="32"/>
      <c r="AS30" s="1" t="s">
        <v>55</v>
      </c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74"/>
      <c r="BI30" s="82"/>
      <c r="BJ30" s="32"/>
      <c r="BK30" s="32"/>
      <c r="BL30" s="32"/>
      <c r="BM30" s="32"/>
      <c r="BN30" s="32"/>
      <c r="BO30" s="83"/>
    </row>
    <row r="31" spans="1:67">
      <c r="A31" s="4" t="s">
        <v>196</v>
      </c>
      <c r="B31" s="6" t="s">
        <v>28</v>
      </c>
      <c r="C31" s="57">
        <v>31202</v>
      </c>
      <c r="D31" s="42"/>
      <c r="E31" s="1" t="s">
        <v>55</v>
      </c>
      <c r="F31" s="32"/>
      <c r="G31" s="35"/>
      <c r="H31" s="1" t="s">
        <v>55</v>
      </c>
      <c r="I31" s="32"/>
      <c r="J31" s="32"/>
      <c r="K31" s="1" t="s">
        <v>55</v>
      </c>
      <c r="L31" s="32"/>
      <c r="M31" s="32"/>
      <c r="N31" s="32"/>
      <c r="O31" s="32"/>
      <c r="P31" s="32"/>
      <c r="Q31" s="32"/>
      <c r="R31" s="1" t="s">
        <v>55</v>
      </c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1" t="s">
        <v>55</v>
      </c>
      <c r="AD31" s="1" t="s">
        <v>55</v>
      </c>
      <c r="AE31" s="38"/>
      <c r="AF31" s="1" t="s">
        <v>55</v>
      </c>
      <c r="AG31" s="1" t="s">
        <v>55</v>
      </c>
      <c r="AH31" s="1" t="s">
        <v>55</v>
      </c>
      <c r="AI31" s="1" t="s">
        <v>55</v>
      </c>
      <c r="AJ31" s="1" t="s">
        <v>55</v>
      </c>
      <c r="AK31" s="1" t="s">
        <v>55</v>
      </c>
      <c r="AL31" s="1" t="s">
        <v>55</v>
      </c>
      <c r="AM31" s="1" t="s">
        <v>55</v>
      </c>
      <c r="AN31" s="1" t="s">
        <v>55</v>
      </c>
      <c r="AO31" s="1" t="s">
        <v>55</v>
      </c>
      <c r="AP31" s="32"/>
      <c r="AQ31" s="32"/>
      <c r="AR31" s="32"/>
      <c r="AS31" s="1" t="s">
        <v>55</v>
      </c>
      <c r="AT31" s="32"/>
      <c r="AU31" s="32"/>
      <c r="AV31" s="32"/>
      <c r="AW31" s="32"/>
      <c r="AX31" s="32"/>
      <c r="AY31" s="32"/>
      <c r="AZ31" s="1" t="s">
        <v>55</v>
      </c>
      <c r="BA31" s="1" t="s">
        <v>55</v>
      </c>
      <c r="BB31" s="32"/>
      <c r="BC31" s="32"/>
      <c r="BD31" s="32"/>
      <c r="BE31" s="32"/>
      <c r="BF31" s="32"/>
      <c r="BG31" s="32"/>
      <c r="BH31" s="74"/>
      <c r="BI31" s="82"/>
      <c r="BJ31" s="32"/>
      <c r="BK31" s="32"/>
      <c r="BL31" s="32"/>
      <c r="BM31" s="32"/>
      <c r="BN31" s="32"/>
      <c r="BO31" s="83"/>
    </row>
    <row r="32" spans="1:67">
      <c r="A32" s="4" t="s">
        <v>196</v>
      </c>
      <c r="B32" s="6" t="s">
        <v>29</v>
      </c>
      <c r="C32" s="57">
        <v>31203</v>
      </c>
      <c r="D32" s="42"/>
      <c r="E32" s="1" t="s">
        <v>55</v>
      </c>
      <c r="F32" s="32"/>
      <c r="G32" s="35"/>
      <c r="H32" s="1" t="s">
        <v>55</v>
      </c>
      <c r="I32" s="32"/>
      <c r="J32" s="32"/>
      <c r="K32" s="1" t="s">
        <v>55</v>
      </c>
      <c r="L32" s="32"/>
      <c r="M32" s="32"/>
      <c r="N32" s="32"/>
      <c r="O32" s="32"/>
      <c r="P32" s="32"/>
      <c r="Q32" s="32"/>
      <c r="R32" s="1" t="s">
        <v>55</v>
      </c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1" t="s">
        <v>55</v>
      </c>
      <c r="AD32" s="1" t="s">
        <v>55</v>
      </c>
      <c r="AE32" s="1" t="s">
        <v>55</v>
      </c>
      <c r="AF32" s="38"/>
      <c r="AG32" s="1" t="s">
        <v>55</v>
      </c>
      <c r="AH32" s="1" t="s">
        <v>55</v>
      </c>
      <c r="AI32" s="1" t="s">
        <v>55</v>
      </c>
      <c r="AJ32" s="1" t="s">
        <v>55</v>
      </c>
      <c r="AK32" s="1" t="s">
        <v>55</v>
      </c>
      <c r="AL32" s="1" t="s">
        <v>55</v>
      </c>
      <c r="AM32" s="1" t="s">
        <v>55</v>
      </c>
      <c r="AN32" s="1" t="s">
        <v>55</v>
      </c>
      <c r="AO32" s="1" t="s">
        <v>55</v>
      </c>
      <c r="AP32" s="32"/>
      <c r="AQ32" s="32"/>
      <c r="AR32" s="32"/>
      <c r="AS32" s="1" t="s">
        <v>55</v>
      </c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74"/>
      <c r="BI32" s="82"/>
      <c r="BJ32" s="32"/>
      <c r="BK32" s="32"/>
      <c r="BL32" s="32"/>
      <c r="BM32" s="32"/>
      <c r="BN32" s="32"/>
      <c r="BO32" s="83"/>
    </row>
    <row r="33" spans="1:67">
      <c r="A33" s="4" t="s">
        <v>196</v>
      </c>
      <c r="B33" s="6" t="s">
        <v>30</v>
      </c>
      <c r="C33" s="57">
        <v>31204</v>
      </c>
      <c r="D33" s="42"/>
      <c r="E33" s="1" t="s">
        <v>55</v>
      </c>
      <c r="F33" s="32"/>
      <c r="G33" s="35"/>
      <c r="H33" s="1" t="s">
        <v>55</v>
      </c>
      <c r="I33" s="32"/>
      <c r="J33" s="32"/>
      <c r="K33" s="1" t="s">
        <v>55</v>
      </c>
      <c r="L33" s="32"/>
      <c r="M33" s="32"/>
      <c r="N33" s="32"/>
      <c r="O33" s="32"/>
      <c r="P33" s="32"/>
      <c r="Q33" s="32"/>
      <c r="R33" s="1" t="s">
        <v>55</v>
      </c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1" t="s">
        <v>55</v>
      </c>
      <c r="AD33" s="1" t="s">
        <v>55</v>
      </c>
      <c r="AE33" s="1" t="s">
        <v>55</v>
      </c>
      <c r="AF33" s="1" t="s">
        <v>55</v>
      </c>
      <c r="AG33" s="38"/>
      <c r="AH33" s="1" t="s">
        <v>55</v>
      </c>
      <c r="AI33" s="1" t="s">
        <v>55</v>
      </c>
      <c r="AJ33" s="1" t="s">
        <v>55</v>
      </c>
      <c r="AK33" s="1" t="s">
        <v>55</v>
      </c>
      <c r="AL33" s="1" t="s">
        <v>55</v>
      </c>
      <c r="AM33" s="1" t="s">
        <v>55</v>
      </c>
      <c r="AN33" s="1" t="s">
        <v>55</v>
      </c>
      <c r="AO33" s="1" t="s">
        <v>55</v>
      </c>
      <c r="AP33" s="32"/>
      <c r="AQ33" s="32"/>
      <c r="AR33" s="32"/>
      <c r="AS33" s="1" t="s">
        <v>55</v>
      </c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74"/>
      <c r="BI33" s="82"/>
      <c r="BJ33" s="32"/>
      <c r="BK33" s="32"/>
      <c r="BL33" s="32"/>
      <c r="BM33" s="32"/>
      <c r="BN33" s="32"/>
      <c r="BO33" s="83"/>
    </row>
    <row r="34" spans="1:67">
      <c r="A34" s="4" t="s">
        <v>196</v>
      </c>
      <c r="B34" s="6" t="s">
        <v>31</v>
      </c>
      <c r="C34" s="57">
        <v>31205</v>
      </c>
      <c r="D34" s="42"/>
      <c r="E34" s="1" t="s">
        <v>55</v>
      </c>
      <c r="F34" s="32"/>
      <c r="G34" s="35"/>
      <c r="H34" s="1" t="s">
        <v>55</v>
      </c>
      <c r="I34" s="32"/>
      <c r="J34" s="32"/>
      <c r="K34" s="1" t="s">
        <v>55</v>
      </c>
      <c r="L34" s="32"/>
      <c r="M34" s="32"/>
      <c r="N34" s="32"/>
      <c r="O34" s="32"/>
      <c r="P34" s="32"/>
      <c r="Q34" s="32"/>
      <c r="R34" s="1" t="s">
        <v>55</v>
      </c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1" t="s">
        <v>55</v>
      </c>
      <c r="AD34" s="1" t="s">
        <v>55</v>
      </c>
      <c r="AE34" s="1" t="s">
        <v>55</v>
      </c>
      <c r="AF34" s="1" t="s">
        <v>55</v>
      </c>
      <c r="AG34" s="1" t="s">
        <v>55</v>
      </c>
      <c r="AH34" s="38"/>
      <c r="AI34" s="1" t="s">
        <v>55</v>
      </c>
      <c r="AJ34" s="1" t="s">
        <v>55</v>
      </c>
      <c r="AK34" s="1" t="s">
        <v>55</v>
      </c>
      <c r="AL34" s="1" t="s">
        <v>55</v>
      </c>
      <c r="AM34" s="1" t="s">
        <v>55</v>
      </c>
      <c r="AN34" s="1" t="s">
        <v>55</v>
      </c>
      <c r="AO34" s="1" t="s">
        <v>55</v>
      </c>
      <c r="AP34" s="32"/>
      <c r="AQ34" s="32"/>
      <c r="AR34" s="32"/>
      <c r="AS34" s="1" t="s">
        <v>55</v>
      </c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74"/>
      <c r="BI34" s="82"/>
      <c r="BJ34" s="32"/>
      <c r="BK34" s="32"/>
      <c r="BL34" s="32"/>
      <c r="BM34" s="32"/>
      <c r="BN34" s="32"/>
      <c r="BO34" s="83"/>
    </row>
    <row r="35" spans="1:67">
      <c r="A35" s="4" t="s">
        <v>196</v>
      </c>
      <c r="B35" s="6" t="s">
        <v>32</v>
      </c>
      <c r="C35" s="57">
        <v>31206</v>
      </c>
      <c r="D35" s="42"/>
      <c r="E35" s="1" t="s">
        <v>55</v>
      </c>
      <c r="F35" s="32"/>
      <c r="G35" s="1" t="s">
        <v>55</v>
      </c>
      <c r="H35" s="1" t="s">
        <v>55</v>
      </c>
      <c r="I35" s="32"/>
      <c r="J35" s="32"/>
      <c r="K35" s="1" t="s">
        <v>55</v>
      </c>
      <c r="L35" s="32"/>
      <c r="M35" s="32"/>
      <c r="N35" s="32"/>
      <c r="O35" s="32"/>
      <c r="P35" s="32"/>
      <c r="Q35" s="32"/>
      <c r="R35" s="1" t="s">
        <v>55</v>
      </c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1" t="s">
        <v>55</v>
      </c>
      <c r="AD35" s="1" t="s">
        <v>55</v>
      </c>
      <c r="AE35" s="1" t="s">
        <v>55</v>
      </c>
      <c r="AF35" s="1" t="s">
        <v>55</v>
      </c>
      <c r="AG35" s="1" t="s">
        <v>55</v>
      </c>
      <c r="AH35" s="1" t="s">
        <v>55</v>
      </c>
      <c r="AI35" s="38"/>
      <c r="AJ35" s="1" t="s">
        <v>55</v>
      </c>
      <c r="AK35" s="1" t="s">
        <v>55</v>
      </c>
      <c r="AL35" s="1" t="s">
        <v>55</v>
      </c>
      <c r="AM35" s="1" t="s">
        <v>55</v>
      </c>
      <c r="AN35" s="1" t="s">
        <v>55</v>
      </c>
      <c r="AO35" s="1" t="s">
        <v>55</v>
      </c>
      <c r="AP35" s="32"/>
      <c r="AQ35" s="32"/>
      <c r="AR35" s="1" t="s">
        <v>55</v>
      </c>
      <c r="AS35" s="1" t="s">
        <v>55</v>
      </c>
      <c r="AT35" s="32"/>
      <c r="AU35" s="32"/>
      <c r="AV35" s="32"/>
      <c r="AW35" s="32"/>
      <c r="AX35" s="32"/>
      <c r="AY35" s="1" t="s">
        <v>55</v>
      </c>
      <c r="AZ35" s="32"/>
      <c r="BA35" s="32"/>
      <c r="BB35" s="32"/>
      <c r="BC35" s="32"/>
      <c r="BD35" s="32"/>
      <c r="BE35" s="32"/>
      <c r="BF35" s="32"/>
      <c r="BG35" s="32"/>
      <c r="BH35" s="74"/>
      <c r="BI35" s="82"/>
      <c r="BJ35" s="32"/>
      <c r="BK35" s="32"/>
      <c r="BL35" s="32"/>
      <c r="BM35" s="32"/>
      <c r="BN35" s="32"/>
      <c r="BO35" s="83"/>
    </row>
    <row r="36" spans="1:67">
      <c r="A36" s="4" t="s">
        <v>196</v>
      </c>
      <c r="B36" s="6" t="s">
        <v>33</v>
      </c>
      <c r="C36" s="57">
        <v>31207</v>
      </c>
      <c r="D36" s="42"/>
      <c r="E36" s="1" t="s">
        <v>55</v>
      </c>
      <c r="F36" s="32"/>
      <c r="G36" s="35"/>
      <c r="H36" s="1" t="s">
        <v>55</v>
      </c>
      <c r="I36" s="32"/>
      <c r="J36" s="32"/>
      <c r="K36" s="1" t="s">
        <v>55</v>
      </c>
      <c r="L36" s="32"/>
      <c r="M36" s="32"/>
      <c r="N36" s="32"/>
      <c r="O36" s="32"/>
      <c r="P36" s="32"/>
      <c r="Q36" s="32"/>
      <c r="R36" s="1" t="s">
        <v>55</v>
      </c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1" t="s">
        <v>55</v>
      </c>
      <c r="AD36" s="1" t="s">
        <v>55</v>
      </c>
      <c r="AE36" s="1" t="s">
        <v>55</v>
      </c>
      <c r="AF36" s="1" t="s">
        <v>55</v>
      </c>
      <c r="AG36" s="1" t="s">
        <v>55</v>
      </c>
      <c r="AH36" s="1" t="s">
        <v>55</v>
      </c>
      <c r="AI36" s="1" t="s">
        <v>55</v>
      </c>
      <c r="AJ36" s="38"/>
      <c r="AK36" s="1" t="s">
        <v>55</v>
      </c>
      <c r="AL36" s="1" t="s">
        <v>55</v>
      </c>
      <c r="AM36" s="1" t="s">
        <v>55</v>
      </c>
      <c r="AN36" s="1" t="s">
        <v>55</v>
      </c>
      <c r="AO36" s="1" t="s">
        <v>55</v>
      </c>
      <c r="AP36" s="32"/>
      <c r="AQ36" s="32"/>
      <c r="AR36" s="32"/>
      <c r="AS36" s="1" t="s">
        <v>55</v>
      </c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74"/>
      <c r="BI36" s="82"/>
      <c r="BJ36" s="32"/>
      <c r="BK36" s="32"/>
      <c r="BL36" s="32"/>
      <c r="BM36" s="32"/>
      <c r="BN36" s="32"/>
      <c r="BO36" s="83"/>
    </row>
    <row r="37" spans="1:67">
      <c r="A37" s="4" t="s">
        <v>196</v>
      </c>
      <c r="B37" s="6" t="s">
        <v>34</v>
      </c>
      <c r="C37" s="57">
        <v>31208</v>
      </c>
      <c r="D37" s="42"/>
      <c r="E37" s="1" t="s">
        <v>55</v>
      </c>
      <c r="F37" s="32"/>
      <c r="G37" s="35"/>
      <c r="H37" s="1" t="s">
        <v>55</v>
      </c>
      <c r="I37" s="32"/>
      <c r="J37" s="32"/>
      <c r="K37" s="1" t="s">
        <v>55</v>
      </c>
      <c r="L37" s="32"/>
      <c r="M37" s="32"/>
      <c r="N37" s="32"/>
      <c r="O37" s="32"/>
      <c r="P37" s="32"/>
      <c r="Q37" s="32"/>
      <c r="R37" s="1" t="s">
        <v>55</v>
      </c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1" t="s">
        <v>55</v>
      </c>
      <c r="AD37" s="1" t="s">
        <v>55</v>
      </c>
      <c r="AE37" s="1" t="s">
        <v>55</v>
      </c>
      <c r="AF37" s="1" t="s">
        <v>55</v>
      </c>
      <c r="AG37" s="1" t="s">
        <v>55</v>
      </c>
      <c r="AH37" s="1" t="s">
        <v>55</v>
      </c>
      <c r="AI37" s="1" t="s">
        <v>55</v>
      </c>
      <c r="AJ37" s="1" t="s">
        <v>55</v>
      </c>
      <c r="AK37" s="38"/>
      <c r="AL37" s="1" t="s">
        <v>55</v>
      </c>
      <c r="AM37" s="1" t="s">
        <v>55</v>
      </c>
      <c r="AN37" s="1" t="s">
        <v>55</v>
      </c>
      <c r="AO37" s="1" t="s">
        <v>55</v>
      </c>
      <c r="AP37" s="32"/>
      <c r="AQ37" s="32"/>
      <c r="AR37" s="32"/>
      <c r="AS37" s="1" t="s">
        <v>55</v>
      </c>
      <c r="AT37" s="32"/>
      <c r="AU37" s="32"/>
      <c r="AV37" s="32"/>
      <c r="AW37" s="32"/>
      <c r="AX37" s="32"/>
      <c r="AY37" s="32"/>
      <c r="AZ37" s="1" t="s">
        <v>55</v>
      </c>
      <c r="BA37" s="1" t="s">
        <v>55</v>
      </c>
      <c r="BB37" s="32"/>
      <c r="BC37" s="32"/>
      <c r="BD37" s="32"/>
      <c r="BE37" s="32"/>
      <c r="BF37" s="32"/>
      <c r="BG37" s="32"/>
      <c r="BH37" s="74"/>
      <c r="BI37" s="82"/>
      <c r="BJ37" s="32"/>
      <c r="BK37" s="32"/>
      <c r="BL37" s="32"/>
      <c r="BM37" s="32"/>
      <c r="BN37" s="32"/>
      <c r="BO37" s="83"/>
    </row>
    <row r="38" spans="1:67">
      <c r="A38" s="4" t="s">
        <v>196</v>
      </c>
      <c r="B38" s="6" t="s">
        <v>35</v>
      </c>
      <c r="C38" s="57">
        <v>31209</v>
      </c>
      <c r="D38" s="42"/>
      <c r="E38" s="1" t="s">
        <v>55</v>
      </c>
      <c r="F38" s="32"/>
      <c r="G38" s="1" t="s">
        <v>55</v>
      </c>
      <c r="H38" s="1" t="s">
        <v>55</v>
      </c>
      <c r="I38" s="32"/>
      <c r="J38" s="32"/>
      <c r="K38" s="1" t="s">
        <v>55</v>
      </c>
      <c r="L38" s="32"/>
      <c r="M38" s="32"/>
      <c r="N38" s="32"/>
      <c r="O38" s="32"/>
      <c r="P38" s="32"/>
      <c r="Q38" s="32"/>
      <c r="R38" s="1" t="s">
        <v>55</v>
      </c>
      <c r="S38" s="32"/>
      <c r="T38" s="32"/>
      <c r="U38" s="32"/>
      <c r="V38" s="32"/>
      <c r="W38" s="32"/>
      <c r="X38" s="32"/>
      <c r="Y38" s="1" t="s">
        <v>55</v>
      </c>
      <c r="Z38" s="32"/>
      <c r="AA38" s="32"/>
      <c r="AB38" s="32"/>
      <c r="AC38" s="1" t="s">
        <v>55</v>
      </c>
      <c r="AD38" s="1" t="s">
        <v>55</v>
      </c>
      <c r="AE38" s="1" t="s">
        <v>55</v>
      </c>
      <c r="AF38" s="1" t="s">
        <v>55</v>
      </c>
      <c r="AG38" s="1" t="s">
        <v>55</v>
      </c>
      <c r="AH38" s="1" t="s">
        <v>55</v>
      </c>
      <c r="AI38" s="1" t="s">
        <v>55</v>
      </c>
      <c r="AJ38" s="1" t="s">
        <v>55</v>
      </c>
      <c r="AK38" s="1" t="s">
        <v>55</v>
      </c>
      <c r="AL38" s="38"/>
      <c r="AM38" s="1" t="s">
        <v>55</v>
      </c>
      <c r="AN38" s="1" t="s">
        <v>55</v>
      </c>
      <c r="AO38" s="1" t="s">
        <v>55</v>
      </c>
      <c r="AP38" s="32"/>
      <c r="AQ38" s="32"/>
      <c r="AR38" s="32"/>
      <c r="AS38" s="1" t="s">
        <v>55</v>
      </c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74"/>
      <c r="BI38" s="82"/>
      <c r="BJ38" s="32"/>
      <c r="BK38" s="32"/>
      <c r="BL38" s="32"/>
      <c r="BM38" s="32"/>
      <c r="BN38" s="32"/>
      <c r="BO38" s="83"/>
    </row>
    <row r="39" spans="1:67">
      <c r="A39" s="4" t="s">
        <v>196</v>
      </c>
      <c r="B39" s="6" t="s">
        <v>36</v>
      </c>
      <c r="C39" s="57">
        <v>31210</v>
      </c>
      <c r="D39" s="42"/>
      <c r="E39" s="1" t="s">
        <v>55</v>
      </c>
      <c r="F39" s="32"/>
      <c r="G39" s="35"/>
      <c r="H39" s="1" t="s">
        <v>55</v>
      </c>
      <c r="I39" s="32"/>
      <c r="J39" s="32"/>
      <c r="K39" s="1" t="s">
        <v>55</v>
      </c>
      <c r="L39" s="32"/>
      <c r="M39" s="32"/>
      <c r="N39" s="32"/>
      <c r="O39" s="32"/>
      <c r="P39" s="32"/>
      <c r="Q39" s="32"/>
      <c r="R39" s="1" t="s">
        <v>55</v>
      </c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1" t="s">
        <v>55</v>
      </c>
      <c r="AD39" s="1" t="s">
        <v>55</v>
      </c>
      <c r="AE39" s="1" t="s">
        <v>55</v>
      </c>
      <c r="AF39" s="1" t="s">
        <v>55</v>
      </c>
      <c r="AG39" s="1" t="s">
        <v>55</v>
      </c>
      <c r="AH39" s="1" t="s">
        <v>55</v>
      </c>
      <c r="AI39" s="1" t="s">
        <v>55</v>
      </c>
      <c r="AJ39" s="1" t="s">
        <v>55</v>
      </c>
      <c r="AK39" s="1" t="s">
        <v>55</v>
      </c>
      <c r="AL39" s="1" t="s">
        <v>55</v>
      </c>
      <c r="AM39" s="38"/>
      <c r="AN39" s="1" t="s">
        <v>55</v>
      </c>
      <c r="AO39" s="1" t="s">
        <v>55</v>
      </c>
      <c r="AP39" s="32"/>
      <c r="AQ39" s="32"/>
      <c r="AR39" s="32"/>
      <c r="AS39" s="1" t="s">
        <v>55</v>
      </c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74"/>
      <c r="BI39" s="82"/>
      <c r="BJ39" s="32"/>
      <c r="BK39" s="32"/>
      <c r="BL39" s="32"/>
      <c r="BM39" s="32"/>
      <c r="BN39" s="32"/>
      <c r="BO39" s="83"/>
    </row>
    <row r="40" spans="1:67">
      <c r="A40" s="4" t="s">
        <v>196</v>
      </c>
      <c r="B40" s="6" t="s">
        <v>37</v>
      </c>
      <c r="C40" s="57">
        <v>31301</v>
      </c>
      <c r="D40" s="42"/>
      <c r="E40" s="44"/>
      <c r="F40" s="32"/>
      <c r="G40" s="35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1" t="s">
        <v>55</v>
      </c>
      <c r="S40" s="1" t="s">
        <v>55</v>
      </c>
      <c r="T40" s="32"/>
      <c r="U40" s="32"/>
      <c r="V40" s="32"/>
      <c r="W40" s="32"/>
      <c r="X40" s="32"/>
      <c r="Y40" s="32"/>
      <c r="Z40" s="32"/>
      <c r="AA40" s="32"/>
      <c r="AB40" s="32"/>
      <c r="AC40" s="1" t="s">
        <v>55</v>
      </c>
      <c r="AD40" s="1" t="s">
        <v>55</v>
      </c>
      <c r="AE40" s="1" t="s">
        <v>55</v>
      </c>
      <c r="AF40" s="1" t="s">
        <v>55</v>
      </c>
      <c r="AG40" s="1" t="s">
        <v>55</v>
      </c>
      <c r="AH40" s="1" t="s">
        <v>55</v>
      </c>
      <c r="AI40" s="1" t="s">
        <v>55</v>
      </c>
      <c r="AJ40" s="1" t="s">
        <v>55</v>
      </c>
      <c r="AK40" s="1" t="s">
        <v>55</v>
      </c>
      <c r="AL40" s="1" t="s">
        <v>55</v>
      </c>
      <c r="AM40" s="1" t="s">
        <v>55</v>
      </c>
      <c r="AN40" s="38"/>
      <c r="AO40" s="1" t="s">
        <v>55</v>
      </c>
      <c r="AP40" s="32"/>
      <c r="AQ40" s="32"/>
      <c r="AR40" s="1" t="s">
        <v>55</v>
      </c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74"/>
      <c r="BI40" s="82"/>
      <c r="BJ40" s="32"/>
      <c r="BK40" s="32"/>
      <c r="BL40" s="32"/>
      <c r="BM40" s="32"/>
      <c r="BN40" s="32"/>
      <c r="BO40" s="83"/>
    </row>
    <row r="41" spans="1:67">
      <c r="A41" s="4" t="s">
        <v>196</v>
      </c>
      <c r="B41" s="6" t="s">
        <v>38</v>
      </c>
      <c r="C41" s="57">
        <v>31302</v>
      </c>
      <c r="D41" s="42"/>
      <c r="E41" s="32"/>
      <c r="F41" s="32"/>
      <c r="G41" s="35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1" t="s">
        <v>55</v>
      </c>
      <c r="S41" s="1" t="s">
        <v>55</v>
      </c>
      <c r="T41" s="32"/>
      <c r="U41" s="32"/>
      <c r="V41" s="32"/>
      <c r="W41" s="32"/>
      <c r="X41" s="32"/>
      <c r="Y41" s="32"/>
      <c r="Z41" s="32"/>
      <c r="AA41" s="32"/>
      <c r="AB41" s="32"/>
      <c r="AC41" s="1" t="s">
        <v>55</v>
      </c>
      <c r="AD41" s="1" t="s">
        <v>55</v>
      </c>
      <c r="AE41" s="1" t="s">
        <v>55</v>
      </c>
      <c r="AF41" s="1" t="s">
        <v>55</v>
      </c>
      <c r="AG41" s="1" t="s">
        <v>55</v>
      </c>
      <c r="AH41" s="1" t="s">
        <v>55</v>
      </c>
      <c r="AI41" s="1" t="s">
        <v>55</v>
      </c>
      <c r="AJ41" s="1" t="s">
        <v>55</v>
      </c>
      <c r="AK41" s="1" t="s">
        <v>55</v>
      </c>
      <c r="AL41" s="1" t="s">
        <v>55</v>
      </c>
      <c r="AM41" s="1" t="s">
        <v>55</v>
      </c>
      <c r="AN41" s="1" t="s">
        <v>55</v>
      </c>
      <c r="AO41" s="38"/>
      <c r="AP41" s="32"/>
      <c r="AQ41" s="32"/>
      <c r="AR41" s="1" t="s">
        <v>55</v>
      </c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74"/>
      <c r="BI41" s="82"/>
      <c r="BJ41" s="32"/>
      <c r="BK41" s="32"/>
      <c r="BL41" s="32"/>
      <c r="BM41" s="32"/>
      <c r="BN41" s="32"/>
      <c r="BO41" s="83"/>
    </row>
    <row r="42" spans="1:67">
      <c r="A42" s="4" t="s">
        <v>196</v>
      </c>
      <c r="B42" s="6" t="s">
        <v>39</v>
      </c>
      <c r="C42" s="57">
        <v>31307</v>
      </c>
      <c r="D42" s="42"/>
      <c r="E42" s="32"/>
      <c r="F42" s="32"/>
      <c r="G42" s="35"/>
      <c r="H42" s="1" t="s">
        <v>55</v>
      </c>
      <c r="I42" s="32"/>
      <c r="J42" s="32"/>
      <c r="K42" s="32"/>
      <c r="L42" s="32"/>
      <c r="M42" s="32"/>
      <c r="N42" s="32"/>
      <c r="O42" s="32"/>
      <c r="P42" s="32"/>
      <c r="Q42" s="32"/>
      <c r="R42" s="1" t="s">
        <v>55</v>
      </c>
      <c r="S42" s="32"/>
      <c r="T42" s="32"/>
      <c r="U42" s="32"/>
      <c r="V42" s="32"/>
      <c r="W42" s="32"/>
      <c r="X42" s="32"/>
      <c r="Y42" s="32"/>
      <c r="Z42" s="1" t="s">
        <v>55</v>
      </c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8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74"/>
      <c r="BI42" s="82"/>
      <c r="BJ42" s="32"/>
      <c r="BK42" s="32"/>
      <c r="BL42" s="32"/>
      <c r="BM42" s="32"/>
      <c r="BN42" s="32"/>
      <c r="BO42" s="83"/>
    </row>
    <row r="43" spans="1:67">
      <c r="A43" s="4" t="s">
        <v>196</v>
      </c>
      <c r="B43" s="6" t="s">
        <v>40</v>
      </c>
      <c r="C43" s="57">
        <v>31308</v>
      </c>
      <c r="D43" s="42"/>
      <c r="E43" s="32"/>
      <c r="F43" s="32"/>
      <c r="G43" s="35"/>
      <c r="H43" s="1" t="s">
        <v>55</v>
      </c>
      <c r="I43" s="32"/>
      <c r="J43" s="32"/>
      <c r="K43" s="32"/>
      <c r="L43" s="32"/>
      <c r="M43" s="32"/>
      <c r="N43" s="32"/>
      <c r="O43" s="32"/>
      <c r="P43" s="32"/>
      <c r="Q43" s="32"/>
      <c r="R43" s="1" t="s">
        <v>55</v>
      </c>
      <c r="S43" s="32"/>
      <c r="T43" s="32"/>
      <c r="U43" s="32"/>
      <c r="V43" s="32"/>
      <c r="W43" s="32"/>
      <c r="X43" s="32"/>
      <c r="Y43" s="32"/>
      <c r="Z43" s="1" t="s">
        <v>55</v>
      </c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8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74"/>
      <c r="BI43" s="82"/>
      <c r="BJ43" s="32"/>
      <c r="BK43" s="32"/>
      <c r="BL43" s="32"/>
      <c r="BM43" s="32"/>
      <c r="BN43" s="32"/>
      <c r="BO43" s="83"/>
    </row>
    <row r="44" spans="1:67">
      <c r="A44" s="4" t="s">
        <v>196</v>
      </c>
      <c r="B44" s="6" t="s">
        <v>41</v>
      </c>
      <c r="C44" s="57">
        <v>31309</v>
      </c>
      <c r="D44" s="42"/>
      <c r="E44" s="32"/>
      <c r="F44" s="32"/>
      <c r="G44" s="35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1" t="s">
        <v>55</v>
      </c>
      <c r="S44" s="32"/>
      <c r="T44" s="32"/>
      <c r="U44" s="32"/>
      <c r="V44" s="32"/>
      <c r="W44" s="32"/>
      <c r="X44" s="32"/>
      <c r="Y44" s="32"/>
      <c r="Z44" s="1" t="s">
        <v>55</v>
      </c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8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74"/>
      <c r="BI44" s="82"/>
      <c r="BJ44" s="32"/>
      <c r="BK44" s="32"/>
      <c r="BL44" s="32"/>
      <c r="BM44" s="32"/>
      <c r="BN44" s="32"/>
      <c r="BO44" s="83"/>
    </row>
    <row r="45" spans="1:67">
      <c r="A45" s="4" t="s">
        <v>196</v>
      </c>
      <c r="B45" s="6" t="s">
        <v>42</v>
      </c>
      <c r="C45" s="57">
        <v>31310</v>
      </c>
      <c r="D45" s="42"/>
      <c r="E45" s="1" t="s">
        <v>55</v>
      </c>
      <c r="F45" s="32"/>
      <c r="G45" s="35"/>
      <c r="H45" s="1" t="s">
        <v>55</v>
      </c>
      <c r="I45" s="32"/>
      <c r="J45" s="32"/>
      <c r="K45" s="32"/>
      <c r="L45" s="32"/>
      <c r="M45" s="32"/>
      <c r="N45" s="32"/>
      <c r="O45" s="32"/>
      <c r="P45" s="32"/>
      <c r="Q45" s="32"/>
      <c r="R45" s="1" t="s">
        <v>55</v>
      </c>
      <c r="S45" s="1" t="s">
        <v>55</v>
      </c>
      <c r="T45" s="32"/>
      <c r="U45" s="32"/>
      <c r="V45" s="32"/>
      <c r="W45" s="32"/>
      <c r="X45" s="32"/>
      <c r="Y45" s="32"/>
      <c r="Z45" s="32"/>
      <c r="AA45" s="32"/>
      <c r="AB45" s="32"/>
      <c r="AC45" s="1" t="s">
        <v>55</v>
      </c>
      <c r="AD45" s="1" t="s">
        <v>55</v>
      </c>
      <c r="AE45" s="1" t="s">
        <v>55</v>
      </c>
      <c r="AF45" s="1" t="s">
        <v>55</v>
      </c>
      <c r="AG45" s="1" t="s">
        <v>55</v>
      </c>
      <c r="AH45" s="1" t="s">
        <v>55</v>
      </c>
      <c r="AI45" s="1" t="s">
        <v>55</v>
      </c>
      <c r="AJ45" s="1" t="s">
        <v>55</v>
      </c>
      <c r="AK45" s="1" t="s">
        <v>55</v>
      </c>
      <c r="AL45" s="1" t="s">
        <v>55</v>
      </c>
      <c r="AM45" s="1" t="s">
        <v>55</v>
      </c>
      <c r="AN45" s="32"/>
      <c r="AO45" s="32"/>
      <c r="AP45" s="32"/>
      <c r="AQ45" s="32"/>
      <c r="AR45" s="1" t="s">
        <v>55</v>
      </c>
      <c r="AS45" s="38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74"/>
      <c r="BI45" s="82"/>
      <c r="BJ45" s="32"/>
      <c r="BK45" s="32"/>
      <c r="BL45" s="32"/>
      <c r="BM45" s="32"/>
      <c r="BN45" s="32"/>
      <c r="BO45" s="83"/>
    </row>
    <row r="46" spans="1:67">
      <c r="A46" s="27" t="s">
        <v>65</v>
      </c>
      <c r="B46" s="6" t="s">
        <v>167</v>
      </c>
      <c r="C46" s="57">
        <v>31402</v>
      </c>
      <c r="D46" s="42"/>
      <c r="E46" s="32"/>
      <c r="F46" s="32"/>
      <c r="G46" s="35"/>
      <c r="H46" s="32"/>
      <c r="I46" s="32"/>
      <c r="J46" s="32"/>
      <c r="K46" s="32"/>
      <c r="L46" s="1" t="s">
        <v>55</v>
      </c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8"/>
      <c r="AU46" s="32"/>
      <c r="AV46" s="32"/>
      <c r="AW46" s="32"/>
      <c r="AX46" s="32"/>
      <c r="AY46" s="32"/>
      <c r="AZ46" s="1" t="s">
        <v>55</v>
      </c>
      <c r="BA46" s="32"/>
      <c r="BB46" s="32"/>
      <c r="BC46" s="32"/>
      <c r="BD46" s="32"/>
      <c r="BE46" s="32"/>
      <c r="BF46" s="32"/>
      <c r="BG46" s="32"/>
      <c r="BH46" s="74"/>
      <c r="BI46" s="82"/>
      <c r="BJ46" s="32"/>
      <c r="BK46" s="32"/>
      <c r="BL46" s="32"/>
      <c r="BM46" s="32"/>
      <c r="BN46" s="1" t="s">
        <v>55</v>
      </c>
      <c r="BO46" s="83"/>
    </row>
    <row r="47" spans="1:67">
      <c r="A47" s="27" t="s">
        <v>82</v>
      </c>
      <c r="B47" s="6" t="s">
        <v>147</v>
      </c>
      <c r="C47" s="57">
        <v>31403</v>
      </c>
      <c r="D47" s="42"/>
      <c r="E47" s="32"/>
      <c r="F47" s="32"/>
      <c r="G47" s="35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8"/>
      <c r="AV47" s="32"/>
      <c r="AW47" s="32"/>
      <c r="AX47" s="32"/>
      <c r="AY47" s="32"/>
      <c r="AZ47" s="32"/>
      <c r="BA47" s="1" t="s">
        <v>55</v>
      </c>
      <c r="BB47" s="32"/>
      <c r="BC47" s="32"/>
      <c r="BD47" s="32"/>
      <c r="BE47" s="32"/>
      <c r="BF47" s="32"/>
      <c r="BG47" s="32"/>
      <c r="BH47" s="74"/>
      <c r="BI47" s="82"/>
      <c r="BJ47" s="32"/>
      <c r="BK47" s="32"/>
      <c r="BL47" s="32"/>
      <c r="BM47" s="32"/>
      <c r="BN47" s="32"/>
      <c r="BO47" s="83"/>
    </row>
    <row r="48" spans="1:67">
      <c r="A48" s="27" t="s">
        <v>82</v>
      </c>
      <c r="B48" s="6" t="s">
        <v>152</v>
      </c>
      <c r="C48" s="57">
        <v>31404</v>
      </c>
      <c r="D48" s="42"/>
      <c r="E48" s="32"/>
      <c r="F48" s="32"/>
      <c r="G48" s="35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8"/>
      <c r="AW48" s="32"/>
      <c r="AX48" s="32"/>
      <c r="AY48" s="32"/>
      <c r="AZ48" s="32"/>
      <c r="BA48" s="32"/>
      <c r="BB48" s="1" t="s">
        <v>55</v>
      </c>
      <c r="BC48" s="32"/>
      <c r="BD48" s="32"/>
      <c r="BE48" s="32"/>
      <c r="BF48" s="32"/>
      <c r="BG48" s="32"/>
      <c r="BH48" s="74"/>
      <c r="BI48" s="82"/>
      <c r="BJ48" s="32"/>
      <c r="BK48" s="32"/>
      <c r="BL48" s="32"/>
      <c r="BM48" s="32"/>
      <c r="BN48" s="32"/>
      <c r="BO48" s="83"/>
    </row>
    <row r="49" spans="1:67">
      <c r="A49" s="4" t="s">
        <v>69</v>
      </c>
      <c r="B49" s="6" t="s">
        <v>4</v>
      </c>
      <c r="C49" s="57">
        <v>31311</v>
      </c>
      <c r="D49" s="42"/>
      <c r="E49" s="32"/>
      <c r="F49" s="32"/>
      <c r="G49" s="35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8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74"/>
      <c r="BI49" s="82"/>
      <c r="BJ49" s="32"/>
      <c r="BK49" s="32"/>
      <c r="BL49" s="32"/>
      <c r="BM49" s="32"/>
      <c r="BN49" s="32"/>
      <c r="BO49" s="83"/>
    </row>
    <row r="50" spans="1:67">
      <c r="A50" s="4" t="s">
        <v>69</v>
      </c>
      <c r="B50" s="6" t="s">
        <v>137</v>
      </c>
      <c r="C50" s="57">
        <v>31312</v>
      </c>
      <c r="D50" s="42"/>
      <c r="E50" s="32"/>
      <c r="F50" s="32"/>
      <c r="G50" s="35"/>
      <c r="H50" s="1" t="s">
        <v>55</v>
      </c>
      <c r="I50" s="32"/>
      <c r="J50" s="32"/>
      <c r="K50" s="32"/>
      <c r="L50" s="32"/>
      <c r="M50" s="32"/>
      <c r="N50" s="32"/>
      <c r="O50" s="32"/>
      <c r="P50" s="1" t="s">
        <v>55</v>
      </c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8"/>
      <c r="AY50" s="32"/>
      <c r="AZ50" s="32"/>
      <c r="BA50" s="32"/>
      <c r="BB50" s="32"/>
      <c r="BC50" s="32"/>
      <c r="BD50" s="1" t="s">
        <v>55</v>
      </c>
      <c r="BE50" s="32"/>
      <c r="BF50" s="32"/>
      <c r="BG50" s="32"/>
      <c r="BH50" s="74"/>
      <c r="BI50" s="82"/>
      <c r="BJ50" s="32"/>
      <c r="BK50" s="32"/>
      <c r="BL50" s="32"/>
      <c r="BM50" s="32"/>
      <c r="BN50" s="32"/>
      <c r="BO50" s="83"/>
    </row>
    <row r="51" spans="1:67">
      <c r="A51" s="4" t="s">
        <v>69</v>
      </c>
      <c r="B51" s="6" t="s">
        <v>150</v>
      </c>
      <c r="C51" s="57">
        <v>31313</v>
      </c>
      <c r="D51" s="42"/>
      <c r="E51" s="32"/>
      <c r="F51" s="32"/>
      <c r="G51" s="35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1" t="s">
        <v>55</v>
      </c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8"/>
      <c r="AZ51" s="32"/>
      <c r="BA51" s="32"/>
      <c r="BB51" s="32"/>
      <c r="BC51" s="32"/>
      <c r="BD51" s="32"/>
      <c r="BE51" s="32"/>
      <c r="BF51" s="32"/>
      <c r="BG51" s="32"/>
      <c r="BH51" s="74"/>
      <c r="BI51" s="82"/>
      <c r="BJ51" s="32"/>
      <c r="BK51" s="32"/>
      <c r="BL51" s="32"/>
      <c r="BM51" s="32"/>
      <c r="BN51" s="32"/>
      <c r="BO51" s="83"/>
    </row>
    <row r="52" spans="1:67">
      <c r="A52" s="4" t="s">
        <v>69</v>
      </c>
      <c r="B52" s="6" t="s">
        <v>149</v>
      </c>
      <c r="C52" s="57">
        <v>31314</v>
      </c>
      <c r="D52" s="42"/>
      <c r="E52" s="32"/>
      <c r="F52" s="32"/>
      <c r="G52" s="35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1" t="s">
        <v>55</v>
      </c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1" t="s">
        <v>55</v>
      </c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1" t="s">
        <v>55</v>
      </c>
      <c r="AU52" s="32"/>
      <c r="AV52" s="32"/>
      <c r="AW52" s="32"/>
      <c r="AX52" s="32"/>
      <c r="AY52" s="32"/>
      <c r="AZ52" s="38"/>
      <c r="BA52" s="32"/>
      <c r="BB52" s="32"/>
      <c r="BC52" s="32"/>
      <c r="BD52" s="32"/>
      <c r="BE52" s="32"/>
      <c r="BF52" s="32"/>
      <c r="BG52" s="32"/>
      <c r="BH52" s="74"/>
      <c r="BI52" s="82"/>
      <c r="BJ52" s="32"/>
      <c r="BK52" s="32"/>
      <c r="BL52" s="32"/>
      <c r="BM52" s="32"/>
      <c r="BN52" s="32"/>
      <c r="BO52" s="83"/>
    </row>
    <row r="53" spans="1:67">
      <c r="A53" s="4" t="s">
        <v>69</v>
      </c>
      <c r="B53" s="6" t="s">
        <v>148</v>
      </c>
      <c r="C53" s="57">
        <v>31315</v>
      </c>
      <c r="D53" s="42"/>
      <c r="E53" s="32"/>
      <c r="F53" s="32"/>
      <c r="G53" s="35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1" t="s">
        <v>55</v>
      </c>
      <c r="AV53" s="32"/>
      <c r="AW53" s="32"/>
      <c r="AX53" s="32"/>
      <c r="AY53" s="32"/>
      <c r="AZ53" s="32"/>
      <c r="BA53" s="38"/>
      <c r="BB53" s="32"/>
      <c r="BC53" s="32"/>
      <c r="BD53" s="32"/>
      <c r="BE53" s="32"/>
      <c r="BF53" s="32"/>
      <c r="BG53" s="32"/>
      <c r="BH53" s="74"/>
      <c r="BI53" s="82"/>
      <c r="BJ53" s="32"/>
      <c r="BK53" s="32"/>
      <c r="BL53" s="32"/>
      <c r="BM53" s="32"/>
      <c r="BN53" s="32"/>
      <c r="BO53" s="83"/>
    </row>
    <row r="54" spans="1:67">
      <c r="A54" s="4" t="s">
        <v>69</v>
      </c>
      <c r="B54" s="6" t="s">
        <v>151</v>
      </c>
      <c r="C54" s="57">
        <v>31316</v>
      </c>
      <c r="D54" s="42"/>
      <c r="E54" s="32"/>
      <c r="F54" s="32"/>
      <c r="G54" s="35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1" t="s">
        <v>55</v>
      </c>
      <c r="AW54" s="32"/>
      <c r="AX54" s="32"/>
      <c r="AY54" s="32"/>
      <c r="AZ54" s="32"/>
      <c r="BA54" s="32"/>
      <c r="BB54" s="38"/>
      <c r="BC54" s="32"/>
      <c r="BD54" s="32"/>
      <c r="BE54" s="32"/>
      <c r="BF54" s="32"/>
      <c r="BG54" s="32"/>
      <c r="BH54" s="74"/>
      <c r="BI54" s="82"/>
      <c r="BJ54" s="32"/>
      <c r="BK54" s="32"/>
      <c r="BL54" s="32"/>
      <c r="BM54" s="32"/>
      <c r="BN54" s="32"/>
      <c r="BO54" s="83"/>
    </row>
    <row r="55" spans="1:67">
      <c r="A55" s="4" t="s">
        <v>69</v>
      </c>
      <c r="B55" s="6" t="s">
        <v>185</v>
      </c>
      <c r="C55" s="57">
        <v>31317</v>
      </c>
      <c r="D55" s="42"/>
      <c r="E55" s="32"/>
      <c r="F55" s="32"/>
      <c r="G55" s="35"/>
      <c r="H55" s="1" t="s">
        <v>55</v>
      </c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8"/>
      <c r="BD55" s="32"/>
      <c r="BE55" s="32"/>
      <c r="BF55" s="32"/>
      <c r="BG55" s="32"/>
      <c r="BH55" s="74"/>
      <c r="BI55" s="82"/>
      <c r="BJ55" s="32"/>
      <c r="BK55" s="32"/>
      <c r="BL55" s="32"/>
      <c r="BM55" s="32"/>
      <c r="BN55" s="32"/>
      <c r="BO55" s="83"/>
    </row>
    <row r="56" spans="1:67">
      <c r="A56" s="4" t="s">
        <v>69</v>
      </c>
      <c r="B56" s="6" t="s">
        <v>58</v>
      </c>
      <c r="C56" s="57" t="s">
        <v>119</v>
      </c>
      <c r="D56" s="42"/>
      <c r="E56" s="32"/>
      <c r="F56" s="32"/>
      <c r="G56" s="35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8"/>
      <c r="BE56" s="32"/>
      <c r="BF56" s="32"/>
      <c r="BG56" s="32"/>
      <c r="BH56" s="74"/>
      <c r="BI56" s="82"/>
      <c r="BJ56" s="32"/>
      <c r="BK56" s="32"/>
      <c r="BL56" s="32"/>
      <c r="BM56" s="32"/>
      <c r="BN56" s="32"/>
      <c r="BO56" s="83"/>
    </row>
    <row r="57" spans="1:67">
      <c r="A57" s="4" t="s">
        <v>69</v>
      </c>
      <c r="B57" s="6" t="s">
        <v>60</v>
      </c>
      <c r="C57" s="57" t="s">
        <v>119</v>
      </c>
      <c r="D57" s="42"/>
      <c r="E57" s="32"/>
      <c r="F57" s="32"/>
      <c r="G57" s="35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8"/>
      <c r="BF57" s="32"/>
      <c r="BG57" s="32"/>
      <c r="BH57" s="74"/>
      <c r="BI57" s="82"/>
      <c r="BJ57" s="32"/>
      <c r="BK57" s="32"/>
      <c r="BL57" s="32"/>
      <c r="BM57" s="32"/>
      <c r="BN57" s="32"/>
      <c r="BO57" s="83"/>
    </row>
    <row r="58" spans="1:67">
      <c r="A58" s="4" t="s">
        <v>69</v>
      </c>
      <c r="B58" s="6" t="s">
        <v>59</v>
      </c>
      <c r="C58" s="57" t="s">
        <v>119</v>
      </c>
      <c r="D58" s="42"/>
      <c r="E58" s="32"/>
      <c r="F58" s="32"/>
      <c r="G58" s="35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8"/>
      <c r="BG58" s="32"/>
      <c r="BH58" s="74"/>
      <c r="BI58" s="82"/>
      <c r="BJ58" s="32"/>
      <c r="BK58" s="32"/>
      <c r="BL58" s="32"/>
      <c r="BM58" s="32"/>
      <c r="BN58" s="32"/>
      <c r="BO58" s="83"/>
    </row>
    <row r="59" spans="1:67">
      <c r="A59" s="4" t="s">
        <v>70</v>
      </c>
      <c r="B59" s="6" t="s">
        <v>187</v>
      </c>
      <c r="C59" s="57">
        <v>31318</v>
      </c>
      <c r="D59" s="42"/>
      <c r="E59" s="1" t="s">
        <v>55</v>
      </c>
      <c r="F59" s="32"/>
      <c r="G59" s="35"/>
      <c r="H59" s="1" t="s">
        <v>55</v>
      </c>
      <c r="I59" s="32"/>
      <c r="J59" s="32"/>
      <c r="K59" s="1" t="s">
        <v>55</v>
      </c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8"/>
      <c r="BH59" s="74"/>
      <c r="BI59" s="82"/>
      <c r="BJ59" s="32"/>
      <c r="BK59" s="32"/>
      <c r="BL59" s="32"/>
      <c r="BM59" s="32"/>
      <c r="BN59" s="32"/>
      <c r="BO59" s="83"/>
    </row>
    <row r="60" spans="1:67" ht="16.5" thickBot="1">
      <c r="A60" s="7" t="s">
        <v>69</v>
      </c>
      <c r="B60" s="8" t="s">
        <v>188</v>
      </c>
      <c r="C60" s="58">
        <v>31319</v>
      </c>
      <c r="D60" s="53"/>
      <c r="E60" s="36"/>
      <c r="F60" s="36"/>
      <c r="G60" s="37"/>
      <c r="H60" s="9" t="s">
        <v>55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75"/>
      <c r="BI60" s="84"/>
      <c r="BJ60" s="36"/>
      <c r="BK60" s="36"/>
      <c r="BL60" s="36"/>
      <c r="BM60" s="36"/>
      <c r="BN60" s="36"/>
      <c r="BO60" s="85"/>
    </row>
    <row r="61" spans="1:67">
      <c r="A61" s="45"/>
      <c r="B61" s="137" t="s">
        <v>47</v>
      </c>
      <c r="C61" s="138"/>
      <c r="D61" s="54"/>
      <c r="E61" s="31"/>
      <c r="F61" s="31"/>
      <c r="G61" s="46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19" t="s">
        <v>55</v>
      </c>
      <c r="T61" s="31"/>
      <c r="U61" s="31"/>
      <c r="V61" s="31"/>
      <c r="W61" s="31"/>
      <c r="X61" s="19" t="s">
        <v>55</v>
      </c>
      <c r="Y61" s="19" t="s">
        <v>55</v>
      </c>
      <c r="Z61" s="31"/>
      <c r="AA61" s="31"/>
      <c r="AB61" s="31"/>
      <c r="AC61" s="19" t="s">
        <v>55</v>
      </c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19" t="s">
        <v>55</v>
      </c>
      <c r="AY61" s="31"/>
      <c r="AZ61" s="31"/>
      <c r="BA61" s="31"/>
      <c r="BB61" s="31"/>
      <c r="BC61" s="31"/>
      <c r="BD61" s="31"/>
      <c r="BE61" s="19" t="s">
        <v>55</v>
      </c>
      <c r="BF61" s="31"/>
      <c r="BG61" s="31"/>
      <c r="BH61" s="76"/>
      <c r="BI61" s="86"/>
      <c r="BJ61" s="47"/>
      <c r="BK61" s="47"/>
      <c r="BL61" s="47"/>
      <c r="BM61" s="47"/>
      <c r="BN61" s="47"/>
      <c r="BO61" s="48"/>
    </row>
    <row r="62" spans="1:67">
      <c r="A62" s="4"/>
      <c r="B62" s="139" t="s">
        <v>51</v>
      </c>
      <c r="C62" s="140"/>
      <c r="D62" s="42"/>
      <c r="E62" s="32"/>
      <c r="F62" s="32"/>
      <c r="G62" s="35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1" t="s">
        <v>55</v>
      </c>
      <c r="U62" s="1" t="s">
        <v>55</v>
      </c>
      <c r="V62" s="1" t="s">
        <v>55</v>
      </c>
      <c r="W62" s="1" t="s">
        <v>55</v>
      </c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74"/>
      <c r="BI62" s="87"/>
      <c r="BJ62" s="38"/>
      <c r="BK62" s="38"/>
      <c r="BL62" s="38"/>
      <c r="BM62" s="38"/>
      <c r="BN62" s="38"/>
      <c r="BO62" s="49"/>
    </row>
    <row r="63" spans="1:67">
      <c r="A63" s="4"/>
      <c r="B63" s="139" t="s">
        <v>53</v>
      </c>
      <c r="C63" s="140"/>
      <c r="D63" s="42"/>
      <c r="E63" s="32"/>
      <c r="F63" s="32"/>
      <c r="G63" s="35"/>
      <c r="H63" s="32"/>
      <c r="I63" s="32"/>
      <c r="J63" s="32"/>
      <c r="K63" s="32"/>
      <c r="L63" s="32"/>
      <c r="M63" s="32"/>
      <c r="N63" s="32"/>
      <c r="O63" s="32"/>
      <c r="P63" s="32"/>
      <c r="Q63" s="1" t="s">
        <v>55</v>
      </c>
      <c r="R63" s="1" t="s">
        <v>55</v>
      </c>
      <c r="S63" s="1" t="s">
        <v>55</v>
      </c>
      <c r="T63" s="1" t="s">
        <v>55</v>
      </c>
      <c r="U63" s="1" t="s">
        <v>55</v>
      </c>
      <c r="V63" s="1" t="s">
        <v>55</v>
      </c>
      <c r="W63" s="1" t="s">
        <v>55</v>
      </c>
      <c r="X63" s="32"/>
      <c r="Y63" s="1" t="s">
        <v>55</v>
      </c>
      <c r="Z63" s="32"/>
      <c r="AA63" s="32"/>
      <c r="AB63" s="1" t="s">
        <v>55</v>
      </c>
      <c r="AC63" s="1" t="s">
        <v>55</v>
      </c>
      <c r="AD63" s="1" t="s">
        <v>55</v>
      </c>
      <c r="AE63" s="1" t="s">
        <v>55</v>
      </c>
      <c r="AF63" s="1" t="s">
        <v>55</v>
      </c>
      <c r="AG63" s="1" t="s">
        <v>55</v>
      </c>
      <c r="AH63" s="1" t="s">
        <v>55</v>
      </c>
      <c r="AI63" s="1" t="s">
        <v>55</v>
      </c>
      <c r="AJ63" s="1" t="s">
        <v>55</v>
      </c>
      <c r="AK63" s="1" t="s">
        <v>55</v>
      </c>
      <c r="AL63" s="1" t="s">
        <v>55</v>
      </c>
      <c r="AM63" s="1" t="s">
        <v>55</v>
      </c>
      <c r="AN63" s="1" t="s">
        <v>55</v>
      </c>
      <c r="AO63" s="1" t="s">
        <v>55</v>
      </c>
      <c r="AP63" s="1" t="s">
        <v>55</v>
      </c>
      <c r="AQ63" s="1" t="s">
        <v>55</v>
      </c>
      <c r="AR63" s="1" t="s">
        <v>55</v>
      </c>
      <c r="AS63" s="1" t="s">
        <v>55</v>
      </c>
      <c r="AT63" s="32"/>
      <c r="AU63" s="32"/>
      <c r="AV63" s="32"/>
      <c r="AW63" s="1" t="s">
        <v>55</v>
      </c>
      <c r="AX63" s="1" t="s">
        <v>55</v>
      </c>
      <c r="AY63" s="1" t="s">
        <v>55</v>
      </c>
      <c r="AZ63" s="1" t="s">
        <v>55</v>
      </c>
      <c r="BA63" s="1" t="s">
        <v>55</v>
      </c>
      <c r="BB63" s="1" t="s">
        <v>55</v>
      </c>
      <c r="BC63" s="1" t="s">
        <v>55</v>
      </c>
      <c r="BD63" s="1" t="s">
        <v>55</v>
      </c>
      <c r="BE63" s="1" t="s">
        <v>55</v>
      </c>
      <c r="BF63" s="1" t="s">
        <v>55</v>
      </c>
      <c r="BG63" s="1" t="s">
        <v>55</v>
      </c>
      <c r="BH63" s="20" t="s">
        <v>55</v>
      </c>
      <c r="BI63" s="87"/>
      <c r="BJ63" s="38"/>
      <c r="BK63" s="38"/>
      <c r="BL63" s="38"/>
      <c r="BM63" s="38"/>
      <c r="BN63" s="38"/>
      <c r="BO63" s="49"/>
    </row>
    <row r="64" spans="1:67">
      <c r="A64" s="4"/>
      <c r="B64" s="139" t="s">
        <v>48</v>
      </c>
      <c r="C64" s="140"/>
      <c r="D64" s="42"/>
      <c r="E64" s="32"/>
      <c r="F64" s="32"/>
      <c r="G64" s="35"/>
      <c r="H64" s="32"/>
      <c r="I64" s="32"/>
      <c r="J64" s="32"/>
      <c r="K64" s="32"/>
      <c r="L64" s="32"/>
      <c r="M64" s="32"/>
      <c r="N64" s="32"/>
      <c r="O64" s="32"/>
      <c r="P64" s="1" t="s">
        <v>55</v>
      </c>
      <c r="Q64" s="32"/>
      <c r="R64" s="1" t="s">
        <v>55</v>
      </c>
      <c r="S64" s="1" t="s">
        <v>55</v>
      </c>
      <c r="T64" s="32"/>
      <c r="U64" s="32"/>
      <c r="V64" s="32"/>
      <c r="W64" s="32"/>
      <c r="X64" s="1" t="s">
        <v>55</v>
      </c>
      <c r="Y64" s="32"/>
      <c r="Z64" s="1" t="s">
        <v>55</v>
      </c>
      <c r="AA64" s="32"/>
      <c r="AB64" s="32"/>
      <c r="AC64" s="1" t="s">
        <v>55</v>
      </c>
      <c r="AD64" s="1" t="s">
        <v>55</v>
      </c>
      <c r="AE64" s="1" t="s">
        <v>55</v>
      </c>
      <c r="AF64" s="1" t="s">
        <v>55</v>
      </c>
      <c r="AG64" s="1" t="s">
        <v>55</v>
      </c>
      <c r="AH64" s="1" t="s">
        <v>55</v>
      </c>
      <c r="AI64" s="1" t="s">
        <v>55</v>
      </c>
      <c r="AJ64" s="1" t="s">
        <v>55</v>
      </c>
      <c r="AK64" s="1" t="s">
        <v>55</v>
      </c>
      <c r="AL64" s="1" t="s">
        <v>55</v>
      </c>
      <c r="AM64" s="1" t="s">
        <v>55</v>
      </c>
      <c r="AN64" s="1" t="s">
        <v>55</v>
      </c>
      <c r="AO64" s="1" t="s">
        <v>55</v>
      </c>
      <c r="AP64" s="1" t="s">
        <v>55</v>
      </c>
      <c r="AQ64" s="1" t="s">
        <v>55</v>
      </c>
      <c r="AR64" s="1" t="s">
        <v>55</v>
      </c>
      <c r="AS64" s="1" t="s">
        <v>55</v>
      </c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1" t="s">
        <v>55</v>
      </c>
      <c r="BE64" s="1" t="s">
        <v>55</v>
      </c>
      <c r="BF64" s="1" t="s">
        <v>55</v>
      </c>
      <c r="BG64" s="32"/>
      <c r="BH64" s="74"/>
      <c r="BI64" s="87"/>
      <c r="BJ64" s="38"/>
      <c r="BK64" s="38"/>
      <c r="BL64" s="38"/>
      <c r="BM64" s="38"/>
      <c r="BN64" s="38"/>
      <c r="BO64" s="49"/>
    </row>
    <row r="65" spans="1:67">
      <c r="A65" s="4"/>
      <c r="B65" s="139" t="s">
        <v>50</v>
      </c>
      <c r="C65" s="140"/>
      <c r="D65" s="42"/>
      <c r="E65" s="32"/>
      <c r="F65" s="32"/>
      <c r="G65" s="35"/>
      <c r="H65" s="32"/>
      <c r="I65" s="32"/>
      <c r="J65" s="32"/>
      <c r="K65" s="32"/>
      <c r="L65" s="32"/>
      <c r="M65" s="32"/>
      <c r="N65" s="32"/>
      <c r="O65" s="32"/>
      <c r="P65" s="32"/>
      <c r="Q65" s="1" t="s">
        <v>55</v>
      </c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74"/>
      <c r="BI65" s="87"/>
      <c r="BJ65" s="38"/>
      <c r="BK65" s="38"/>
      <c r="BL65" s="38"/>
      <c r="BM65" s="38"/>
      <c r="BN65" s="38"/>
      <c r="BO65" s="49"/>
    </row>
    <row r="66" spans="1:67">
      <c r="A66" s="4"/>
      <c r="B66" s="139" t="s">
        <v>52</v>
      </c>
      <c r="C66" s="140"/>
      <c r="D66" s="42"/>
      <c r="E66" s="32"/>
      <c r="F66" s="32"/>
      <c r="G66" s="35"/>
      <c r="H66" s="32"/>
      <c r="I66" s="32"/>
      <c r="J66" s="32"/>
      <c r="K66" s="32"/>
      <c r="L66" s="32"/>
      <c r="M66" s="32"/>
      <c r="N66" s="1" t="s">
        <v>55</v>
      </c>
      <c r="O66" s="1" t="s">
        <v>55</v>
      </c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74"/>
      <c r="BI66" s="87"/>
      <c r="BJ66" s="38"/>
      <c r="BK66" s="38"/>
      <c r="BL66" s="38"/>
      <c r="BM66" s="38"/>
      <c r="BN66" s="38"/>
      <c r="BO66" s="49"/>
    </row>
    <row r="67" spans="1:67">
      <c r="A67" s="4"/>
      <c r="B67" s="139" t="s">
        <v>54</v>
      </c>
      <c r="C67" s="140"/>
      <c r="D67" s="42"/>
      <c r="E67" s="32"/>
      <c r="F67" s="32"/>
      <c r="G67" s="35"/>
      <c r="H67" s="32"/>
      <c r="I67" s="32"/>
      <c r="J67" s="32"/>
      <c r="K67" s="32"/>
      <c r="L67" s="32"/>
      <c r="M67" s="32"/>
      <c r="N67" s="1" t="s">
        <v>55</v>
      </c>
      <c r="O67" s="1" t="s">
        <v>55</v>
      </c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74"/>
      <c r="BI67" s="87"/>
      <c r="BJ67" s="38"/>
      <c r="BK67" s="38"/>
      <c r="BL67" s="38"/>
      <c r="BM67" s="38"/>
      <c r="BN67" s="38"/>
      <c r="BO67" s="49"/>
    </row>
    <row r="68" spans="1:67" ht="16.5" thickBot="1">
      <c r="A68" s="5"/>
      <c r="B68" s="133" t="s">
        <v>49</v>
      </c>
      <c r="C68" s="134"/>
      <c r="D68" s="55"/>
      <c r="E68" s="39"/>
      <c r="F68" s="39"/>
      <c r="G68" s="40"/>
      <c r="H68" s="39"/>
      <c r="I68" s="39"/>
      <c r="J68" s="39"/>
      <c r="K68" s="39"/>
      <c r="L68" s="39"/>
      <c r="M68" s="39"/>
      <c r="N68" s="3" t="s">
        <v>55</v>
      </c>
      <c r="O68" s="3" t="s">
        <v>55</v>
      </c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77"/>
      <c r="BI68" s="88"/>
      <c r="BJ68" s="50"/>
      <c r="BK68" s="50"/>
      <c r="BL68" s="50"/>
      <c r="BM68" s="50"/>
      <c r="BN68" s="50"/>
      <c r="BO68" s="51"/>
    </row>
    <row r="69" spans="1:67">
      <c r="A69" s="45"/>
      <c r="B69" s="137" t="s">
        <v>94</v>
      </c>
      <c r="C69" s="138"/>
      <c r="D69" s="54"/>
      <c r="E69" s="31"/>
      <c r="F69" s="31"/>
      <c r="G69" s="46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19" t="s">
        <v>55</v>
      </c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76"/>
      <c r="BI69" s="86"/>
      <c r="BJ69" s="47"/>
      <c r="BK69" s="47"/>
      <c r="BL69" s="47"/>
      <c r="BM69" s="47"/>
      <c r="BN69" s="47"/>
      <c r="BO69" s="48"/>
    </row>
    <row r="70" spans="1:67">
      <c r="A70" s="4"/>
      <c r="B70" s="131" t="s">
        <v>95</v>
      </c>
      <c r="C70" s="132"/>
      <c r="D70" s="56" t="s">
        <v>55</v>
      </c>
      <c r="E70" s="32"/>
      <c r="F70" s="32"/>
      <c r="G70" s="35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74"/>
      <c r="BI70" s="87"/>
      <c r="BJ70" s="38"/>
      <c r="BK70" s="38"/>
      <c r="BL70" s="38"/>
      <c r="BM70" s="38"/>
      <c r="BN70" s="38"/>
      <c r="BO70" s="49"/>
    </row>
    <row r="71" spans="1:67">
      <c r="A71" s="4"/>
      <c r="B71" s="131" t="s">
        <v>96</v>
      </c>
      <c r="C71" s="132"/>
      <c r="D71" s="42"/>
      <c r="E71" s="32"/>
      <c r="F71" s="32"/>
      <c r="G71" s="35"/>
      <c r="H71" s="32"/>
      <c r="I71" s="32"/>
      <c r="J71" s="32"/>
      <c r="K71" s="32"/>
      <c r="L71" s="1" t="s">
        <v>55</v>
      </c>
      <c r="M71" s="32"/>
      <c r="N71" s="32"/>
      <c r="O71" s="32"/>
      <c r="P71" s="1" t="s">
        <v>55</v>
      </c>
      <c r="Q71" s="32"/>
      <c r="R71" s="32"/>
      <c r="S71" s="32"/>
      <c r="T71" s="32"/>
      <c r="U71" s="32"/>
      <c r="V71" s="32"/>
      <c r="W71" s="32"/>
      <c r="X71" s="1" t="s">
        <v>55</v>
      </c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74"/>
      <c r="BI71" s="87"/>
      <c r="BJ71" s="38"/>
      <c r="BK71" s="38"/>
      <c r="BL71" s="38"/>
      <c r="BM71" s="38"/>
      <c r="BN71" s="38"/>
      <c r="BO71" s="49"/>
    </row>
    <row r="72" spans="1:67">
      <c r="A72" s="4"/>
      <c r="B72" s="131" t="s">
        <v>97</v>
      </c>
      <c r="C72" s="132"/>
      <c r="D72" s="42"/>
      <c r="E72" s="32"/>
      <c r="F72" s="32"/>
      <c r="G72" s="35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74"/>
      <c r="BI72" s="87"/>
      <c r="BJ72" s="38"/>
      <c r="BK72" s="38"/>
      <c r="BL72" s="38"/>
      <c r="BM72" s="38"/>
      <c r="BN72" s="38"/>
      <c r="BO72" s="49"/>
    </row>
    <row r="73" spans="1:67">
      <c r="A73" s="4"/>
      <c r="B73" s="131" t="s">
        <v>98</v>
      </c>
      <c r="C73" s="132"/>
      <c r="D73" s="42"/>
      <c r="E73" s="32"/>
      <c r="F73" s="32"/>
      <c r="G73" s="35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74"/>
      <c r="BI73" s="87"/>
      <c r="BJ73" s="38"/>
      <c r="BK73" s="38"/>
      <c r="BL73" s="38"/>
      <c r="BM73" s="38"/>
      <c r="BN73" s="38"/>
      <c r="BO73" s="49"/>
    </row>
    <row r="74" spans="1:67">
      <c r="A74" s="4"/>
      <c r="B74" s="131" t="s">
        <v>99</v>
      </c>
      <c r="C74" s="132"/>
      <c r="D74" s="42"/>
      <c r="E74" s="32"/>
      <c r="F74" s="32"/>
      <c r="G74" s="1" t="s">
        <v>55</v>
      </c>
      <c r="H74" s="32"/>
      <c r="I74" s="1" t="s">
        <v>55</v>
      </c>
      <c r="J74" s="32"/>
      <c r="K74" s="32"/>
      <c r="L74" s="32"/>
      <c r="M74" s="1" t="s">
        <v>55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1" t="s">
        <v>55</v>
      </c>
      <c r="AA74" s="1" t="s">
        <v>55</v>
      </c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1" t="s">
        <v>55</v>
      </c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74"/>
      <c r="BI74" s="87"/>
      <c r="BJ74" s="38"/>
      <c r="BK74" s="38"/>
      <c r="BL74" s="38"/>
      <c r="BM74" s="38"/>
      <c r="BN74" s="38"/>
      <c r="BO74" s="49"/>
    </row>
    <row r="75" spans="1:67" ht="16.5" thickBot="1">
      <c r="A75" s="5"/>
      <c r="B75" s="133" t="s">
        <v>100</v>
      </c>
      <c r="C75" s="134"/>
      <c r="D75" s="55"/>
      <c r="E75" s="39"/>
      <c r="F75" s="39"/>
      <c r="G75" s="40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" t="s">
        <v>55</v>
      </c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77"/>
      <c r="BI75" s="88"/>
      <c r="BJ75" s="50"/>
      <c r="BK75" s="50"/>
      <c r="BL75" s="50"/>
      <c r="BM75" s="50"/>
      <c r="BN75" s="50"/>
      <c r="BO75" s="51"/>
    </row>
    <row r="76" spans="1:67">
      <c r="G76" s="43"/>
    </row>
    <row r="77" spans="1:67">
      <c r="G77" s="43"/>
    </row>
    <row r="78" spans="1:67">
      <c r="G78" s="43"/>
    </row>
    <row r="79" spans="1:67">
      <c r="G79" s="43"/>
    </row>
    <row r="80" spans="1:67">
      <c r="G80" s="43"/>
    </row>
    <row r="81" spans="2:7">
      <c r="B81" s="28"/>
      <c r="G81" s="43"/>
    </row>
    <row r="82" spans="2:7">
      <c r="B82" s="28"/>
      <c r="G82" s="43"/>
    </row>
  </sheetData>
  <mergeCells count="16">
    <mergeCell ref="B70:C70"/>
    <mergeCell ref="D1:BO1"/>
    <mergeCell ref="B69:C69"/>
    <mergeCell ref="B66:C66"/>
    <mergeCell ref="B67:C67"/>
    <mergeCell ref="B68:C68"/>
    <mergeCell ref="B61:C61"/>
    <mergeCell ref="B62:C62"/>
    <mergeCell ref="B63:C63"/>
    <mergeCell ref="B64:C64"/>
    <mergeCell ref="B65:C65"/>
    <mergeCell ref="B71:C71"/>
    <mergeCell ref="B72:C72"/>
    <mergeCell ref="B73:C73"/>
    <mergeCell ref="B74:C74"/>
    <mergeCell ref="B75:C75"/>
  </mergeCells>
  <phoneticPr fontId="2" type="noConversion"/>
  <pageMargins left="0.25" right="0.25" top="0.75" bottom="0.75" header="0.3" footer="0.3"/>
  <pageSetup paperSize="8"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opLeftCell="A7" workbookViewId="0">
      <selection activeCell="A26" sqref="A26"/>
    </sheetView>
  </sheetViews>
  <sheetFormatPr defaultColWidth="20.42578125" defaultRowHeight="15.75"/>
  <cols>
    <col min="1" max="1" width="12.7109375" bestFit="1" customWidth="1"/>
    <col min="2" max="2" width="10.140625" bestFit="1" customWidth="1"/>
    <col min="3" max="3" width="25.5703125" bestFit="1" customWidth="1"/>
    <col min="4" max="8" width="15" bestFit="1" customWidth="1"/>
    <col min="9" max="9" width="17.7109375" bestFit="1" customWidth="1"/>
    <col min="10" max="10" width="126" bestFit="1" customWidth="1"/>
  </cols>
  <sheetData>
    <row r="1" spans="1:10">
      <c r="I1" t="s">
        <v>383</v>
      </c>
      <c r="J1" t="s">
        <v>397</v>
      </c>
    </row>
    <row r="2" spans="1:10">
      <c r="I2" t="s">
        <v>384</v>
      </c>
      <c r="J2" t="s">
        <v>399</v>
      </c>
    </row>
    <row r="3" spans="1:10">
      <c r="I3" t="s">
        <v>385</v>
      </c>
      <c r="J3" t="s">
        <v>398</v>
      </c>
    </row>
    <row r="4" spans="1:10">
      <c r="I4" t="s">
        <v>410</v>
      </c>
      <c r="J4" t="s">
        <v>461</v>
      </c>
    </row>
    <row r="6" spans="1:10">
      <c r="A6" t="s">
        <v>396</v>
      </c>
      <c r="B6" t="s">
        <v>362</v>
      </c>
      <c r="C6" t="s">
        <v>420</v>
      </c>
    </row>
    <row r="7" spans="1:10">
      <c r="A7" t="s">
        <v>396</v>
      </c>
      <c r="B7" t="s">
        <v>395</v>
      </c>
      <c r="C7" t="s">
        <v>421</v>
      </c>
    </row>
    <row r="9" spans="1:10">
      <c r="C9" t="s">
        <v>386</v>
      </c>
    </row>
    <row r="10" spans="1:10">
      <c r="A10" t="s">
        <v>356</v>
      </c>
      <c r="B10" t="s">
        <v>46</v>
      </c>
      <c r="C10" t="s">
        <v>359</v>
      </c>
      <c r="D10" t="s">
        <v>422</v>
      </c>
    </row>
    <row r="11" spans="1:10">
      <c r="A11" t="s">
        <v>356</v>
      </c>
      <c r="B11" t="s">
        <v>365</v>
      </c>
      <c r="C11" t="s">
        <v>357</v>
      </c>
      <c r="D11" t="s">
        <v>423</v>
      </c>
    </row>
    <row r="12" spans="1:10">
      <c r="A12" t="s">
        <v>356</v>
      </c>
      <c r="B12" t="s">
        <v>366</v>
      </c>
      <c r="C12" t="s">
        <v>358</v>
      </c>
      <c r="D12" t="s">
        <v>424</v>
      </c>
    </row>
    <row r="13" spans="1:10">
      <c r="A13" t="s">
        <v>356</v>
      </c>
      <c r="B13" t="s">
        <v>357</v>
      </c>
      <c r="C13" t="s">
        <v>365</v>
      </c>
      <c r="D13" t="s">
        <v>425</v>
      </c>
    </row>
    <row r="14" spans="1:10">
      <c r="A14" t="s">
        <v>356</v>
      </c>
      <c r="B14" t="s">
        <v>358</v>
      </c>
      <c r="C14" t="s">
        <v>366</v>
      </c>
      <c r="D14" t="s">
        <v>426</v>
      </c>
    </row>
    <row r="15" spans="1:10">
      <c r="A15" t="s">
        <v>356</v>
      </c>
      <c r="B15" t="s">
        <v>359</v>
      </c>
      <c r="C15" t="s">
        <v>46</v>
      </c>
      <c r="D15" t="s">
        <v>427</v>
      </c>
    </row>
    <row r="16" spans="1:10">
      <c r="A16" t="s">
        <v>356</v>
      </c>
      <c r="B16" t="s">
        <v>360</v>
      </c>
      <c r="C16" t="s">
        <v>46</v>
      </c>
      <c r="D16" t="s">
        <v>428</v>
      </c>
    </row>
    <row r="19" spans="1:8">
      <c r="B19" t="s">
        <v>367</v>
      </c>
      <c r="C19" t="s">
        <v>368</v>
      </c>
      <c r="D19" t="s">
        <v>369</v>
      </c>
      <c r="E19" t="s">
        <v>370</v>
      </c>
      <c r="F19" t="s">
        <v>371</v>
      </c>
      <c r="G19" t="s">
        <v>372</v>
      </c>
      <c r="H19" t="s">
        <v>373</v>
      </c>
    </row>
    <row r="20" spans="1:8">
      <c r="A20" t="s">
        <v>361</v>
      </c>
      <c r="B20" t="s">
        <v>46</v>
      </c>
      <c r="C20" t="s">
        <v>429</v>
      </c>
      <c r="D20" t="s">
        <v>430</v>
      </c>
      <c r="E20" t="s">
        <v>431</v>
      </c>
      <c r="F20" t="s">
        <v>432</v>
      </c>
      <c r="G20" t="s">
        <v>433</v>
      </c>
      <c r="H20" t="s">
        <v>434</v>
      </c>
    </row>
    <row r="21" spans="1:8">
      <c r="A21" t="s">
        <v>361</v>
      </c>
      <c r="B21" t="s">
        <v>365</v>
      </c>
      <c r="C21" t="s">
        <v>435</v>
      </c>
      <c r="D21" t="s">
        <v>436</v>
      </c>
      <c r="E21" t="s">
        <v>437</v>
      </c>
      <c r="F21" t="s">
        <v>438</v>
      </c>
      <c r="G21" t="s">
        <v>439</v>
      </c>
      <c r="H21" t="s">
        <v>440</v>
      </c>
    </row>
    <row r="22" spans="1:8">
      <c r="A22" t="s">
        <v>361</v>
      </c>
      <c r="B22" t="s">
        <v>366</v>
      </c>
      <c r="C22" t="s">
        <v>441</v>
      </c>
      <c r="D22" t="s">
        <v>442</v>
      </c>
      <c r="E22" t="s">
        <v>443</v>
      </c>
      <c r="F22" t="s">
        <v>444</v>
      </c>
      <c r="G22" t="s">
        <v>445</v>
      </c>
      <c r="H22" t="s">
        <v>446</v>
      </c>
    </row>
    <row r="23" spans="1:8">
      <c r="A23" t="s">
        <v>361</v>
      </c>
      <c r="B23" t="s">
        <v>357</v>
      </c>
      <c r="C23" t="s">
        <v>447</v>
      </c>
      <c r="D23" t="s">
        <v>448</v>
      </c>
      <c r="E23" t="s">
        <v>449</v>
      </c>
    </row>
    <row r="24" spans="1:8">
      <c r="A24" t="s">
        <v>361</v>
      </c>
      <c r="B24" t="s">
        <v>358</v>
      </c>
      <c r="C24" t="s">
        <v>450</v>
      </c>
      <c r="D24" t="s">
        <v>451</v>
      </c>
      <c r="E24" t="s">
        <v>452</v>
      </c>
    </row>
    <row r="25" spans="1:8">
      <c r="A25" t="s">
        <v>361</v>
      </c>
      <c r="B25" t="s">
        <v>359</v>
      </c>
      <c r="C25" t="s">
        <v>453</v>
      </c>
      <c r="D25" t="s">
        <v>454</v>
      </c>
      <c r="E25" t="s">
        <v>455</v>
      </c>
    </row>
    <row r="26" spans="1:8">
      <c r="A26" t="s">
        <v>361</v>
      </c>
      <c r="B26" t="s">
        <v>360</v>
      </c>
      <c r="C26" t="s">
        <v>456</v>
      </c>
      <c r="D26" t="s">
        <v>457</v>
      </c>
      <c r="E26" t="s">
        <v>458</v>
      </c>
    </row>
    <row r="42" spans="9:9">
      <c r="I42" s="121"/>
    </row>
    <row r="43" spans="9:9">
      <c r="I43" s="121"/>
    </row>
    <row r="44" spans="9:9">
      <c r="I44" s="121"/>
    </row>
    <row r="45" spans="9:9">
      <c r="I45" s="121"/>
    </row>
    <row r="46" spans="9:9">
      <c r="I46" s="121"/>
    </row>
    <row r="47" spans="9:9">
      <c r="I47" s="1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42"/>
  <sheetViews>
    <sheetView tabSelected="1" workbookViewId="0">
      <pane ySplit="1" topLeftCell="A104" activePane="bottomLeft" state="frozen"/>
      <selection activeCell="D1" sqref="D1"/>
      <selection pane="bottomLeft" activeCell="A114" sqref="A114"/>
    </sheetView>
  </sheetViews>
  <sheetFormatPr defaultRowHeight="15.75"/>
  <cols>
    <col min="1" max="1" width="14.28515625" bestFit="1" customWidth="1"/>
    <col min="2" max="3" width="13.85546875" customWidth="1"/>
    <col min="4" max="4" width="12.42578125" bestFit="1" customWidth="1"/>
    <col min="5" max="5" width="7.85546875" bestFit="1" customWidth="1"/>
    <col min="6" max="6" width="37" customWidth="1"/>
    <col min="7" max="7" width="37.140625" customWidth="1"/>
    <col min="8" max="8" width="42.42578125" bestFit="1" customWidth="1"/>
    <col min="9" max="13" width="21.28515625" bestFit="1" customWidth="1"/>
    <col min="14" max="14" width="19.5703125" customWidth="1"/>
    <col min="15" max="15" width="13.7109375" bestFit="1" customWidth="1"/>
    <col min="16" max="16" width="56" bestFit="1" customWidth="1"/>
    <col min="17" max="17" width="25.85546875" customWidth="1"/>
    <col min="18" max="22" width="30.7109375" customWidth="1"/>
    <col min="23" max="23" width="35.7109375" customWidth="1"/>
    <col min="24" max="26" width="30.7109375" customWidth="1"/>
    <col min="27" max="53" width="9.7109375" customWidth="1"/>
  </cols>
  <sheetData>
    <row r="1" spans="1:26" s="123" customFormat="1" ht="16.5" thickBot="1">
      <c r="A1" s="123" t="s">
        <v>380</v>
      </c>
      <c r="C1" s="123" t="s">
        <v>393</v>
      </c>
      <c r="D1" s="122" t="s">
        <v>364</v>
      </c>
      <c r="E1" s="123" t="s">
        <v>382</v>
      </c>
      <c r="F1" s="123" t="s">
        <v>355</v>
      </c>
      <c r="G1" s="123" t="s">
        <v>381</v>
      </c>
      <c r="H1" s="123" t="s">
        <v>387</v>
      </c>
      <c r="I1" s="123" t="s">
        <v>374</v>
      </c>
      <c r="J1" s="123" t="s">
        <v>375</v>
      </c>
      <c r="K1" s="123" t="s">
        <v>376</v>
      </c>
      <c r="L1" s="123" t="s">
        <v>377</v>
      </c>
      <c r="M1" s="123" t="s">
        <v>378</v>
      </c>
      <c r="N1" s="123" t="s">
        <v>379</v>
      </c>
      <c r="O1" s="123" t="s">
        <v>391</v>
      </c>
      <c r="P1" s="123" t="s">
        <v>392</v>
      </c>
      <c r="Q1" s="123" t="s">
        <v>396</v>
      </c>
      <c r="R1" s="123" t="s">
        <v>388</v>
      </c>
      <c r="S1" s="123" t="s">
        <v>389</v>
      </c>
      <c r="T1" s="123" t="s">
        <v>390</v>
      </c>
      <c r="U1" s="123" t="s">
        <v>411</v>
      </c>
      <c r="V1" s="123" t="s">
        <v>412</v>
      </c>
      <c r="W1" s="123" t="s">
        <v>413</v>
      </c>
      <c r="X1" s="123" t="s">
        <v>414</v>
      </c>
      <c r="Y1" s="123" t="s">
        <v>415</v>
      </c>
      <c r="Z1" s="123" t="s">
        <v>416</v>
      </c>
    </row>
    <row r="2" spans="1:26">
      <c r="A2">
        <f>IF(ISNUMBER(SEARCH("rest_api",svc!R2)),1,0)</f>
        <v>1</v>
      </c>
      <c r="C2" t="str">
        <f>svc!D2</f>
        <v>dmz</v>
      </c>
      <c r="D2" t="str">
        <f>svc!$B2</f>
        <v>v504</v>
      </c>
      <c r="E2">
        <f>svc!G2</f>
        <v>31011</v>
      </c>
      <c r="F2" t="str">
        <f>CONCATENATE("ups-",svc!$B2,"-",svc!I2)</f>
        <v>ups-v504-bes_signalr_server</v>
      </c>
      <c r="G2" t="str">
        <f>CONCATENATE("svc-",svc!$B2,"-",svc!I2)</f>
        <v>svc-v504-bes_signalr_server</v>
      </c>
      <c r="H2" t="str">
        <f>CONCATENATE("route-",VLOOKUP($D2,kong_np_var!$B$10:$D$16,2,FALSE),"-",svc!$B2,"-",svc!I2)</f>
        <v>route-v510-v504-bes_signalr_server</v>
      </c>
      <c r="I2" t="str">
        <f>CONCATENATE(VLOOKUP($D2,kong_np_var!$B$20:$H$26,SUBSTITUTE(I$1,"target_","") + 1,FALSE),":",$E2)</f>
        <v>172.24.148.102:31011</v>
      </c>
      <c r="J2" t="str">
        <f>CONCATENATE(VLOOKUP($D2,kong_np_var!$B$20:$H$26,SUBSTITUTE(J$1,"target_","") + 1,FALSE),":",$E2)</f>
        <v>172.24.148.103:31011</v>
      </c>
      <c r="K2" t="str">
        <f>CONCATENATE(VLOOKUP($D2,kong_np_var!$B$20:$H$26,SUBSTITUTE(K$1,"target_","") + 1,FALSE),":",$E2)</f>
        <v>172.24.148.104:31011</v>
      </c>
      <c r="L2" t="str">
        <f>IF($C2="dmz","",CONCATENATE(VLOOKUP($D2,kong_np_var!$B$20:$H$26,SUBSTITUTE(L$1,"target_","") + 1,FALSE),":",$E2))</f>
        <v/>
      </c>
      <c r="M2" t="str">
        <f>IF($C2="dmz","",CONCATENATE(VLOOKUP($D2,kong_np_var!$B$20:$H$26,SUBSTITUTE(M$1,"target_","") + 1,FALSE),":",$E2))</f>
        <v/>
      </c>
      <c r="N2" t="str">
        <f>IF($C2="dmz","",CONCATENATE(VLOOKUP($D2,kong_np_var!$B$20:$H$26,SUBSTITUTE(N$1,"target_","") + 1,FALSE),":",$E2))</f>
        <v/>
      </c>
      <c r="O2" t="str">
        <f>VLOOKUP($D2,kong_np_var!$B$10:$D$16,3,FALSE)</f>
        <v>172.24.148.71</v>
      </c>
      <c r="P2" t="str">
        <f>CONCATENATE("/",C2,MID(D2,2,15),"/",svc!$I2)</f>
        <v>/dmz504/bes_signalr_server</v>
      </c>
      <c r="Q2" t="str">
        <f>VLOOKUP(C2,kong_np_var!$B$6:$C$7,2,FALSE)</f>
        <v>http://172.24.149.80:8001</v>
      </c>
      <c r="R2" t="str">
        <f>SUBSTITUTE(SUBSTITUTE(kong_np_var!$J$1,"&lt;upstream_name&gt;",$F2),"&lt;kong_api_url&gt;",$Q2)</f>
        <v>curl -X PUT http://172.24.149.80:8001/upstreams/ups-v504-bes_signalr_server</v>
      </c>
      <c r="S2" t="str">
        <f>SUBSTITUTE(SUBSTITUTE(SUBSTITUTE(SUBSTITUTE(kong_np_var!$J$2,"&lt;kong_api_url&gt;",$Q2),"&lt;upstream_name&gt;",$F2),"&lt;port&gt;",$E2),"&lt;service_name&gt;",$G2)</f>
        <v>curl -X PUT http://172.24.149.80:8001/services/svc-v504-bes_signalr_server -H "Content-Type: application/json" -d '{"protocol":"http","host":"ups-v504-bes_signalr_server","port":31011}'</v>
      </c>
      <c r="T2" t="str">
        <f>SUBSTITUTE(SUBSTITUTE(SUBSTITUTE(SUBSTITUTE(SUBSTITUTE(kong_np_var!$J$3,"&lt;kong_api_url&gt;",$Q2),"&lt;route_name&gt;",$H2),"&lt;service_name&gt;",$G2),"&lt;host&gt;",$O2),"&lt;path&gt;",$P2)</f>
        <v>curl -X PUT http://172.24.149.80:8001/services/svc-v504-bes_signalr_server/routes/route-v510-v504-bes_signalr_server -H "Content-Type: application/json" -d '{"protocols":["http"],"hosts":["172.24.148.71"],"paths":["/dmz504/bes_signalr_server"]}'</v>
      </c>
      <c r="U2" t="str">
        <f t="shared" ref="U2:Z2" si="0">IF(I2="","","curl -X POST " &amp; $Q2 &amp; "/upstreams/"&amp; $F2 &amp;"/targets -d 'target="&amp; I2 &amp; "'")</f>
        <v>curl -X POST http://172.24.149.80:8001/upstreams/ups-v504-bes_signalr_server/targets -d 'target=172.24.148.102:31011'</v>
      </c>
      <c r="V2" t="str">
        <f t="shared" si="0"/>
        <v>curl -X POST http://172.24.149.80:8001/upstreams/ups-v504-bes_signalr_server/targets -d 'target=172.24.148.103:31011'</v>
      </c>
      <c r="W2" t="str">
        <f t="shared" si="0"/>
        <v>curl -X POST http://172.24.149.80:8001/upstreams/ups-v504-bes_signalr_server/targets -d 'target=172.24.148.104:31011'</v>
      </c>
      <c r="X2" t="str">
        <f t="shared" si="0"/>
        <v/>
      </c>
      <c r="Y2" t="str">
        <f t="shared" si="0"/>
        <v/>
      </c>
      <c r="Z2" t="str">
        <f t="shared" si="0"/>
        <v/>
      </c>
    </row>
    <row r="3" spans="1:26">
      <c r="A3">
        <f>IF(ISNUMBER(SEARCH("rest_api",svc!R3)),1,0)</f>
        <v>1</v>
      </c>
      <c r="C3" t="str">
        <f>svc!D3</f>
        <v>dmz</v>
      </c>
      <c r="D3" t="str">
        <f>svc!$B3</f>
        <v>v504</v>
      </c>
      <c r="E3">
        <f>svc!G3</f>
        <v>31026</v>
      </c>
      <c r="F3" t="str">
        <f>CONCATENATE("ups-",svc!$B3,"-",svc!I3)</f>
        <v>ups-v504-bes_wmm</v>
      </c>
      <c r="G3" t="str">
        <f>CONCATENATE("svc-",svc!$B3,"-",svc!I3)</f>
        <v>svc-v504-bes_wmm</v>
      </c>
      <c r="H3" t="str">
        <f>CONCATENATE("route-",VLOOKUP($D3,kong_np_var!$B$10:$D$16,2,FALSE),"-",svc!$B3,"-",svc!I3)</f>
        <v>route-v510-v504-bes_wmm</v>
      </c>
      <c r="I3" t="str">
        <f>CONCATENATE(VLOOKUP($D3,kong_np_var!$B$20:$H$26,SUBSTITUTE(I$1,"target_","") + 1,FALSE),":",$E3)</f>
        <v>172.24.148.102:31026</v>
      </c>
      <c r="J3" t="str">
        <f>CONCATENATE(VLOOKUP($D3,kong_np_var!$B$20:$H$26,SUBSTITUTE(J$1,"target_","") + 1,FALSE),":",$E3)</f>
        <v>172.24.148.103:31026</v>
      </c>
      <c r="K3" t="str">
        <f>CONCATENATE(VLOOKUP($D3,kong_np_var!$B$20:$H$26,SUBSTITUTE(K$1,"target_","") + 1,FALSE),":",$E3)</f>
        <v>172.24.148.104:31026</v>
      </c>
      <c r="L3" t="str">
        <f>IF($C3="dmz","",CONCATENATE(VLOOKUP($D3,kong_np_var!$B$20:$H$26,SUBSTITUTE(L$1,"target_","") + 1,FALSE),":",$E3))</f>
        <v/>
      </c>
      <c r="M3" t="str">
        <f>IF($C3="dmz","",CONCATENATE(VLOOKUP($D3,kong_np_var!$B$20:$H$26,SUBSTITUTE(M$1,"target_","") + 1,FALSE),":",$E3))</f>
        <v/>
      </c>
      <c r="N3" t="str">
        <f>IF($C3="dmz","",CONCATENATE(VLOOKUP($D3,kong_np_var!$B$20:$H$26,SUBSTITUTE(N$1,"target_","") + 1,FALSE),":",$E3))</f>
        <v/>
      </c>
      <c r="O3" t="str">
        <f>VLOOKUP($D3,kong_np_var!$B$10:$D$16,3,FALSE)</f>
        <v>172.24.148.71</v>
      </c>
      <c r="P3" t="str">
        <f>CONCATENATE("/",C3,MID(D3,2,15),"/",svc!$I3)</f>
        <v>/dmz504/bes_wmm</v>
      </c>
      <c r="Q3" t="str">
        <f>VLOOKUP(C3,kong_np_var!$B$6:$C$7,2,FALSE)</f>
        <v>http://172.24.149.80:8001</v>
      </c>
      <c r="R3" t="str">
        <f>SUBSTITUTE(SUBSTITUTE(kong_np_var!$J$1,"&lt;upstream_name&gt;",$F3),"&lt;kong_api_url&gt;",$Q3)</f>
        <v>curl -X PUT http://172.24.149.80:8001/upstreams/ups-v504-bes_wmm</v>
      </c>
      <c r="S3" t="str">
        <f>SUBSTITUTE(SUBSTITUTE(SUBSTITUTE(SUBSTITUTE(kong_np_var!$J$2,"&lt;kong_api_url&gt;",$Q3),"&lt;upstream_name&gt;",$F3),"&lt;port&gt;",$E3),"&lt;service_name&gt;",$G3)</f>
        <v>curl -X PUT http://172.24.149.80:8001/services/svc-v504-bes_wmm -H "Content-Type: application/json" -d '{"protocol":"http","host":"ups-v504-bes_wmm","port":31026}'</v>
      </c>
      <c r="T3" t="str">
        <f>SUBSTITUTE(SUBSTITUTE(SUBSTITUTE(SUBSTITUTE(SUBSTITUTE(kong_np_var!$J$3,"&lt;kong_api_url&gt;",$Q3),"&lt;route_name&gt;",$H3),"&lt;service_name&gt;",$G3),"&lt;host&gt;",$O3),"&lt;path&gt;",$P3)</f>
        <v>curl -X PUT http://172.24.149.80:8001/services/svc-v504-bes_wmm/routes/route-v510-v504-bes_wmm -H "Content-Type: application/json" -d '{"protocols":["http"],"hosts":["172.24.148.71"],"paths":["/dmz504/bes_wmm"]}'</v>
      </c>
      <c r="U3" t="str">
        <f t="shared" ref="U3:U66" si="1">IF(I3="","","curl -X POST " &amp; $Q3 &amp; "/upstreams/"&amp; $F3 &amp;"/targets -d 'target="&amp; I3 &amp; "'")</f>
        <v>curl -X POST http://172.24.149.80:8001/upstreams/ups-v504-bes_wmm/targets -d 'target=172.24.148.102:31026'</v>
      </c>
      <c r="V3" t="str">
        <f t="shared" ref="V3:V66" si="2">IF(J3="","","curl -X POST " &amp; $Q3 &amp; "/upstreams/"&amp; $F3 &amp;"/targets -d 'target="&amp; J3 &amp; "'")</f>
        <v>curl -X POST http://172.24.149.80:8001/upstreams/ups-v504-bes_wmm/targets -d 'target=172.24.148.103:31026'</v>
      </c>
      <c r="W3" t="str">
        <f t="shared" ref="W3:W66" si="3">IF(K3="","","curl -X POST " &amp; $Q3 &amp; "/upstreams/"&amp; $F3 &amp;"/targets -d 'target="&amp; K3 &amp; "'")</f>
        <v>curl -X POST http://172.24.149.80:8001/upstreams/ups-v504-bes_wmm/targets -d 'target=172.24.148.104:31026'</v>
      </c>
      <c r="X3" t="str">
        <f t="shared" ref="X3:X66" si="4">IF(L3="","","curl -X POST " &amp; $Q3 &amp; "/upstreams/"&amp; $F3 &amp;"/targets -d 'target="&amp; L3 &amp; "'")</f>
        <v/>
      </c>
      <c r="Y3" t="str">
        <f t="shared" ref="Y3:Y66" si="5">IF(M3="","","curl -X POST " &amp; $Q3 &amp; "/upstreams/"&amp; $F3 &amp;"/targets -d 'target="&amp; M3 &amp; "'")</f>
        <v/>
      </c>
      <c r="Z3" t="str">
        <f t="shared" ref="Z3:Z66" si="6">IF(N3="","","curl -X POST " &amp; $Q3 &amp; "/upstreams/"&amp; $F3 &amp;"/targets -d 'target="&amp; N3 &amp; "'")</f>
        <v/>
      </c>
    </row>
    <row r="4" spans="1:26">
      <c r="A4">
        <f>IF(ISNUMBER(SEARCH("rest_api",svc!R4)),1,0)</f>
        <v>1</v>
      </c>
      <c r="C4" t="str">
        <f>svc!D4</f>
        <v>dmz</v>
      </c>
      <c r="D4" t="str">
        <f>svc!$B4</f>
        <v>v804</v>
      </c>
      <c r="E4">
        <f>svc!G4</f>
        <v>31026</v>
      </c>
      <c r="F4" t="str">
        <f>CONCATENATE("ups-",svc!$B4,"-",svc!I4)</f>
        <v>ups-v804-bes_wmm</v>
      </c>
      <c r="G4" t="str">
        <f>CONCATENATE("svc-",svc!$B4,"-",svc!I4)</f>
        <v>svc-v804-bes_wmm</v>
      </c>
      <c r="H4" t="str">
        <f>CONCATENATE("route-",VLOOKUP($D4,kong_np_var!$B$10:$D$16,2,FALSE),"-",svc!$B4,"-",svc!I4)</f>
        <v>route-v810-v804-bes_wmm</v>
      </c>
      <c r="I4" t="str">
        <f>CONCATENATE(VLOOKUP($D4,kong_np_var!$B$20:$H$26,SUBSTITUTE(I$1,"target_","") + 1,FALSE),":",$E4)</f>
        <v>172.24.149.70:31026</v>
      </c>
      <c r="J4" t="str">
        <f>CONCATENATE(VLOOKUP($D4,kong_np_var!$B$20:$H$26,SUBSTITUTE(J$1,"target_","") + 1,FALSE),":",$E4)</f>
        <v>172.24.149.71:31026</v>
      </c>
      <c r="K4" t="str">
        <f>CONCATENATE(VLOOKUP($D4,kong_np_var!$B$20:$H$26,SUBSTITUTE(K$1,"target_","") + 1,FALSE),":",$E4)</f>
        <v>172.24.149.72:31026</v>
      </c>
      <c r="L4" t="str">
        <f>IF($C4="dmz","",CONCATENATE(VLOOKUP($D4,kong_np_var!$B$20:$H$26,SUBSTITUTE(L$1,"target_","") + 1,FALSE),":",$E4))</f>
        <v/>
      </c>
      <c r="M4" t="str">
        <f>IF($C4="dmz","",CONCATENATE(VLOOKUP($D4,kong_np_var!$B$20:$H$26,SUBSTITUTE(M$1,"target_","") + 1,FALSE),":",$E4))</f>
        <v/>
      </c>
      <c r="N4" t="str">
        <f>IF($C4="dmz","",CONCATENATE(VLOOKUP($D4,kong_np_var!$B$20:$H$26,SUBSTITUTE(N$1,"target_","") + 1,FALSE),":",$E4))</f>
        <v/>
      </c>
      <c r="O4" t="str">
        <f>VLOOKUP($D4,kong_np_var!$B$10:$D$16,3,FALSE)</f>
        <v>172.24.151.71</v>
      </c>
      <c r="P4" t="str">
        <f>CONCATENATE("/",C4,MID(D4,2,15),"/",svc!$I4)</f>
        <v>/dmz804/bes_wmm</v>
      </c>
      <c r="Q4" t="str">
        <f>VLOOKUP(C4,kong_np_var!$B$6:$C$7,2,FALSE)</f>
        <v>http://172.24.149.80:8001</v>
      </c>
      <c r="R4" t="str">
        <f>SUBSTITUTE(SUBSTITUTE(kong_np_var!$J$1,"&lt;upstream_name&gt;",$F4),"&lt;kong_api_url&gt;",$Q4)</f>
        <v>curl -X PUT http://172.24.149.80:8001/upstreams/ups-v804-bes_wmm</v>
      </c>
      <c r="S4" t="str">
        <f>SUBSTITUTE(SUBSTITUTE(SUBSTITUTE(SUBSTITUTE(kong_np_var!$J$2,"&lt;kong_api_url&gt;",$Q4),"&lt;upstream_name&gt;",$F4),"&lt;port&gt;",$E4),"&lt;service_name&gt;",$G4)</f>
        <v>curl -X PUT http://172.24.149.80:8001/services/svc-v804-bes_wmm -H "Content-Type: application/json" -d '{"protocol":"http","host":"ups-v804-bes_wmm","port":31026}'</v>
      </c>
      <c r="T4" t="str">
        <f>SUBSTITUTE(SUBSTITUTE(SUBSTITUTE(SUBSTITUTE(SUBSTITUTE(kong_np_var!$J$3,"&lt;kong_api_url&gt;",$Q4),"&lt;route_name&gt;",$H4),"&lt;service_name&gt;",$G4),"&lt;host&gt;",$O4),"&lt;path&gt;",$P4)</f>
        <v>curl -X PUT http://172.24.149.80:8001/services/svc-v804-bes_wmm/routes/route-v810-v804-bes_wmm -H "Content-Type: application/json" -d '{"protocols":["http"],"hosts":["172.24.151.71"],"paths":["/dmz804/bes_wmm"]}'</v>
      </c>
      <c r="U4" t="str">
        <f t="shared" si="1"/>
        <v>curl -X POST http://172.24.149.80:8001/upstreams/ups-v804-bes_wmm/targets -d 'target=172.24.149.70:31026'</v>
      </c>
      <c r="V4" t="str">
        <f t="shared" si="2"/>
        <v>curl -X POST http://172.24.149.80:8001/upstreams/ups-v804-bes_wmm/targets -d 'target=172.24.149.71:31026'</v>
      </c>
      <c r="W4" t="str">
        <f t="shared" si="3"/>
        <v>curl -X POST http://172.24.149.80:8001/upstreams/ups-v804-bes_wmm/targets -d 'target=172.24.149.72:31026'</v>
      </c>
      <c r="X4" t="str">
        <f t="shared" si="4"/>
        <v/>
      </c>
      <c r="Y4" t="str">
        <f t="shared" si="5"/>
        <v/>
      </c>
      <c r="Z4" t="str">
        <f t="shared" si="6"/>
        <v/>
      </c>
    </row>
    <row r="5" spans="1:26" hidden="1">
      <c r="A5">
        <f>IF(ISNUMBER(SEARCH("rest_api",svc!R5)),1,0)</f>
        <v>0</v>
      </c>
      <c r="C5" t="str">
        <f>svc!D5</f>
        <v>dmz</v>
      </c>
      <c r="D5" t="str">
        <f>svc!$B5</f>
        <v>v504</v>
      </c>
      <c r="E5">
        <f>svc!G5</f>
        <v>31010</v>
      </c>
      <c r="F5" t="str">
        <f>CONCATENATE("ups-",svc!$B5,"-",svc!I5)</f>
        <v>ups-v504-bescore_portal</v>
      </c>
      <c r="G5" t="str">
        <f>CONCATENATE("svc-",svc!$B5,"-",svc!I5)</f>
        <v>svc-v504-bescore_portal</v>
      </c>
      <c r="H5" t="str">
        <f>CONCATENATE("route-",VLOOKUP($D5,kong_np_var!$B$10:$D$16,2,FALSE),"-",svc!$B5,"-",svc!I5)</f>
        <v>route-v510-v504-bescore_portal</v>
      </c>
      <c r="I5" t="str">
        <f>CONCATENATE(VLOOKUP($D5,kong_np_var!$B$20:$H$26,SUBSTITUTE(I$1,"target_","") + 1,FALSE),":",$E5)</f>
        <v>172.24.148.102:31010</v>
      </c>
      <c r="J5" t="str">
        <f>CONCATENATE(VLOOKUP($D5,kong_np_var!$B$20:$H$26,SUBSTITUTE(J$1,"target_","") + 1,FALSE),":",$E5)</f>
        <v>172.24.148.103:31010</v>
      </c>
      <c r="K5" t="str">
        <f>CONCATENATE(VLOOKUP($D5,kong_np_var!$B$20:$H$26,SUBSTITUTE(K$1,"target_","") + 1,FALSE),":",$E5)</f>
        <v>172.24.148.104:31010</v>
      </c>
      <c r="L5" t="str">
        <f>IF($C5="dmz","",CONCATENATE(VLOOKUP($D5,kong_np_var!$B$20:$H$26,SUBSTITUTE(L$1,"target_","") + 1,FALSE),":",$E5))</f>
        <v/>
      </c>
      <c r="M5" t="str">
        <f>IF($C5="dmz","",CONCATENATE(VLOOKUP($D5,kong_np_var!$B$20:$H$26,SUBSTITUTE(M$1,"target_","") + 1,FALSE),":",$E5))</f>
        <v/>
      </c>
      <c r="N5" t="str">
        <f>IF($C5="dmz","",CONCATENATE(VLOOKUP($D5,kong_np_var!$B$20:$H$26,SUBSTITUTE(N$1,"target_","") + 1,FALSE),":",$E5))</f>
        <v/>
      </c>
      <c r="O5" t="str">
        <f>VLOOKUP($D5,kong_np_var!$B$10:$D$16,3,FALSE)</f>
        <v>172.24.148.71</v>
      </c>
      <c r="P5" t="str">
        <f>CONCATENATE("/",C5,MID(D5,2,15),"/",svc!$I5)</f>
        <v>/dmz504/bescore_portal</v>
      </c>
      <c r="Q5" t="str">
        <f>VLOOKUP(C5,kong_np_var!$B$6:$C$7,2,FALSE)</f>
        <v>http://172.24.149.80:8001</v>
      </c>
      <c r="R5" t="str">
        <f>SUBSTITUTE(SUBSTITUTE(kong_np_var!$J$1,"&lt;upstream_name&gt;",$F5),"&lt;kong_api_url&gt;",$Q5)</f>
        <v>curl -X PUT http://172.24.149.80:8001/upstreams/ups-v504-bescore_portal</v>
      </c>
      <c r="S5" t="str">
        <f>SUBSTITUTE(SUBSTITUTE(SUBSTITUTE(SUBSTITUTE(kong_np_var!$J$2,"&lt;kong_api_url&gt;",$Q5),"&lt;upstream_name&gt;",$F5),"&lt;port&gt;",$E5),"&lt;service_name&gt;",$G5)</f>
        <v>curl -X PUT http://172.24.149.80:8001/services/svc-v504-bescore_portal -H "Content-Type: application/json" -d '{"protocol":"http","host":"ups-v504-bescore_portal","port":31010}'</v>
      </c>
      <c r="T5" t="str">
        <f>SUBSTITUTE(SUBSTITUTE(SUBSTITUTE(SUBSTITUTE(SUBSTITUTE(kong_np_var!$J$3,"&lt;kong_api_url&gt;",$Q5),"&lt;route_name&gt;",$H5),"&lt;service_name&gt;",$G5),"&lt;host&gt;",$O5),"&lt;path&gt;",$P5)</f>
        <v>curl -X PUT http://172.24.149.80:8001/services/svc-v504-bescore_portal/routes/route-v510-v504-bescore_portal -H "Content-Type: application/json" -d '{"protocols":["http"],"hosts":["172.24.148.71"],"paths":["/dmz504/bescore_portal"]}'</v>
      </c>
      <c r="U5" t="str">
        <f t="shared" si="1"/>
        <v>curl -X POST http://172.24.149.80:8001/upstreams/ups-v504-bescore_portal/targets -d 'target=172.24.148.102:31010'</v>
      </c>
      <c r="V5" t="str">
        <f t="shared" si="2"/>
        <v>curl -X POST http://172.24.149.80:8001/upstreams/ups-v504-bescore_portal/targets -d 'target=172.24.148.103:31010'</v>
      </c>
      <c r="W5" t="str">
        <f t="shared" si="3"/>
        <v>curl -X POST http://172.24.149.80:8001/upstreams/ups-v504-bescore_portal/targets -d 'target=172.24.148.104:31010'</v>
      </c>
      <c r="X5" t="str">
        <f t="shared" si="4"/>
        <v/>
      </c>
      <c r="Y5" t="str">
        <f t="shared" si="5"/>
        <v/>
      </c>
      <c r="Z5" t="str">
        <f t="shared" si="6"/>
        <v/>
      </c>
    </row>
    <row r="6" spans="1:26" hidden="1">
      <c r="A6">
        <f>IF(ISNUMBER(SEARCH("rest_api",svc!R6)),1,0)</f>
        <v>0</v>
      </c>
      <c r="C6" t="str">
        <f>svc!D6</f>
        <v>dmz</v>
      </c>
      <c r="D6" t="str">
        <f>svc!$B6</f>
        <v>v504</v>
      </c>
      <c r="E6">
        <f>svc!G6</f>
        <v>31010</v>
      </c>
      <c r="F6" t="str">
        <f>CONCATENATE("ups-",svc!$B6,"-",svc!I6)</f>
        <v>ups-v504-bescore_portal</v>
      </c>
      <c r="G6" t="str">
        <f>CONCATENATE("svc-",svc!$B6,"-",svc!I6)</f>
        <v>svc-v504-bescore_portal</v>
      </c>
      <c r="H6" t="str">
        <f>CONCATENATE("route-",VLOOKUP($D6,kong_np_var!$B$10:$D$16,2,FALSE),"-",svc!$B6,"-",svc!I6)</f>
        <v>route-v510-v504-bescore_portal</v>
      </c>
      <c r="I6" t="str">
        <f>CONCATENATE(VLOOKUP($D6,kong_np_var!$B$20:$H$26,SUBSTITUTE(I$1,"target_","") + 1,FALSE),":",$E6)</f>
        <v>172.24.148.102:31010</v>
      </c>
      <c r="J6" t="str">
        <f>CONCATENATE(VLOOKUP($D6,kong_np_var!$B$20:$H$26,SUBSTITUTE(J$1,"target_","") + 1,FALSE),":",$E6)</f>
        <v>172.24.148.103:31010</v>
      </c>
      <c r="K6" t="str">
        <f>CONCATENATE(VLOOKUP($D6,kong_np_var!$B$20:$H$26,SUBSTITUTE(K$1,"target_","") + 1,FALSE),":",$E6)</f>
        <v>172.24.148.104:31010</v>
      </c>
      <c r="L6" t="str">
        <f>IF($C6="dmz","",CONCATENATE(VLOOKUP($D6,kong_np_var!$B$20:$H$26,SUBSTITUTE(L$1,"target_","") + 1,FALSE),":",$E6))</f>
        <v/>
      </c>
      <c r="M6" t="str">
        <f>IF($C6="dmz","",CONCATENATE(VLOOKUP($D6,kong_np_var!$B$20:$H$26,SUBSTITUTE(M$1,"target_","") + 1,FALSE),":",$E6))</f>
        <v/>
      </c>
      <c r="N6" t="str">
        <f>IF($C6="dmz","",CONCATENATE(VLOOKUP($D6,kong_np_var!$B$20:$H$26,SUBSTITUTE(N$1,"target_","") + 1,FALSE),":",$E6))</f>
        <v/>
      </c>
      <c r="O6" t="str">
        <f>VLOOKUP($D6,kong_np_var!$B$10:$D$16,3,FALSE)</f>
        <v>172.24.148.71</v>
      </c>
      <c r="P6" t="str">
        <f>CONCATENATE("/",C6,MID(D6,2,15),"/",svc!$I6)</f>
        <v>/dmz504/bescore_portal</v>
      </c>
      <c r="Q6" t="str">
        <f>VLOOKUP(C6,kong_np_var!$B$6:$C$7,2,FALSE)</f>
        <v>http://172.24.149.80:8001</v>
      </c>
      <c r="R6" t="str">
        <f>SUBSTITUTE(SUBSTITUTE(kong_np_var!$J$1,"&lt;upstream_name&gt;",$F6),"&lt;kong_api_url&gt;",$Q6)</f>
        <v>curl -X PUT http://172.24.149.80:8001/upstreams/ups-v504-bescore_portal</v>
      </c>
      <c r="S6" t="str">
        <f>SUBSTITUTE(SUBSTITUTE(SUBSTITUTE(SUBSTITUTE(kong_np_var!$J$2,"&lt;kong_api_url&gt;",$Q6),"&lt;upstream_name&gt;",$F6),"&lt;port&gt;",$E6),"&lt;service_name&gt;",$G6)</f>
        <v>curl -X PUT http://172.24.149.80:8001/services/svc-v504-bescore_portal -H "Content-Type: application/json" -d '{"protocol":"http","host":"ups-v504-bescore_portal","port":31010}'</v>
      </c>
      <c r="T6" t="str">
        <f>SUBSTITUTE(SUBSTITUTE(SUBSTITUTE(SUBSTITUTE(SUBSTITUTE(kong_np_var!$J$3,"&lt;kong_api_url&gt;",$Q6),"&lt;route_name&gt;",$H6),"&lt;service_name&gt;",$G6),"&lt;host&gt;",$O6),"&lt;path&gt;",$P6)</f>
        <v>curl -X PUT http://172.24.149.80:8001/services/svc-v504-bescore_portal/routes/route-v510-v504-bescore_portal -H "Content-Type: application/json" -d '{"protocols":["http"],"hosts":["172.24.148.71"],"paths":["/dmz504/bescore_portal"]}'</v>
      </c>
      <c r="U6" t="str">
        <f t="shared" si="1"/>
        <v>curl -X POST http://172.24.149.80:8001/upstreams/ups-v504-bescore_portal/targets -d 'target=172.24.148.102:31010'</v>
      </c>
      <c r="V6" t="str">
        <f t="shared" si="2"/>
        <v>curl -X POST http://172.24.149.80:8001/upstreams/ups-v504-bescore_portal/targets -d 'target=172.24.148.103:31010'</v>
      </c>
      <c r="W6" t="str">
        <f t="shared" si="3"/>
        <v>curl -X POST http://172.24.149.80:8001/upstreams/ups-v504-bescore_portal/targets -d 'target=172.24.148.104:31010'</v>
      </c>
      <c r="X6" t="str">
        <f t="shared" si="4"/>
        <v/>
      </c>
      <c r="Y6" t="str">
        <f t="shared" si="5"/>
        <v/>
      </c>
      <c r="Z6" t="str">
        <f t="shared" si="6"/>
        <v/>
      </c>
    </row>
    <row r="7" spans="1:26" hidden="1">
      <c r="A7">
        <f>IF(ISNUMBER(SEARCH("rest_api",svc!R7)),1,0)</f>
        <v>0</v>
      </c>
      <c r="C7" t="str">
        <f>svc!D7</f>
        <v>dmz</v>
      </c>
      <c r="D7" t="str">
        <f>svc!$B7</f>
        <v>v504</v>
      </c>
      <c r="E7">
        <f>svc!G7</f>
        <v>31028</v>
      </c>
      <c r="F7" t="str">
        <f>CONCATENATE("ups-",svc!$B7,"-",svc!I7)</f>
        <v>ups-v504-ccms_portal</v>
      </c>
      <c r="G7" t="str">
        <f>CONCATENATE("svc-",svc!$B7,"-",svc!I7)</f>
        <v>svc-v504-ccms_portal</v>
      </c>
      <c r="H7" t="str">
        <f>CONCATENATE("route-",VLOOKUP($D7,kong_np_var!$B$10:$D$16,2,FALSE),"-",svc!$B7,"-",svc!I7)</f>
        <v>route-v510-v504-ccms_portal</v>
      </c>
      <c r="I7" t="str">
        <f>CONCATENATE(VLOOKUP($D7,kong_np_var!$B$20:$H$26,SUBSTITUTE(I$1,"target_","") + 1,FALSE),":",$E7)</f>
        <v>172.24.148.102:31028</v>
      </c>
      <c r="J7" t="str">
        <f>CONCATENATE(VLOOKUP($D7,kong_np_var!$B$20:$H$26,SUBSTITUTE(J$1,"target_","") + 1,FALSE),":",$E7)</f>
        <v>172.24.148.103:31028</v>
      </c>
      <c r="K7" t="str">
        <f>CONCATENATE(VLOOKUP($D7,kong_np_var!$B$20:$H$26,SUBSTITUTE(K$1,"target_","") + 1,FALSE),":",$E7)</f>
        <v>172.24.148.104:31028</v>
      </c>
      <c r="L7" t="str">
        <f>IF($C7="dmz","",CONCATENATE(VLOOKUP($D7,kong_np_var!$B$20:$H$26,SUBSTITUTE(L$1,"target_","") + 1,FALSE),":",$E7))</f>
        <v/>
      </c>
      <c r="M7" t="str">
        <f>IF($C7="dmz","",CONCATENATE(VLOOKUP($D7,kong_np_var!$B$20:$H$26,SUBSTITUTE(M$1,"target_","") + 1,FALSE),":",$E7))</f>
        <v/>
      </c>
      <c r="N7" t="str">
        <f>IF($C7="dmz","",CONCATENATE(VLOOKUP($D7,kong_np_var!$B$20:$H$26,SUBSTITUTE(N$1,"target_","") + 1,FALSE),":",$E7))</f>
        <v/>
      </c>
      <c r="O7" t="str">
        <f>VLOOKUP($D7,kong_np_var!$B$10:$D$16,3,FALSE)</f>
        <v>172.24.148.71</v>
      </c>
      <c r="P7" t="str">
        <f>CONCATENATE("/",C7,MID(D7,2,15),"/",svc!$I7)</f>
        <v>/dmz504/ccms_portal</v>
      </c>
      <c r="Q7" t="str">
        <f>VLOOKUP(C7,kong_np_var!$B$6:$C$7,2,FALSE)</f>
        <v>http://172.24.149.80:8001</v>
      </c>
      <c r="R7" t="str">
        <f>SUBSTITUTE(SUBSTITUTE(kong_np_var!$J$1,"&lt;upstream_name&gt;",$F7),"&lt;kong_api_url&gt;",$Q7)</f>
        <v>curl -X PUT http://172.24.149.80:8001/upstreams/ups-v504-ccms_portal</v>
      </c>
      <c r="S7" t="str">
        <f>SUBSTITUTE(SUBSTITUTE(SUBSTITUTE(SUBSTITUTE(kong_np_var!$J$2,"&lt;kong_api_url&gt;",$Q7),"&lt;upstream_name&gt;",$F7),"&lt;port&gt;",$E7),"&lt;service_name&gt;",$G7)</f>
        <v>curl -X PUT http://172.24.149.80:8001/services/svc-v504-ccms_portal -H "Content-Type: application/json" -d '{"protocol":"http","host":"ups-v504-ccms_portal","port":31028}'</v>
      </c>
      <c r="T7" t="str">
        <f>SUBSTITUTE(SUBSTITUTE(SUBSTITUTE(SUBSTITUTE(SUBSTITUTE(kong_np_var!$J$3,"&lt;kong_api_url&gt;",$Q7),"&lt;route_name&gt;",$H7),"&lt;service_name&gt;",$G7),"&lt;host&gt;",$O7),"&lt;path&gt;",$P7)</f>
        <v>curl -X PUT http://172.24.149.80:8001/services/svc-v504-ccms_portal/routes/route-v510-v504-ccms_portal -H "Content-Type: application/json" -d '{"protocols":["http"],"hosts":["172.24.148.71"],"paths":["/dmz504/ccms_portal"]}'</v>
      </c>
      <c r="U7" t="str">
        <f t="shared" si="1"/>
        <v>curl -X POST http://172.24.149.80:8001/upstreams/ups-v504-ccms_portal/targets -d 'target=172.24.148.102:31028'</v>
      </c>
      <c r="V7" t="str">
        <f t="shared" si="2"/>
        <v>curl -X POST http://172.24.149.80:8001/upstreams/ups-v504-ccms_portal/targets -d 'target=172.24.148.103:31028'</v>
      </c>
      <c r="W7" t="str">
        <f t="shared" si="3"/>
        <v>curl -X POST http://172.24.149.80:8001/upstreams/ups-v504-ccms_portal/targets -d 'target=172.24.148.104:31028'</v>
      </c>
      <c r="X7" t="str">
        <f t="shared" si="4"/>
        <v/>
      </c>
      <c r="Y7" t="str">
        <f t="shared" si="5"/>
        <v/>
      </c>
      <c r="Z7" t="str">
        <f t="shared" si="6"/>
        <v/>
      </c>
    </row>
    <row r="8" spans="1:26" hidden="1">
      <c r="A8">
        <f>IF(ISNUMBER(SEARCH("rest_api",svc!R8)),1,0)</f>
        <v>0</v>
      </c>
      <c r="C8" t="str">
        <f>svc!D8</f>
        <v>dmz</v>
      </c>
      <c r="D8" t="str">
        <f>svc!$B8</f>
        <v>v504</v>
      </c>
      <c r="E8">
        <f>svc!G8</f>
        <v>31028</v>
      </c>
      <c r="F8" t="str">
        <f>CONCATENATE("ups-",svc!$B8,"-",svc!I8)</f>
        <v>ups-v504-ccms_portal</v>
      </c>
      <c r="G8" t="str">
        <f>CONCATENATE("svc-",svc!$B8,"-",svc!I8)</f>
        <v>svc-v504-ccms_portal</v>
      </c>
      <c r="H8" t="str">
        <f>CONCATENATE("route-",VLOOKUP($D8,kong_np_var!$B$10:$D$16,2,FALSE),"-",svc!$B8,"-",svc!I8)</f>
        <v>route-v510-v504-ccms_portal</v>
      </c>
      <c r="I8" t="str">
        <f>CONCATENATE(VLOOKUP($D8,kong_np_var!$B$20:$H$26,SUBSTITUTE(I$1,"target_","") + 1,FALSE),":",$E8)</f>
        <v>172.24.148.102:31028</v>
      </c>
      <c r="J8" t="str">
        <f>CONCATENATE(VLOOKUP($D8,kong_np_var!$B$20:$H$26,SUBSTITUTE(J$1,"target_","") + 1,FALSE),":",$E8)</f>
        <v>172.24.148.103:31028</v>
      </c>
      <c r="K8" t="str">
        <f>CONCATENATE(VLOOKUP($D8,kong_np_var!$B$20:$H$26,SUBSTITUTE(K$1,"target_","") + 1,FALSE),":",$E8)</f>
        <v>172.24.148.104:31028</v>
      </c>
      <c r="L8" t="str">
        <f>IF($C8="dmz","",CONCATENATE(VLOOKUP($D8,kong_np_var!$B$20:$H$26,SUBSTITUTE(L$1,"target_","") + 1,FALSE),":",$E8))</f>
        <v/>
      </c>
      <c r="M8" t="str">
        <f>IF($C8="dmz","",CONCATENATE(VLOOKUP($D8,kong_np_var!$B$20:$H$26,SUBSTITUTE(M$1,"target_","") + 1,FALSE),":",$E8))</f>
        <v/>
      </c>
      <c r="N8" t="str">
        <f>IF($C8="dmz","",CONCATENATE(VLOOKUP($D8,kong_np_var!$B$20:$H$26,SUBSTITUTE(N$1,"target_","") + 1,FALSE),":",$E8))</f>
        <v/>
      </c>
      <c r="O8" t="str">
        <f>VLOOKUP($D8,kong_np_var!$B$10:$D$16,3,FALSE)</f>
        <v>172.24.148.71</v>
      </c>
      <c r="P8" t="str">
        <f>CONCATENATE("/",C8,MID(D8,2,15),"/",svc!$I8)</f>
        <v>/dmz504/ccms_portal</v>
      </c>
      <c r="Q8" t="str">
        <f>VLOOKUP(C8,kong_np_var!$B$6:$C$7,2,FALSE)</f>
        <v>http://172.24.149.80:8001</v>
      </c>
      <c r="R8" t="str">
        <f>SUBSTITUTE(SUBSTITUTE(kong_np_var!$J$1,"&lt;upstream_name&gt;",$F8),"&lt;kong_api_url&gt;",$Q8)</f>
        <v>curl -X PUT http://172.24.149.80:8001/upstreams/ups-v504-ccms_portal</v>
      </c>
      <c r="S8" t="str">
        <f>SUBSTITUTE(SUBSTITUTE(SUBSTITUTE(SUBSTITUTE(kong_np_var!$J$2,"&lt;kong_api_url&gt;",$Q8),"&lt;upstream_name&gt;",$F8),"&lt;port&gt;",$E8),"&lt;service_name&gt;",$G8)</f>
        <v>curl -X PUT http://172.24.149.80:8001/services/svc-v504-ccms_portal -H "Content-Type: application/json" -d '{"protocol":"http","host":"ups-v504-ccms_portal","port":31028}'</v>
      </c>
      <c r="T8" t="str">
        <f>SUBSTITUTE(SUBSTITUTE(SUBSTITUTE(SUBSTITUTE(SUBSTITUTE(kong_np_var!$J$3,"&lt;kong_api_url&gt;",$Q8),"&lt;route_name&gt;",$H8),"&lt;service_name&gt;",$G8),"&lt;host&gt;",$O8),"&lt;path&gt;",$P8)</f>
        <v>curl -X PUT http://172.24.149.80:8001/services/svc-v504-ccms_portal/routes/route-v510-v504-ccms_portal -H "Content-Type: application/json" -d '{"protocols":["http"],"hosts":["172.24.148.71"],"paths":["/dmz504/ccms_portal"]}'</v>
      </c>
      <c r="U8" t="str">
        <f t="shared" si="1"/>
        <v>curl -X POST http://172.24.149.80:8001/upstreams/ups-v504-ccms_portal/targets -d 'target=172.24.148.102:31028'</v>
      </c>
      <c r="V8" t="str">
        <f t="shared" si="2"/>
        <v>curl -X POST http://172.24.149.80:8001/upstreams/ups-v504-ccms_portal/targets -d 'target=172.24.148.103:31028'</v>
      </c>
      <c r="W8" t="str">
        <f t="shared" si="3"/>
        <v>curl -X POST http://172.24.149.80:8001/upstreams/ups-v504-ccms_portal/targets -d 'target=172.24.148.104:31028'</v>
      </c>
      <c r="X8" t="str">
        <f t="shared" si="4"/>
        <v/>
      </c>
      <c r="Y8" t="str">
        <f t="shared" si="5"/>
        <v/>
      </c>
      <c r="Z8" t="str">
        <f t="shared" si="6"/>
        <v/>
      </c>
    </row>
    <row r="9" spans="1:26">
      <c r="A9">
        <f>IF(ISNUMBER(SEARCH("rest_api",svc!R9)),1,0)</f>
        <v>1</v>
      </c>
      <c r="C9" t="str">
        <f>svc!D9</f>
        <v>dmz</v>
      </c>
      <c r="D9" t="str">
        <f>svc!$B9</f>
        <v>v904</v>
      </c>
      <c r="E9">
        <f>svc!G9</f>
        <v>31211</v>
      </c>
      <c r="F9" t="str">
        <f>CONCATENATE("ups-",svc!$B9,"-",svc!I9)</f>
        <v>ups-v904-ccs_middleware</v>
      </c>
      <c r="G9" t="str">
        <f>CONCATENATE("svc-",svc!$B9,"-",svc!I9)</f>
        <v>svc-v904-ccs_middleware</v>
      </c>
      <c r="H9" t="str">
        <f>CONCATENATE("route-",VLOOKUP($D9,kong_np_var!$B$10:$D$16,2,FALSE),"-",svc!$B9,"-",svc!I9)</f>
        <v>route-v910-v904-ccs_middleware</v>
      </c>
      <c r="I9" t="str">
        <f>CONCATENATE(VLOOKUP($D9,kong_np_var!$B$20:$H$26,SUBSTITUTE(I$1,"target_","") + 1,FALSE),":",$E9)</f>
        <v>172.24.149.102:31211</v>
      </c>
      <c r="J9" t="str">
        <f>CONCATENATE(VLOOKUP($D9,kong_np_var!$B$20:$H$26,SUBSTITUTE(J$1,"target_","") + 1,FALSE),":",$E9)</f>
        <v>172.24.149.103:31211</v>
      </c>
      <c r="K9" t="str">
        <f>CONCATENATE(VLOOKUP($D9,kong_np_var!$B$20:$H$26,SUBSTITUTE(K$1,"target_","") + 1,FALSE),":",$E9)</f>
        <v>172.24.149.104:31211</v>
      </c>
      <c r="L9" t="str">
        <f>IF($C9="dmz","",CONCATENATE(VLOOKUP($D9,kong_np_var!$B$20:$H$26,SUBSTITUTE(L$1,"target_","") + 1,FALSE),":",$E9))</f>
        <v/>
      </c>
      <c r="M9" t="str">
        <f>IF($C9="dmz","",CONCATENATE(VLOOKUP($D9,kong_np_var!$B$20:$H$26,SUBSTITUTE(M$1,"target_","") + 1,FALSE),":",$E9))</f>
        <v/>
      </c>
      <c r="N9" t="str">
        <f>IF($C9="dmz","",CONCATENATE(VLOOKUP($D9,kong_np_var!$B$20:$H$26,SUBSTITUTE(N$1,"target_","") + 1,FALSE),":",$E9))</f>
        <v/>
      </c>
      <c r="O9" t="str">
        <f>VLOOKUP($D9,kong_np_var!$B$10:$D$16,3,FALSE)</f>
        <v>172.24.150.39</v>
      </c>
      <c r="P9" t="str">
        <f>CONCATENATE("/",C9,MID(D9,2,15),"/",svc!$I9)</f>
        <v>/dmz904/ccs_middleware</v>
      </c>
      <c r="Q9" t="str">
        <f>VLOOKUP(C9,kong_np_var!$B$6:$C$7,2,FALSE)</f>
        <v>http://172.24.149.80:8001</v>
      </c>
      <c r="R9" t="str">
        <f>SUBSTITUTE(SUBSTITUTE(kong_np_var!$J$1,"&lt;upstream_name&gt;",$F9),"&lt;kong_api_url&gt;",$Q9)</f>
        <v>curl -X PUT http://172.24.149.80:8001/upstreams/ups-v904-ccs_middleware</v>
      </c>
      <c r="S9" t="str">
        <f>SUBSTITUTE(SUBSTITUTE(SUBSTITUTE(SUBSTITUTE(kong_np_var!$J$2,"&lt;kong_api_url&gt;",$Q9),"&lt;upstream_name&gt;",$F9),"&lt;port&gt;",$E9),"&lt;service_name&gt;",$G9)</f>
        <v>curl -X PUT http://172.24.149.80:8001/services/svc-v904-ccs_middleware -H "Content-Type: application/json" -d '{"protocol":"http","host":"ups-v904-ccs_middleware","port":31211}'</v>
      </c>
      <c r="T9" t="str">
        <f>SUBSTITUTE(SUBSTITUTE(SUBSTITUTE(SUBSTITUTE(SUBSTITUTE(kong_np_var!$J$3,"&lt;kong_api_url&gt;",$Q9),"&lt;route_name&gt;",$H9),"&lt;service_name&gt;",$G9),"&lt;host&gt;",$O9),"&lt;path&gt;",$P9)</f>
        <v>curl -X PUT http://172.24.149.80:8001/services/svc-v904-ccs_middleware/routes/route-v910-v904-ccs_middleware -H "Content-Type: application/json" -d '{"protocols":["http"],"hosts":["172.24.150.39"],"paths":["/dmz904/ccs_middleware"]}'</v>
      </c>
      <c r="U9" t="str">
        <f t="shared" si="1"/>
        <v>curl -X POST http://172.24.149.80:8001/upstreams/ups-v904-ccs_middleware/targets -d 'target=172.24.149.102:31211'</v>
      </c>
      <c r="V9" t="str">
        <f t="shared" si="2"/>
        <v>curl -X POST http://172.24.149.80:8001/upstreams/ups-v904-ccs_middleware/targets -d 'target=172.24.149.103:31211'</v>
      </c>
      <c r="W9" t="str">
        <f t="shared" si="3"/>
        <v>curl -X POST http://172.24.149.80:8001/upstreams/ups-v904-ccs_middleware/targets -d 'target=172.24.149.104:31211'</v>
      </c>
      <c r="X9" t="str">
        <f t="shared" si="4"/>
        <v/>
      </c>
      <c r="Y9" t="str">
        <f t="shared" si="5"/>
        <v/>
      </c>
      <c r="Z9" t="str">
        <f t="shared" si="6"/>
        <v/>
      </c>
    </row>
    <row r="10" spans="1:26">
      <c r="A10">
        <f>IF(ISNUMBER(SEARCH("rest_api",svc!R10)),1,0)</f>
        <v>1</v>
      </c>
      <c r="C10" t="str">
        <f>svc!D10</f>
        <v>dmz</v>
      </c>
      <c r="D10" t="str">
        <f>svc!$B10</f>
        <v>v630</v>
      </c>
      <c r="E10">
        <f>svc!G10</f>
        <v>31119</v>
      </c>
      <c r="F10" t="str">
        <f>CONCATENATE("ups-",svc!$B10,"-",svc!I10)</f>
        <v>ups-v630-das_middleware</v>
      </c>
      <c r="G10" t="str">
        <f>CONCATENATE("svc-",svc!$B10,"-",svc!I10)</f>
        <v>svc-v630-das_middleware</v>
      </c>
      <c r="H10" t="str">
        <f>CONCATENATE("route-",VLOOKUP($D10,kong_np_var!$B$10:$D$16,2,FALSE),"-",svc!$B10,"-",svc!I10)</f>
        <v>route-v510-v630-das_middleware</v>
      </c>
      <c r="I10" t="str">
        <f>CONCATENATE(VLOOKUP($D10,kong_np_var!$B$20:$H$26,SUBSTITUTE(I$1,"target_","") + 1,FALSE),":",$E10)</f>
        <v>172.24.151.109:31119</v>
      </c>
      <c r="J10" t="str">
        <f>CONCATENATE(VLOOKUP($D10,kong_np_var!$B$20:$H$26,SUBSTITUTE(J$1,"target_","") + 1,FALSE),":",$E10)</f>
        <v>172.24.151.110:31119</v>
      </c>
      <c r="K10" t="str">
        <f>CONCATENATE(VLOOKUP($D10,kong_np_var!$B$20:$H$26,SUBSTITUTE(K$1,"target_","") + 1,FALSE),":",$E10)</f>
        <v>172.24.151.111:31119</v>
      </c>
      <c r="L10" t="str">
        <f>IF($C10="dmz","",CONCATENATE(VLOOKUP($D10,kong_np_var!$B$20:$H$26,SUBSTITUTE(L$1,"target_","") + 1,FALSE),":",$E10))</f>
        <v/>
      </c>
      <c r="M10" t="str">
        <f>IF($C10="dmz","",CONCATENATE(VLOOKUP($D10,kong_np_var!$B$20:$H$26,SUBSTITUTE(M$1,"target_","") + 1,FALSE),":",$E10))</f>
        <v/>
      </c>
      <c r="N10" t="str">
        <f>IF($C10="dmz","",CONCATENATE(VLOOKUP($D10,kong_np_var!$B$20:$H$26,SUBSTITUTE(N$1,"target_","") + 1,FALSE),":",$E10))</f>
        <v/>
      </c>
      <c r="O10" t="str">
        <f>VLOOKUP($D10,kong_np_var!$B$10:$D$16,3,FALSE)</f>
        <v>172.24.150.71</v>
      </c>
      <c r="P10" t="str">
        <f>CONCATENATE("/",C10,MID(D10,2,15),"/",svc!$I10)</f>
        <v>/dmz630/das_middleware</v>
      </c>
      <c r="Q10" t="str">
        <f>VLOOKUP(C10,kong_np_var!$B$6:$C$7,2,FALSE)</f>
        <v>http://172.24.149.80:8001</v>
      </c>
      <c r="R10" t="str">
        <f>SUBSTITUTE(SUBSTITUTE(kong_np_var!$J$1,"&lt;upstream_name&gt;",$F10),"&lt;kong_api_url&gt;",$Q10)</f>
        <v>curl -X PUT http://172.24.149.80:8001/upstreams/ups-v630-das_middleware</v>
      </c>
      <c r="S10" t="str">
        <f>SUBSTITUTE(SUBSTITUTE(SUBSTITUTE(SUBSTITUTE(kong_np_var!$J$2,"&lt;kong_api_url&gt;",$Q10),"&lt;upstream_name&gt;",$F10),"&lt;port&gt;",$E10),"&lt;service_name&gt;",$G10)</f>
        <v>curl -X PUT http://172.24.149.80:8001/services/svc-v630-das_middleware -H "Content-Type: application/json" -d '{"protocol":"http","host":"ups-v630-das_middleware","port":31119}'</v>
      </c>
      <c r="T10" t="str">
        <f>SUBSTITUTE(SUBSTITUTE(SUBSTITUTE(SUBSTITUTE(SUBSTITUTE(kong_np_var!$J$3,"&lt;kong_api_url&gt;",$Q10),"&lt;route_name&gt;",$H10),"&lt;service_name&gt;",$G10),"&lt;host&gt;",$O10),"&lt;path&gt;",$P10)</f>
        <v>curl -X PUT http://172.24.149.80:8001/services/svc-v630-das_middleware/routes/route-v510-v630-das_middleware -H "Content-Type: application/json" -d '{"protocols":["http"],"hosts":["172.24.150.71"],"paths":["/dmz630/das_middleware"]}'</v>
      </c>
      <c r="U10" t="str">
        <f t="shared" si="1"/>
        <v>curl -X POST http://172.24.149.80:8001/upstreams/ups-v630-das_middleware/targets -d 'target=172.24.151.109:31119'</v>
      </c>
      <c r="V10" t="str">
        <f t="shared" si="2"/>
        <v>curl -X POST http://172.24.149.80:8001/upstreams/ups-v630-das_middleware/targets -d 'target=172.24.151.110:31119'</v>
      </c>
      <c r="W10" t="str">
        <f t="shared" si="3"/>
        <v>curl -X POST http://172.24.149.80:8001/upstreams/ups-v630-das_middleware/targets -d 'target=172.24.151.111:31119'</v>
      </c>
      <c r="X10" t="str">
        <f t="shared" si="4"/>
        <v/>
      </c>
      <c r="Y10" t="str">
        <f t="shared" si="5"/>
        <v/>
      </c>
      <c r="Z10" t="str">
        <f t="shared" si="6"/>
        <v/>
      </c>
    </row>
    <row r="11" spans="1:26">
      <c r="A11">
        <f>IF(ISNUMBER(SEARCH("rest_api",svc!R109)),1,0)</f>
        <v>1</v>
      </c>
      <c r="C11" t="str">
        <f>svc!D109</f>
        <v>dmz</v>
      </c>
      <c r="D11" t="str">
        <f>svc!$B109</f>
        <v>v630</v>
      </c>
      <c r="E11">
        <f>svc!G109</f>
        <v>31129</v>
      </c>
      <c r="F11" t="str">
        <f>CONCATENATE("ups-",svc!$B109,"-",svc!I109)</f>
        <v>ups-v630-das_middleware_video</v>
      </c>
      <c r="G11" t="str">
        <f>CONCATENATE("svc-",svc!$B109,"-",svc!I109)</f>
        <v>svc-v630-das_middleware_video</v>
      </c>
      <c r="H11" t="str">
        <f>CONCATENATE("route-",VLOOKUP($D11,kong_np_var!$B$10:$D$16,2,FALSE),"-",svc!$B109,"-",svc!I109)</f>
        <v>route-v510-v630-das_middleware_video</v>
      </c>
      <c r="I11" t="str">
        <f>CONCATENATE(VLOOKUP($D11,kong_np_var!$B$20:$H$26,SUBSTITUTE(I$1,"target_","") + 1,FALSE),":",$E11)</f>
        <v>172.24.151.109:31129</v>
      </c>
      <c r="J11" t="str">
        <f>CONCATENATE(VLOOKUP($D11,kong_np_var!$B$20:$H$26,SUBSTITUTE(J$1,"target_","") + 1,FALSE),":",$E11)</f>
        <v>172.24.151.110:31129</v>
      </c>
      <c r="K11" t="str">
        <f>CONCATENATE(VLOOKUP($D11,kong_np_var!$B$20:$H$26,SUBSTITUTE(K$1,"target_","") + 1,FALSE),":",$E11)</f>
        <v>172.24.151.111:31129</v>
      </c>
      <c r="L11" t="str">
        <f>IF($C11="dmz","",CONCATENATE(VLOOKUP($D11,kong_np_var!$B$20:$H$26,SUBSTITUTE(L$1,"target_","") + 1,FALSE),":",$E11))</f>
        <v/>
      </c>
      <c r="M11" t="str">
        <f>IF($C11="dmz","",CONCATENATE(VLOOKUP($D11,kong_np_var!$B$20:$H$26,SUBSTITUTE(M$1,"target_","") + 1,FALSE),":",$E11))</f>
        <v/>
      </c>
      <c r="N11" t="str">
        <f>IF($C11="dmz","",CONCATENATE(VLOOKUP($D11,kong_np_var!$B$20:$H$26,SUBSTITUTE(N$1,"target_","") + 1,FALSE),":",$E11))</f>
        <v/>
      </c>
      <c r="O11" t="str">
        <f>VLOOKUP($D11,kong_np_var!$B$10:$D$16,3,FALSE)</f>
        <v>172.24.150.71</v>
      </c>
      <c r="P11" t="str">
        <f>CONCATENATE("/",C11,MID(D11,2,15),"/",svc!$I109)</f>
        <v>/dmz630/das_middleware_video</v>
      </c>
      <c r="Q11" t="str">
        <f>VLOOKUP(C11,kong_np_var!$B$6:$C$7,2,FALSE)</f>
        <v>http://172.24.149.80:8001</v>
      </c>
      <c r="R11" t="str">
        <f>SUBSTITUTE(SUBSTITUTE(kong_np_var!$J$1,"&lt;upstream_name&gt;",$F11),"&lt;kong_api_url&gt;",$Q11)</f>
        <v>curl -X PUT http://172.24.149.80:8001/upstreams/ups-v630-das_middleware_video</v>
      </c>
      <c r="S11" t="str">
        <f>SUBSTITUTE(SUBSTITUTE(SUBSTITUTE(SUBSTITUTE(kong_np_var!$J$2,"&lt;kong_api_url&gt;",$Q11),"&lt;upstream_name&gt;",$F11),"&lt;port&gt;",$E11),"&lt;service_name&gt;",$G11)</f>
        <v>curl -X PUT http://172.24.149.80:8001/services/svc-v630-das_middleware_video -H "Content-Type: application/json" -d '{"protocol":"http","host":"ups-v630-das_middleware_video","port":31129}'</v>
      </c>
      <c r="T11" t="str">
        <f>SUBSTITUTE(SUBSTITUTE(SUBSTITUTE(SUBSTITUTE(SUBSTITUTE(kong_np_var!$J$3,"&lt;kong_api_url&gt;",$Q11),"&lt;route_name&gt;",$H11),"&lt;service_name&gt;",$G11),"&lt;host&gt;",$O11),"&lt;path&gt;",$P11)</f>
        <v>curl -X PUT http://172.24.149.80:8001/services/svc-v630-das_middleware_video/routes/route-v510-v630-das_middleware_video -H "Content-Type: application/json" -d '{"protocols":["http"],"hosts":["172.24.150.71"],"paths":["/dmz630/das_middleware_video"]}'</v>
      </c>
      <c r="U11" t="str">
        <f t="shared" si="1"/>
        <v>curl -X POST http://172.24.149.80:8001/upstreams/ups-v630-das_middleware_video/targets -d 'target=172.24.151.109:31129'</v>
      </c>
      <c r="V11" t="str">
        <f t="shared" si="2"/>
        <v>curl -X POST http://172.24.149.80:8001/upstreams/ups-v630-das_middleware_video/targets -d 'target=172.24.151.110:31129'</v>
      </c>
      <c r="W11" t="str">
        <f t="shared" si="3"/>
        <v>curl -X POST http://172.24.149.80:8001/upstreams/ups-v630-das_middleware_video/targets -d 'target=172.24.151.111:31129'</v>
      </c>
      <c r="X11" t="str">
        <f t="shared" si="4"/>
        <v/>
      </c>
      <c r="Y11" t="str">
        <f t="shared" si="5"/>
        <v/>
      </c>
      <c r="Z11" t="str">
        <f t="shared" si="6"/>
        <v/>
      </c>
    </row>
    <row r="12" spans="1:26" hidden="1">
      <c r="A12">
        <f>IF(ISNUMBER(SEARCH("rest_api",svc!R11)),1,0)</f>
        <v>0</v>
      </c>
      <c r="C12" t="str">
        <f>svc!D11</f>
        <v>dmz</v>
      </c>
      <c r="D12" t="str">
        <f>svc!$B11</f>
        <v>v504</v>
      </c>
      <c r="E12">
        <f>svc!G11</f>
        <v>31013</v>
      </c>
      <c r="F12" t="str">
        <f>CONCATENATE("ups-",svc!$B11,"-",svc!I11)</f>
        <v>ups-v504-ecms_portal</v>
      </c>
      <c r="G12" t="str">
        <f>CONCATENATE("svc-",svc!$B11,"-",svc!I11)</f>
        <v>svc-v504-ecms_portal</v>
      </c>
      <c r="H12" t="str">
        <f>CONCATENATE("route-",VLOOKUP($D12,kong_np_var!$B$10:$D$16,2,FALSE),"-",svc!$B11,"-",svc!I11)</f>
        <v>route-v510-v504-ecms_portal</v>
      </c>
      <c r="I12" t="str">
        <f>CONCATENATE(VLOOKUP($D12,kong_np_var!$B$20:$H$26,SUBSTITUTE(I$1,"target_","") + 1,FALSE),":",$E12)</f>
        <v>172.24.148.102:31013</v>
      </c>
      <c r="J12" t="str">
        <f>CONCATENATE(VLOOKUP($D12,kong_np_var!$B$20:$H$26,SUBSTITUTE(J$1,"target_","") + 1,FALSE),":",$E12)</f>
        <v>172.24.148.103:31013</v>
      </c>
      <c r="K12" t="str">
        <f>CONCATENATE(VLOOKUP($D12,kong_np_var!$B$20:$H$26,SUBSTITUTE(K$1,"target_","") + 1,FALSE),":",$E12)</f>
        <v>172.24.148.104:31013</v>
      </c>
      <c r="L12" t="str">
        <f>IF($C12="dmz","",CONCATENATE(VLOOKUP($D12,kong_np_var!$B$20:$H$26,SUBSTITUTE(L$1,"target_","") + 1,FALSE),":",$E12))</f>
        <v/>
      </c>
      <c r="M12" t="str">
        <f>IF($C12="dmz","",CONCATENATE(VLOOKUP($D12,kong_np_var!$B$20:$H$26,SUBSTITUTE(M$1,"target_","") + 1,FALSE),":",$E12))</f>
        <v/>
      </c>
      <c r="N12" t="str">
        <f>IF($C12="dmz","",CONCATENATE(VLOOKUP($D12,kong_np_var!$B$20:$H$26,SUBSTITUTE(N$1,"target_","") + 1,FALSE),":",$E12))</f>
        <v/>
      </c>
      <c r="O12" t="str">
        <f>VLOOKUP($D12,kong_np_var!$B$10:$D$16,3,FALSE)</f>
        <v>172.24.148.71</v>
      </c>
      <c r="P12" t="str">
        <f>CONCATENATE("/",C12,MID(D12,2,15),"/",svc!$I11)</f>
        <v>/dmz504/ecms_portal</v>
      </c>
      <c r="Q12" t="str">
        <f>VLOOKUP(C12,kong_np_var!$B$6:$C$7,2,FALSE)</f>
        <v>http://172.24.149.80:8001</v>
      </c>
      <c r="R12" t="str">
        <f>SUBSTITUTE(SUBSTITUTE(kong_np_var!$J$1,"&lt;upstream_name&gt;",$F12),"&lt;kong_api_url&gt;",$Q12)</f>
        <v>curl -X PUT http://172.24.149.80:8001/upstreams/ups-v504-ecms_portal</v>
      </c>
      <c r="S12" t="str">
        <f>SUBSTITUTE(SUBSTITUTE(SUBSTITUTE(SUBSTITUTE(kong_np_var!$J$2,"&lt;kong_api_url&gt;",$Q12),"&lt;upstream_name&gt;",$F12),"&lt;port&gt;",$E12),"&lt;service_name&gt;",$G12)</f>
        <v>curl -X PUT http://172.24.149.80:8001/services/svc-v504-ecms_portal -H "Content-Type: application/json" -d '{"protocol":"http","host":"ups-v504-ecms_portal","port":31013}'</v>
      </c>
      <c r="T12" t="str">
        <f>SUBSTITUTE(SUBSTITUTE(SUBSTITUTE(SUBSTITUTE(SUBSTITUTE(kong_np_var!$J$3,"&lt;kong_api_url&gt;",$Q12),"&lt;route_name&gt;",$H12),"&lt;service_name&gt;",$G12),"&lt;host&gt;",$O12),"&lt;path&gt;",$P12)</f>
        <v>curl -X PUT http://172.24.149.80:8001/services/svc-v504-ecms_portal/routes/route-v510-v504-ecms_portal -H "Content-Type: application/json" -d '{"protocols":["http"],"hosts":["172.24.148.71"],"paths":["/dmz504/ecms_portal"]}'</v>
      </c>
      <c r="U12" t="str">
        <f t="shared" si="1"/>
        <v>curl -X POST http://172.24.149.80:8001/upstreams/ups-v504-ecms_portal/targets -d 'target=172.24.148.102:31013'</v>
      </c>
      <c r="V12" t="str">
        <f t="shared" si="2"/>
        <v>curl -X POST http://172.24.149.80:8001/upstreams/ups-v504-ecms_portal/targets -d 'target=172.24.148.103:31013'</v>
      </c>
      <c r="W12" t="str">
        <f t="shared" si="3"/>
        <v>curl -X POST http://172.24.149.80:8001/upstreams/ups-v504-ecms_portal/targets -d 'target=172.24.148.104:31013'</v>
      </c>
      <c r="X12" t="str">
        <f t="shared" si="4"/>
        <v/>
      </c>
      <c r="Y12" t="str">
        <f t="shared" si="5"/>
        <v/>
      </c>
      <c r="Z12" t="str">
        <f t="shared" si="6"/>
        <v/>
      </c>
    </row>
    <row r="13" spans="1:26" hidden="1">
      <c r="A13">
        <f>IF(ISNUMBER(SEARCH("rest_api",svc!R12)),1,0)</f>
        <v>0</v>
      </c>
      <c r="C13" t="str">
        <f>svc!D12</f>
        <v>dmz</v>
      </c>
      <c r="D13" t="str">
        <f>svc!$B12</f>
        <v>v504</v>
      </c>
      <c r="E13">
        <f>svc!G12</f>
        <v>31013</v>
      </c>
      <c r="F13" t="str">
        <f>CONCATENATE("ups-",svc!$B12,"-",svc!I12)</f>
        <v>ups-v504-ecms_portal</v>
      </c>
      <c r="G13" t="str">
        <f>CONCATENATE("svc-",svc!$B12,"-",svc!I12)</f>
        <v>svc-v504-ecms_portal</v>
      </c>
      <c r="H13" t="str">
        <f>CONCATENATE("route-",VLOOKUP($D13,kong_np_var!$B$10:$D$16,2,FALSE),"-",svc!$B12,"-",svc!I12)</f>
        <v>route-v510-v504-ecms_portal</v>
      </c>
      <c r="I13" t="str">
        <f>CONCATENATE(VLOOKUP($D13,kong_np_var!$B$20:$H$26,SUBSTITUTE(I$1,"target_","") + 1,FALSE),":",$E13)</f>
        <v>172.24.148.102:31013</v>
      </c>
      <c r="J13" t="str">
        <f>CONCATENATE(VLOOKUP($D13,kong_np_var!$B$20:$H$26,SUBSTITUTE(J$1,"target_","") + 1,FALSE),":",$E13)</f>
        <v>172.24.148.103:31013</v>
      </c>
      <c r="K13" t="str">
        <f>CONCATENATE(VLOOKUP($D13,kong_np_var!$B$20:$H$26,SUBSTITUTE(K$1,"target_","") + 1,FALSE),":",$E13)</f>
        <v>172.24.148.104:31013</v>
      </c>
      <c r="L13" t="str">
        <f>IF($C13="dmz","",CONCATENATE(VLOOKUP($D13,kong_np_var!$B$20:$H$26,SUBSTITUTE(L$1,"target_","") + 1,FALSE),":",$E13))</f>
        <v/>
      </c>
      <c r="M13" t="str">
        <f>IF($C13="dmz","",CONCATENATE(VLOOKUP($D13,kong_np_var!$B$20:$H$26,SUBSTITUTE(M$1,"target_","") + 1,FALSE),":",$E13))</f>
        <v/>
      </c>
      <c r="N13" t="str">
        <f>IF($C13="dmz","",CONCATENATE(VLOOKUP($D13,kong_np_var!$B$20:$H$26,SUBSTITUTE(N$1,"target_","") + 1,FALSE),":",$E13))</f>
        <v/>
      </c>
      <c r="O13" t="str">
        <f>VLOOKUP($D13,kong_np_var!$B$10:$D$16,3,FALSE)</f>
        <v>172.24.148.71</v>
      </c>
      <c r="P13" t="str">
        <f>CONCATENATE("/",C13,MID(D13,2,15),"/",svc!$I12)</f>
        <v>/dmz504/ecms_portal</v>
      </c>
      <c r="Q13" t="str">
        <f>VLOOKUP(C13,kong_np_var!$B$6:$C$7,2,FALSE)</f>
        <v>http://172.24.149.80:8001</v>
      </c>
      <c r="R13" t="str">
        <f>SUBSTITUTE(SUBSTITUTE(kong_np_var!$J$1,"&lt;upstream_name&gt;",$F13),"&lt;kong_api_url&gt;",$Q13)</f>
        <v>curl -X PUT http://172.24.149.80:8001/upstreams/ups-v504-ecms_portal</v>
      </c>
      <c r="S13" t="str">
        <f>SUBSTITUTE(SUBSTITUTE(SUBSTITUTE(SUBSTITUTE(kong_np_var!$J$2,"&lt;kong_api_url&gt;",$Q13),"&lt;upstream_name&gt;",$F13),"&lt;port&gt;",$E13),"&lt;service_name&gt;",$G13)</f>
        <v>curl -X PUT http://172.24.149.80:8001/services/svc-v504-ecms_portal -H "Content-Type: application/json" -d '{"protocol":"http","host":"ups-v504-ecms_portal","port":31013}'</v>
      </c>
      <c r="T13" t="str">
        <f>SUBSTITUTE(SUBSTITUTE(SUBSTITUTE(SUBSTITUTE(SUBSTITUTE(kong_np_var!$J$3,"&lt;kong_api_url&gt;",$Q13),"&lt;route_name&gt;",$H13),"&lt;service_name&gt;",$G13),"&lt;host&gt;",$O13),"&lt;path&gt;",$P13)</f>
        <v>curl -X PUT http://172.24.149.80:8001/services/svc-v504-ecms_portal/routes/route-v510-v504-ecms_portal -H "Content-Type: application/json" -d '{"protocols":["http"],"hosts":["172.24.148.71"],"paths":["/dmz504/ecms_portal"]}'</v>
      </c>
      <c r="U13" t="str">
        <f t="shared" si="1"/>
        <v>curl -X POST http://172.24.149.80:8001/upstreams/ups-v504-ecms_portal/targets -d 'target=172.24.148.102:31013'</v>
      </c>
      <c r="V13" t="str">
        <f t="shared" si="2"/>
        <v>curl -X POST http://172.24.149.80:8001/upstreams/ups-v504-ecms_portal/targets -d 'target=172.24.148.103:31013'</v>
      </c>
      <c r="W13" t="str">
        <f t="shared" si="3"/>
        <v>curl -X POST http://172.24.149.80:8001/upstreams/ups-v504-ecms_portal/targets -d 'target=172.24.148.104:31013'</v>
      </c>
      <c r="X13" t="str">
        <f t="shared" si="4"/>
        <v/>
      </c>
      <c r="Y13" t="str">
        <f t="shared" si="5"/>
        <v/>
      </c>
      <c r="Z13" t="str">
        <f t="shared" si="6"/>
        <v/>
      </c>
    </row>
    <row r="14" spans="1:26" hidden="1">
      <c r="A14">
        <f>IF(ISNUMBER(SEARCH("rest_api",svc!R13)),1,0)</f>
        <v>0</v>
      </c>
      <c r="C14" t="str">
        <f>svc!D13</f>
        <v>dmz</v>
      </c>
      <c r="D14" t="str">
        <f>svc!$B13</f>
        <v>v804</v>
      </c>
      <c r="E14">
        <f>svc!G13</f>
        <v>31029</v>
      </c>
      <c r="F14" t="str">
        <f>CONCATENATE("ups-",svc!$B13,"-",svc!I13)</f>
        <v>ups-v804-ffts_web</v>
      </c>
      <c r="G14" t="str">
        <f>CONCATENATE("svc-",svc!$B13,"-",svc!I13)</f>
        <v>svc-v804-ffts_web</v>
      </c>
      <c r="H14" t="str">
        <f>CONCATENATE("route-",VLOOKUP($D14,kong_np_var!$B$10:$D$16,2,FALSE),"-",svc!$B13,"-",svc!I13)</f>
        <v>route-v810-v804-ffts_web</v>
      </c>
      <c r="I14" t="str">
        <f>CONCATENATE(VLOOKUP($D14,kong_np_var!$B$20:$H$26,SUBSTITUTE(I$1,"target_","") + 1,FALSE),":",$E14)</f>
        <v>172.24.149.70:31029</v>
      </c>
      <c r="J14" t="str">
        <f>CONCATENATE(VLOOKUP($D14,kong_np_var!$B$20:$H$26,SUBSTITUTE(J$1,"target_","") + 1,FALSE),":",$E14)</f>
        <v>172.24.149.71:31029</v>
      </c>
      <c r="K14" t="str">
        <f>CONCATENATE(VLOOKUP($D14,kong_np_var!$B$20:$H$26,SUBSTITUTE(K$1,"target_","") + 1,FALSE),":",$E14)</f>
        <v>172.24.149.72:31029</v>
      </c>
      <c r="L14" t="str">
        <f>IF($C14="dmz","",CONCATENATE(VLOOKUP($D14,kong_np_var!$B$20:$H$26,SUBSTITUTE(L$1,"target_","") + 1,FALSE),":",$E14))</f>
        <v/>
      </c>
      <c r="M14" t="str">
        <f>IF($C14="dmz","",CONCATENATE(VLOOKUP($D14,kong_np_var!$B$20:$H$26,SUBSTITUTE(M$1,"target_","") + 1,FALSE),":",$E14))</f>
        <v/>
      </c>
      <c r="N14" t="str">
        <f>IF($C14="dmz","",CONCATENATE(VLOOKUP($D14,kong_np_var!$B$20:$H$26,SUBSTITUTE(N$1,"target_","") + 1,FALSE),":",$E14))</f>
        <v/>
      </c>
      <c r="O14" t="str">
        <f>VLOOKUP($D14,kong_np_var!$B$10:$D$16,3,FALSE)</f>
        <v>172.24.151.71</v>
      </c>
      <c r="P14" t="str">
        <f>CONCATENATE("/",C14,MID(D14,2,15),"/",svc!$I13)</f>
        <v>/dmz804/ffts_web</v>
      </c>
      <c r="Q14" t="str">
        <f>VLOOKUP(C14,kong_np_var!$B$6:$C$7,2,FALSE)</f>
        <v>http://172.24.149.80:8001</v>
      </c>
      <c r="R14" t="str">
        <f>SUBSTITUTE(SUBSTITUTE(kong_np_var!$J$1,"&lt;upstream_name&gt;",$F14),"&lt;kong_api_url&gt;",$Q14)</f>
        <v>curl -X PUT http://172.24.149.80:8001/upstreams/ups-v804-ffts_web</v>
      </c>
      <c r="S14" t="str">
        <f>SUBSTITUTE(SUBSTITUTE(SUBSTITUTE(SUBSTITUTE(kong_np_var!$J$2,"&lt;kong_api_url&gt;",$Q14),"&lt;upstream_name&gt;",$F14),"&lt;port&gt;",$E14),"&lt;service_name&gt;",$G14)</f>
        <v>curl -X PUT http://172.24.149.80:8001/services/svc-v804-ffts_web -H "Content-Type: application/json" -d '{"protocol":"http","host":"ups-v804-ffts_web","port":31029}'</v>
      </c>
      <c r="T14" t="str">
        <f>SUBSTITUTE(SUBSTITUTE(SUBSTITUTE(SUBSTITUTE(SUBSTITUTE(kong_np_var!$J$3,"&lt;kong_api_url&gt;",$Q14),"&lt;route_name&gt;",$H14),"&lt;service_name&gt;",$G14),"&lt;host&gt;",$O14),"&lt;path&gt;",$P14)</f>
        <v>curl -X PUT http://172.24.149.80:8001/services/svc-v804-ffts_web/routes/route-v810-v804-ffts_web -H "Content-Type: application/json" -d '{"protocols":["http"],"hosts":["172.24.151.71"],"paths":["/dmz804/ffts_web"]}'</v>
      </c>
      <c r="U14" t="str">
        <f t="shared" si="1"/>
        <v>curl -X POST http://172.24.149.80:8001/upstreams/ups-v804-ffts_web/targets -d 'target=172.24.149.70:31029'</v>
      </c>
      <c r="V14" t="str">
        <f t="shared" si="2"/>
        <v>curl -X POST http://172.24.149.80:8001/upstreams/ups-v804-ffts_web/targets -d 'target=172.24.149.71:31029'</v>
      </c>
      <c r="W14" t="str">
        <f t="shared" si="3"/>
        <v>curl -X POST http://172.24.149.80:8001/upstreams/ups-v804-ffts_web/targets -d 'target=172.24.149.72:31029'</v>
      </c>
      <c r="X14" t="str">
        <f t="shared" si="4"/>
        <v/>
      </c>
      <c r="Y14" t="str">
        <f t="shared" si="5"/>
        <v/>
      </c>
      <c r="Z14" t="str">
        <f t="shared" si="6"/>
        <v/>
      </c>
    </row>
    <row r="15" spans="1:26">
      <c r="A15">
        <f>IF(ISNUMBER(SEARCH("rest_api",svc!R14)),1,0)</f>
        <v>1</v>
      </c>
      <c r="C15" t="str">
        <f>svc!D14</f>
        <v>dmz</v>
      </c>
      <c r="D15" t="str">
        <f>svc!$B14</f>
        <v>v504</v>
      </c>
      <c r="E15">
        <f>svc!G14</f>
        <v>31400</v>
      </c>
      <c r="F15" t="str">
        <f>CONCATENATE("ups-",svc!$B14,"-",svc!I14)</f>
        <v>ups-v504-notification_result</v>
      </c>
      <c r="G15" t="str">
        <f>CONCATENATE("svc-",svc!$B14,"-",svc!I14)</f>
        <v>svc-v504-notification_result</v>
      </c>
      <c r="H15" t="str">
        <f>CONCATENATE("route-",VLOOKUP($D15,kong_np_var!$B$10:$D$16,2,FALSE),"-",svc!$B14,"-",svc!I14)</f>
        <v>route-v510-v504-notification_result</v>
      </c>
      <c r="I15" t="str">
        <f>CONCATENATE(VLOOKUP($D15,kong_np_var!$B$20:$H$26,SUBSTITUTE(I$1,"target_","") + 1,FALSE),":",$E15)</f>
        <v>172.24.148.102:31400</v>
      </c>
      <c r="J15" t="str">
        <f>CONCATENATE(VLOOKUP($D15,kong_np_var!$B$20:$H$26,SUBSTITUTE(J$1,"target_","") + 1,FALSE),":",$E15)</f>
        <v>172.24.148.103:31400</v>
      </c>
      <c r="K15" t="str">
        <f>CONCATENATE(VLOOKUP($D15,kong_np_var!$B$20:$H$26,SUBSTITUTE(K$1,"target_","") + 1,FALSE),":",$E15)</f>
        <v>172.24.148.104:31400</v>
      </c>
      <c r="L15" t="str">
        <f>IF($C15="dmz","",CONCATENATE(VLOOKUP($D15,kong_np_var!$B$20:$H$26,SUBSTITUTE(L$1,"target_","") + 1,FALSE),":",$E15))</f>
        <v/>
      </c>
      <c r="M15" t="str">
        <f>IF($C15="dmz","",CONCATENATE(VLOOKUP($D15,kong_np_var!$B$20:$H$26,SUBSTITUTE(M$1,"target_","") + 1,FALSE),":",$E15))</f>
        <v/>
      </c>
      <c r="N15" t="str">
        <f>IF($C15="dmz","",CONCATENATE(VLOOKUP($D15,kong_np_var!$B$20:$H$26,SUBSTITUTE(N$1,"target_","") + 1,FALSE),":",$E15))</f>
        <v/>
      </c>
      <c r="O15" t="str">
        <f>VLOOKUP($D15,kong_np_var!$B$10:$D$16,3,FALSE)</f>
        <v>172.24.148.71</v>
      </c>
      <c r="P15" t="str">
        <f>CONCATENATE("/",C15,MID(D15,2,15),"/",svc!$I14)</f>
        <v>/dmz504/notification_result</v>
      </c>
      <c r="Q15" t="str">
        <f>VLOOKUP(C15,kong_np_var!$B$6:$C$7,2,FALSE)</f>
        <v>http://172.24.149.80:8001</v>
      </c>
      <c r="R15" t="str">
        <f>SUBSTITUTE(SUBSTITUTE(kong_np_var!$J$1,"&lt;upstream_name&gt;",$F15),"&lt;kong_api_url&gt;",$Q15)</f>
        <v>curl -X PUT http://172.24.149.80:8001/upstreams/ups-v504-notification_result</v>
      </c>
      <c r="S15" t="str">
        <f>SUBSTITUTE(SUBSTITUTE(SUBSTITUTE(SUBSTITUTE(kong_np_var!$J$2,"&lt;kong_api_url&gt;",$Q15),"&lt;upstream_name&gt;",$F15),"&lt;port&gt;",$E15),"&lt;service_name&gt;",$G15)</f>
        <v>curl -X PUT http://172.24.149.80:8001/services/svc-v504-notification_result -H "Content-Type: application/json" -d '{"protocol":"http","host":"ups-v504-notification_result","port":31400}'</v>
      </c>
      <c r="T15" t="str">
        <f>SUBSTITUTE(SUBSTITUTE(SUBSTITUTE(SUBSTITUTE(SUBSTITUTE(kong_np_var!$J$3,"&lt;kong_api_url&gt;",$Q15),"&lt;route_name&gt;",$H15),"&lt;service_name&gt;",$G15),"&lt;host&gt;",$O15),"&lt;path&gt;",$P15)</f>
        <v>curl -X PUT http://172.24.149.80:8001/services/svc-v504-notification_result/routes/route-v510-v504-notification_result -H "Content-Type: application/json" -d '{"protocols":["http"],"hosts":["172.24.148.71"],"paths":["/dmz504/notification_result"]}'</v>
      </c>
      <c r="U15" t="str">
        <f t="shared" si="1"/>
        <v>curl -X POST http://172.24.149.80:8001/upstreams/ups-v504-notification_result/targets -d 'target=172.24.148.102:31400'</v>
      </c>
      <c r="V15" t="str">
        <f t="shared" si="2"/>
        <v>curl -X POST http://172.24.149.80:8001/upstreams/ups-v504-notification_result/targets -d 'target=172.24.148.103:31400'</v>
      </c>
      <c r="W15" t="str">
        <f t="shared" si="3"/>
        <v>curl -X POST http://172.24.149.80:8001/upstreams/ups-v504-notification_result/targets -d 'target=172.24.148.104:31400'</v>
      </c>
      <c r="X15" t="str">
        <f t="shared" si="4"/>
        <v/>
      </c>
      <c r="Y15" t="str">
        <f t="shared" si="5"/>
        <v/>
      </c>
      <c r="Z15" t="str">
        <f t="shared" si="6"/>
        <v/>
      </c>
    </row>
    <row r="16" spans="1:26">
      <c r="A16">
        <f>IF(ISNUMBER(SEARCH("rest_api",svc!R15)),1,0)</f>
        <v>1</v>
      </c>
      <c r="C16" t="str">
        <f>svc!D15</f>
        <v>dmz</v>
      </c>
      <c r="D16" t="str">
        <f>svc!$B15</f>
        <v>v504</v>
      </c>
      <c r="E16">
        <f>svc!G15</f>
        <v>31031</v>
      </c>
      <c r="F16" t="str">
        <f>CONCATENATE("ups-",svc!$B15,"-",svc!I15)</f>
        <v>ups-v504-payment_middleware</v>
      </c>
      <c r="G16" t="str">
        <f>CONCATENATE("svc-",svc!$B15,"-",svc!I15)</f>
        <v>svc-v504-payment_middleware</v>
      </c>
      <c r="H16" t="str">
        <f>CONCATENATE("route-",VLOOKUP($D16,kong_np_var!$B$10:$D$16,2,FALSE),"-",svc!$B15,"-",svc!I15)</f>
        <v>route-v510-v504-payment_middleware</v>
      </c>
      <c r="I16" t="str">
        <f>CONCATENATE(VLOOKUP($D16,kong_np_var!$B$20:$H$26,SUBSTITUTE(I$1,"target_","") + 1,FALSE),":",$E16)</f>
        <v>172.24.148.102:31031</v>
      </c>
      <c r="J16" t="str">
        <f>CONCATENATE(VLOOKUP($D16,kong_np_var!$B$20:$H$26,SUBSTITUTE(J$1,"target_","") + 1,FALSE),":",$E16)</f>
        <v>172.24.148.103:31031</v>
      </c>
      <c r="K16" t="str">
        <f>CONCATENATE(VLOOKUP($D16,kong_np_var!$B$20:$H$26,SUBSTITUTE(K$1,"target_","") + 1,FALSE),":",$E16)</f>
        <v>172.24.148.104:31031</v>
      </c>
      <c r="L16" t="str">
        <f>IF($C16="dmz","",CONCATENATE(VLOOKUP($D16,kong_np_var!$B$20:$H$26,SUBSTITUTE(L$1,"target_","") + 1,FALSE),":",$E16))</f>
        <v/>
      </c>
      <c r="M16" t="str">
        <f>IF($C16="dmz","",CONCATENATE(VLOOKUP($D16,kong_np_var!$B$20:$H$26,SUBSTITUTE(M$1,"target_","") + 1,FALSE),":",$E16))</f>
        <v/>
      </c>
      <c r="N16" t="str">
        <f>IF($C16="dmz","",CONCATENATE(VLOOKUP($D16,kong_np_var!$B$20:$H$26,SUBSTITUTE(N$1,"target_","") + 1,FALSE),":",$E16))</f>
        <v/>
      </c>
      <c r="O16" t="str">
        <f>VLOOKUP($D16,kong_np_var!$B$10:$D$16,3,FALSE)</f>
        <v>172.24.148.71</v>
      </c>
      <c r="P16" t="str">
        <f>CONCATENATE("/",C16,MID(D16,2,15),"/",svc!$I15)</f>
        <v>/dmz504/payment_middleware</v>
      </c>
      <c r="Q16" t="str">
        <f>VLOOKUP(C16,kong_np_var!$B$6:$C$7,2,FALSE)</f>
        <v>http://172.24.149.80:8001</v>
      </c>
      <c r="R16" t="str">
        <f>SUBSTITUTE(SUBSTITUTE(kong_np_var!$J$1,"&lt;upstream_name&gt;",$F16),"&lt;kong_api_url&gt;",$Q16)</f>
        <v>curl -X PUT http://172.24.149.80:8001/upstreams/ups-v504-payment_middleware</v>
      </c>
      <c r="S16" t="str">
        <f>SUBSTITUTE(SUBSTITUTE(SUBSTITUTE(SUBSTITUTE(kong_np_var!$J$2,"&lt;kong_api_url&gt;",$Q16),"&lt;upstream_name&gt;",$F16),"&lt;port&gt;",$E16),"&lt;service_name&gt;",$G16)</f>
        <v>curl -X PUT http://172.24.149.80:8001/services/svc-v504-payment_middleware -H "Content-Type: application/json" -d '{"protocol":"http","host":"ups-v504-payment_middleware","port":31031}'</v>
      </c>
      <c r="T16" t="str">
        <f>SUBSTITUTE(SUBSTITUTE(SUBSTITUTE(SUBSTITUTE(SUBSTITUTE(kong_np_var!$J$3,"&lt;kong_api_url&gt;",$Q16),"&lt;route_name&gt;",$H16),"&lt;service_name&gt;",$G16),"&lt;host&gt;",$O16),"&lt;path&gt;",$P16)</f>
        <v>curl -X PUT http://172.24.149.80:8001/services/svc-v504-payment_middleware/routes/route-v510-v504-payment_middleware -H "Content-Type: application/json" -d '{"protocols":["http"],"hosts":["172.24.148.71"],"paths":["/dmz504/payment_middleware"]}'</v>
      </c>
      <c r="U16" t="str">
        <f t="shared" si="1"/>
        <v>curl -X POST http://172.24.149.80:8001/upstreams/ups-v504-payment_middleware/targets -d 'target=172.24.148.102:31031'</v>
      </c>
      <c r="V16" t="str">
        <f t="shared" si="2"/>
        <v>curl -X POST http://172.24.149.80:8001/upstreams/ups-v504-payment_middleware/targets -d 'target=172.24.148.103:31031'</v>
      </c>
      <c r="W16" t="str">
        <f t="shared" si="3"/>
        <v>curl -X POST http://172.24.149.80:8001/upstreams/ups-v504-payment_middleware/targets -d 'target=172.24.148.104:31031'</v>
      </c>
      <c r="X16" t="str">
        <f t="shared" si="4"/>
        <v/>
      </c>
      <c r="Y16" t="str">
        <f t="shared" si="5"/>
        <v/>
      </c>
      <c r="Z16" t="str">
        <f t="shared" si="6"/>
        <v/>
      </c>
    </row>
    <row r="17" spans="1:26" hidden="1">
      <c r="A17">
        <f>IF(ISNUMBER(SEARCH("rest_api",svc!R16)),1,0)</f>
        <v>1</v>
      </c>
      <c r="C17" t="str">
        <f>svc!D16</f>
        <v>dmz</v>
      </c>
      <c r="D17" t="str">
        <f>svc!$B16</f>
        <v>v630_itoms2</v>
      </c>
      <c r="E17">
        <f>svc!G16</f>
        <v>31002</v>
      </c>
      <c r="F17" t="str">
        <f>CONCATENATE("ups-",svc!$B16,"-",svc!I16)</f>
        <v>ups-v630_itoms2-toms_middleware</v>
      </c>
      <c r="G17" t="str">
        <f>CONCATENATE("svc-",svc!$B16,"-",svc!I16)</f>
        <v>svc-v630_itoms2-toms_middleware</v>
      </c>
      <c r="H17" t="e">
        <f>CONCATENATE("route-",VLOOKUP($D17,kong_np_var!$B$10:$D$16,2,FALSE),"-",svc!$B16,"-",svc!I16)</f>
        <v>#N/A</v>
      </c>
      <c r="I17" t="e">
        <f>CONCATENATE(VLOOKUP($D17,kong_np_var!$B$20:$H$26,SUBSTITUTE(I$1,"target_","") + 1,FALSE),":",$E17)</f>
        <v>#N/A</v>
      </c>
      <c r="J17" t="e">
        <f>CONCATENATE(VLOOKUP($D17,kong_np_var!$B$20:$H$26,SUBSTITUTE(J$1,"target_","") + 1,FALSE),":",$E17)</f>
        <v>#N/A</v>
      </c>
      <c r="K17" t="e">
        <f>CONCATENATE(VLOOKUP($D17,kong_np_var!$B$20:$H$26,SUBSTITUTE(K$1,"target_","") + 1,FALSE),":",$E17)</f>
        <v>#N/A</v>
      </c>
      <c r="L17" t="str">
        <f>IF($C17="dmz","",CONCATENATE(VLOOKUP($D17,kong_np_var!$B$20:$H$26,SUBSTITUTE(L$1,"target_","") + 1,FALSE),":",$E17))</f>
        <v/>
      </c>
      <c r="M17" t="str">
        <f>IF($C17="dmz","",CONCATENATE(VLOOKUP($D17,kong_np_var!$B$20:$H$26,SUBSTITUTE(M$1,"target_","") + 1,FALSE),":",$E17))</f>
        <v/>
      </c>
      <c r="N17" t="str">
        <f>IF($C17="dmz","",CONCATENATE(VLOOKUP($D17,kong_np_var!$B$20:$H$26,SUBSTITUTE(N$1,"target_","") + 1,FALSE),":",$E17))</f>
        <v/>
      </c>
      <c r="O17" t="e">
        <f>VLOOKUP($D17,kong_np_var!$B$10:$D$16,3,FALSE)</f>
        <v>#N/A</v>
      </c>
      <c r="P17" t="str">
        <f>CONCATENATE("/",C17,MID(D17,2,15),"/",svc!$I16)</f>
        <v>/dmz630_itoms2/toms_middleware</v>
      </c>
      <c r="Q17" t="str">
        <f>VLOOKUP(C17,kong_np_var!$B$6:$C$7,2,FALSE)</f>
        <v>http://172.24.149.80:8001</v>
      </c>
      <c r="R17" t="str">
        <f>SUBSTITUTE(SUBSTITUTE(kong_np_var!$J$1,"&lt;upstream_name&gt;",$F17),"&lt;kong_api_url&gt;",$Q17)</f>
        <v>curl -X PUT http://172.24.149.80:8001/upstreams/ups-v630_itoms2-toms_middleware</v>
      </c>
      <c r="S17" t="str">
        <f>SUBSTITUTE(SUBSTITUTE(SUBSTITUTE(SUBSTITUTE(kong_np_var!$J$2,"&lt;kong_api_url&gt;",$Q17),"&lt;upstream_name&gt;",$F17),"&lt;port&gt;",$E17),"&lt;service_name&gt;",$G17)</f>
        <v>curl -X PUT http://172.24.149.80:8001/services/svc-v630_itoms2-toms_middleware -H "Content-Type: application/json" -d '{"protocol":"http","host":"ups-v630_itoms2-toms_middleware","port":31002}'</v>
      </c>
      <c r="T17" t="e">
        <f>SUBSTITUTE(SUBSTITUTE(SUBSTITUTE(SUBSTITUTE(SUBSTITUTE(kong_np_var!$J$3,"&lt;kong_api_url&gt;",$Q17),"&lt;route_name&gt;",$H17),"&lt;service_name&gt;",$G17),"&lt;host&gt;",$O17),"&lt;path&gt;",$P17)</f>
        <v>#N/A</v>
      </c>
      <c r="U17" t="e">
        <f t="shared" si="1"/>
        <v>#N/A</v>
      </c>
      <c r="V17" t="e">
        <f t="shared" si="2"/>
        <v>#N/A</v>
      </c>
      <c r="W17" t="e">
        <f t="shared" si="3"/>
        <v>#N/A</v>
      </c>
      <c r="X17" t="str">
        <f t="shared" si="4"/>
        <v/>
      </c>
      <c r="Y17" t="str">
        <f t="shared" si="5"/>
        <v/>
      </c>
      <c r="Z17" t="str">
        <f t="shared" si="6"/>
        <v/>
      </c>
    </row>
    <row r="18" spans="1:26" hidden="1">
      <c r="A18">
        <f>IF(ISNUMBER(SEARCH("rest_api",svc!R17)),1,0)</f>
        <v>0</v>
      </c>
      <c r="C18" t="str">
        <f>svc!D17</f>
        <v>dmz</v>
      </c>
      <c r="D18" t="str">
        <f>svc!$B17</f>
        <v>v504_itoms1</v>
      </c>
      <c r="E18">
        <f>svc!G17</f>
        <v>31030</v>
      </c>
      <c r="F18" t="str">
        <f>CONCATENATE("ups-",svc!$B17,"-",svc!I17)</f>
        <v>ups-v504_itoms1-toms_portal</v>
      </c>
      <c r="G18" t="str">
        <f>CONCATENATE("svc-",svc!$B17,"-",svc!I17)</f>
        <v>svc-v504_itoms1-toms_portal</v>
      </c>
      <c r="H18" t="e">
        <f>CONCATENATE("route-",VLOOKUP($D18,kong_np_var!$B$10:$D$16,2,FALSE),"-",svc!$B17,"-",svc!I17)</f>
        <v>#N/A</v>
      </c>
      <c r="I18" t="e">
        <f>CONCATENATE(VLOOKUP($D18,kong_np_var!$B$20:$H$26,SUBSTITUTE(I$1,"target_","") + 1,FALSE),":",$E18)</f>
        <v>#N/A</v>
      </c>
      <c r="J18" t="e">
        <f>CONCATENATE(VLOOKUP($D18,kong_np_var!$B$20:$H$26,SUBSTITUTE(J$1,"target_","") + 1,FALSE),":",$E18)</f>
        <v>#N/A</v>
      </c>
      <c r="K18" t="e">
        <f>CONCATENATE(VLOOKUP($D18,kong_np_var!$B$20:$H$26,SUBSTITUTE(K$1,"target_","") + 1,FALSE),":",$E18)</f>
        <v>#N/A</v>
      </c>
      <c r="L18" t="str">
        <f>IF($C18="dmz","",CONCATENATE(VLOOKUP($D18,kong_np_var!$B$20:$H$26,SUBSTITUTE(L$1,"target_","") + 1,FALSE),":",$E18))</f>
        <v/>
      </c>
      <c r="M18" t="str">
        <f>IF($C18="dmz","",CONCATENATE(VLOOKUP($D18,kong_np_var!$B$20:$H$26,SUBSTITUTE(M$1,"target_","") + 1,FALSE),":",$E18))</f>
        <v/>
      </c>
      <c r="N18" t="str">
        <f>IF($C18="dmz","",CONCATENATE(VLOOKUP($D18,kong_np_var!$B$20:$H$26,SUBSTITUTE(N$1,"target_","") + 1,FALSE),":",$E18))</f>
        <v/>
      </c>
      <c r="O18" t="e">
        <f>VLOOKUP($D18,kong_np_var!$B$10:$D$16,3,FALSE)</f>
        <v>#N/A</v>
      </c>
      <c r="P18" t="str">
        <f>CONCATENATE("/",C18,MID(D18,2,15),"/",svc!$I17)</f>
        <v>/dmz504_itoms1/toms_portal</v>
      </c>
      <c r="Q18" t="str">
        <f>VLOOKUP(C18,kong_np_var!$B$6:$C$7,2,FALSE)</f>
        <v>http://172.24.149.80:8001</v>
      </c>
      <c r="R18" t="str">
        <f>SUBSTITUTE(SUBSTITUTE(kong_np_var!$J$1,"&lt;upstream_name&gt;",$F18),"&lt;kong_api_url&gt;",$Q18)</f>
        <v>curl -X PUT http://172.24.149.80:8001/upstreams/ups-v504_itoms1-toms_portal</v>
      </c>
      <c r="S18" t="str">
        <f>SUBSTITUTE(SUBSTITUTE(SUBSTITUTE(SUBSTITUTE(kong_np_var!$J$2,"&lt;kong_api_url&gt;",$Q18),"&lt;upstream_name&gt;",$F18),"&lt;port&gt;",$E18),"&lt;service_name&gt;",$G18)</f>
        <v>curl -X PUT http://172.24.149.80:8001/services/svc-v504_itoms1-toms_portal -H "Content-Type: application/json" -d '{"protocol":"http","host":"ups-v504_itoms1-toms_portal","port":31030}'</v>
      </c>
      <c r="T18" t="e">
        <f>SUBSTITUTE(SUBSTITUTE(SUBSTITUTE(SUBSTITUTE(SUBSTITUTE(kong_np_var!$J$3,"&lt;kong_api_url&gt;",$Q18),"&lt;route_name&gt;",$H18),"&lt;service_name&gt;",$G18),"&lt;host&gt;",$O18),"&lt;path&gt;",$P18)</f>
        <v>#N/A</v>
      </c>
      <c r="U18" t="e">
        <f t="shared" si="1"/>
        <v>#N/A</v>
      </c>
      <c r="V18" t="e">
        <f t="shared" si="2"/>
        <v>#N/A</v>
      </c>
      <c r="W18" t="e">
        <f t="shared" si="3"/>
        <v>#N/A</v>
      </c>
      <c r="X18" t="str">
        <f t="shared" si="4"/>
        <v/>
      </c>
      <c r="Y18" t="str">
        <f t="shared" si="5"/>
        <v/>
      </c>
      <c r="Z18" t="str">
        <f t="shared" si="6"/>
        <v/>
      </c>
    </row>
    <row r="19" spans="1:26">
      <c r="A19">
        <f>IF(ISNUMBER(SEARCH("rest_api",svc!R18)),1,0)</f>
        <v>1</v>
      </c>
      <c r="C19" t="str">
        <f>svc!D18</f>
        <v>dmz</v>
      </c>
      <c r="D19" t="str">
        <f>svc!$B18</f>
        <v>v504</v>
      </c>
      <c r="E19">
        <f>svc!G18</f>
        <v>31401</v>
      </c>
      <c r="F19" t="str">
        <f>CONCATENATE("ups-",svc!$B18,"-",svc!I18)</f>
        <v>ups-v504-tsp_middleware</v>
      </c>
      <c r="G19" t="str">
        <f>CONCATENATE("svc-",svc!$B18,"-",svc!I18)</f>
        <v>svc-v504-tsp_middleware</v>
      </c>
      <c r="H19" t="str">
        <f>CONCATENATE("route-",VLOOKUP($D19,kong_np_var!$B$10:$D$16,2,FALSE),"-",svc!$B18,"-",svc!I18)</f>
        <v>route-v510-v504-tsp_middleware</v>
      </c>
      <c r="I19" t="str">
        <f>CONCATENATE(VLOOKUP($D19,kong_np_var!$B$20:$H$26,SUBSTITUTE(I$1,"target_","") + 1,FALSE),":",$E19)</f>
        <v>172.24.148.102:31401</v>
      </c>
      <c r="J19" t="str">
        <f>CONCATENATE(VLOOKUP($D19,kong_np_var!$B$20:$H$26,SUBSTITUTE(J$1,"target_","") + 1,FALSE),":",$E19)</f>
        <v>172.24.148.103:31401</v>
      </c>
      <c r="K19" t="str">
        <f>CONCATENATE(VLOOKUP($D19,kong_np_var!$B$20:$H$26,SUBSTITUTE(K$1,"target_","") + 1,FALSE),":",$E19)</f>
        <v>172.24.148.104:31401</v>
      </c>
      <c r="L19" t="str">
        <f>IF($C19="dmz","",CONCATENATE(VLOOKUP($D19,kong_np_var!$B$20:$H$26,SUBSTITUTE(L$1,"target_","") + 1,FALSE),":",$E19))</f>
        <v/>
      </c>
      <c r="M19" t="str">
        <f>IF($C19="dmz","",CONCATENATE(VLOOKUP($D19,kong_np_var!$B$20:$H$26,SUBSTITUTE(M$1,"target_","") + 1,FALSE),":",$E19))</f>
        <v/>
      </c>
      <c r="N19" t="str">
        <f>IF($C19="dmz","",CONCATENATE(VLOOKUP($D19,kong_np_var!$B$20:$H$26,SUBSTITUTE(N$1,"target_","") + 1,FALSE),":",$E19))</f>
        <v/>
      </c>
      <c r="O19" t="str">
        <f>VLOOKUP($D19,kong_np_var!$B$10:$D$16,3,FALSE)</f>
        <v>172.24.148.71</v>
      </c>
      <c r="P19" t="str">
        <f>CONCATENATE("/",C19,MID(D19,2,15),"/",svc!$I18)</f>
        <v>/dmz504/tsp_middleware</v>
      </c>
      <c r="Q19" t="str">
        <f>VLOOKUP(C19,kong_np_var!$B$6:$C$7,2,FALSE)</f>
        <v>http://172.24.149.80:8001</v>
      </c>
      <c r="R19" t="str">
        <f>SUBSTITUTE(SUBSTITUTE(kong_np_var!$J$1,"&lt;upstream_name&gt;",$F19),"&lt;kong_api_url&gt;",$Q19)</f>
        <v>curl -X PUT http://172.24.149.80:8001/upstreams/ups-v504-tsp_middleware</v>
      </c>
      <c r="S19" t="str">
        <f>SUBSTITUTE(SUBSTITUTE(SUBSTITUTE(SUBSTITUTE(kong_np_var!$J$2,"&lt;kong_api_url&gt;",$Q19),"&lt;upstream_name&gt;",$F19),"&lt;port&gt;",$E19),"&lt;service_name&gt;",$G19)</f>
        <v>curl -X PUT http://172.24.149.80:8001/services/svc-v504-tsp_middleware -H "Content-Type: application/json" -d '{"protocol":"http","host":"ups-v504-tsp_middleware","port":31401}'</v>
      </c>
      <c r="T19" t="str">
        <f>SUBSTITUTE(SUBSTITUTE(SUBSTITUTE(SUBSTITUTE(SUBSTITUTE(kong_np_var!$J$3,"&lt;kong_api_url&gt;",$Q19),"&lt;route_name&gt;",$H19),"&lt;service_name&gt;",$G19),"&lt;host&gt;",$O19),"&lt;path&gt;",$P19)</f>
        <v>curl -X PUT http://172.24.149.80:8001/services/svc-v504-tsp_middleware/routes/route-v510-v504-tsp_middleware -H "Content-Type: application/json" -d '{"protocols":["http"],"hosts":["172.24.148.71"],"paths":["/dmz504/tsp_middleware"]}'</v>
      </c>
      <c r="U19" t="str">
        <f t="shared" si="1"/>
        <v>curl -X POST http://172.24.149.80:8001/upstreams/ups-v504-tsp_middleware/targets -d 'target=172.24.148.102:31401'</v>
      </c>
      <c r="V19" t="str">
        <f t="shared" si="2"/>
        <v>curl -X POST http://172.24.149.80:8001/upstreams/ups-v504-tsp_middleware/targets -d 'target=172.24.148.103:31401'</v>
      </c>
      <c r="W19" t="str">
        <f t="shared" si="3"/>
        <v>curl -X POST http://172.24.149.80:8001/upstreams/ups-v504-tsp_middleware/targets -d 'target=172.24.148.104:31401'</v>
      </c>
      <c r="X19" t="str">
        <f t="shared" si="4"/>
        <v/>
      </c>
      <c r="Y19" t="str">
        <f t="shared" si="5"/>
        <v/>
      </c>
      <c r="Z19" t="str">
        <f t="shared" si="6"/>
        <v/>
      </c>
    </row>
    <row r="20" spans="1:26">
      <c r="A20">
        <f>IF(ISNUMBER(SEARCH("rest_api",svc!R19)),1,0)</f>
        <v>1</v>
      </c>
      <c r="C20" t="str">
        <f>svc!D19</f>
        <v>dmz</v>
      </c>
      <c r="D20" t="str">
        <f>svc!$B19</f>
        <v>v504</v>
      </c>
      <c r="E20">
        <f>svc!G19</f>
        <v>31402</v>
      </c>
      <c r="F20" t="str">
        <f>CONCATENATE("ups-",svc!$B19,"-",svc!I19)</f>
        <v>ups-v504-ttis_middleware</v>
      </c>
      <c r="G20" t="str">
        <f>CONCATENATE("svc-",svc!$B19,"-",svc!I19)</f>
        <v>svc-v504-ttis_middleware</v>
      </c>
      <c r="H20" t="str">
        <f>CONCATENATE("route-",VLOOKUP($D20,kong_np_var!$B$10:$D$16,2,FALSE),"-",svc!$B19,"-",svc!I19)</f>
        <v>route-v510-v504-ttis_middleware</v>
      </c>
      <c r="I20" t="str">
        <f>CONCATENATE(VLOOKUP($D20,kong_np_var!$B$20:$H$26,SUBSTITUTE(I$1,"target_","") + 1,FALSE),":",$E20)</f>
        <v>172.24.148.102:31402</v>
      </c>
      <c r="J20" t="str">
        <f>CONCATENATE(VLOOKUP($D20,kong_np_var!$B$20:$H$26,SUBSTITUTE(J$1,"target_","") + 1,FALSE),":",$E20)</f>
        <v>172.24.148.103:31402</v>
      </c>
      <c r="K20" t="str">
        <f>CONCATENATE(VLOOKUP($D20,kong_np_var!$B$20:$H$26,SUBSTITUTE(K$1,"target_","") + 1,FALSE),":",$E20)</f>
        <v>172.24.148.104:31402</v>
      </c>
      <c r="L20" t="str">
        <f>IF($C20="dmz","",CONCATENATE(VLOOKUP($D20,kong_np_var!$B$20:$H$26,SUBSTITUTE(L$1,"target_","") + 1,FALSE),":",$E20))</f>
        <v/>
      </c>
      <c r="M20" t="str">
        <f>IF($C20="dmz","",CONCATENATE(VLOOKUP($D20,kong_np_var!$B$20:$H$26,SUBSTITUTE(M$1,"target_","") + 1,FALSE),":",$E20))</f>
        <v/>
      </c>
      <c r="N20" t="str">
        <f>IF($C20="dmz","",CONCATENATE(VLOOKUP($D20,kong_np_var!$B$20:$H$26,SUBSTITUTE(N$1,"target_","") + 1,FALSE),":",$E20))</f>
        <v/>
      </c>
      <c r="O20" t="str">
        <f>VLOOKUP($D20,kong_np_var!$B$10:$D$16,3,FALSE)</f>
        <v>172.24.148.71</v>
      </c>
      <c r="P20" t="str">
        <f>CONCATENATE("/",C20,MID(D20,2,15),"/",svc!$I19)</f>
        <v>/dmz504/ttis_middleware</v>
      </c>
      <c r="Q20" t="str">
        <f>VLOOKUP(C20,kong_np_var!$B$6:$C$7,2,FALSE)</f>
        <v>http://172.24.149.80:8001</v>
      </c>
      <c r="R20" t="str">
        <f>SUBSTITUTE(SUBSTITUTE(kong_np_var!$J$1,"&lt;upstream_name&gt;",$F20),"&lt;kong_api_url&gt;",$Q20)</f>
        <v>curl -X PUT http://172.24.149.80:8001/upstreams/ups-v504-ttis_middleware</v>
      </c>
      <c r="S20" t="str">
        <f>SUBSTITUTE(SUBSTITUTE(SUBSTITUTE(SUBSTITUTE(kong_np_var!$J$2,"&lt;kong_api_url&gt;",$Q20),"&lt;upstream_name&gt;",$F20),"&lt;port&gt;",$E20),"&lt;service_name&gt;",$G20)</f>
        <v>curl -X PUT http://172.24.149.80:8001/services/svc-v504-ttis_middleware -H "Content-Type: application/json" -d '{"protocol":"http","host":"ups-v504-ttis_middleware","port":31402}'</v>
      </c>
      <c r="T20" t="str">
        <f>SUBSTITUTE(SUBSTITUTE(SUBSTITUTE(SUBSTITUTE(SUBSTITUTE(kong_np_var!$J$3,"&lt;kong_api_url&gt;",$Q20),"&lt;route_name&gt;",$H20),"&lt;service_name&gt;",$G20),"&lt;host&gt;",$O20),"&lt;path&gt;",$P20)</f>
        <v>curl -X PUT http://172.24.149.80:8001/services/svc-v504-ttis_middleware/routes/route-v510-v504-ttis_middleware -H "Content-Type: application/json" -d '{"protocols":["http"],"hosts":["172.24.148.71"],"paths":["/dmz504/ttis_middleware"]}'</v>
      </c>
      <c r="U20" t="str">
        <f t="shared" si="1"/>
        <v>curl -X POST http://172.24.149.80:8001/upstreams/ups-v504-ttis_middleware/targets -d 'target=172.24.148.102:31402'</v>
      </c>
      <c r="V20" t="str">
        <f t="shared" si="2"/>
        <v>curl -X POST http://172.24.149.80:8001/upstreams/ups-v504-ttis_middleware/targets -d 'target=172.24.148.103:31402'</v>
      </c>
      <c r="W20" t="str">
        <f t="shared" si="3"/>
        <v>curl -X POST http://172.24.149.80:8001/upstreams/ups-v504-ttis_middleware/targets -d 'target=172.24.148.104:31402'</v>
      </c>
      <c r="X20" t="str">
        <f t="shared" si="4"/>
        <v/>
      </c>
      <c r="Y20" t="str">
        <f t="shared" si="5"/>
        <v/>
      </c>
      <c r="Z20" t="str">
        <f t="shared" si="6"/>
        <v/>
      </c>
    </row>
    <row r="21" spans="1:26">
      <c r="A21">
        <f>IF(ISNUMBER(SEARCH("rest_api",svc!R20)),1,0)</f>
        <v>1</v>
      </c>
      <c r="C21" t="str">
        <f>svc!D20</f>
        <v>dmz</v>
      </c>
      <c r="D21" t="str">
        <f>svc!$B20</f>
        <v>v904</v>
      </c>
      <c r="E21">
        <f>svc!G20</f>
        <v>31403</v>
      </c>
      <c r="F21" t="str">
        <f>CONCATENATE("ups-",svc!$B20,"-",svc!I20)</f>
        <v>ups-v904-validv_middleware</v>
      </c>
      <c r="G21" t="str">
        <f>CONCATENATE("svc-",svc!$B20,"-",svc!I20)</f>
        <v>svc-v904-validv_middleware</v>
      </c>
      <c r="H21" t="str">
        <f>CONCATENATE("route-",VLOOKUP($D21,kong_np_var!$B$10:$D$16,2,FALSE),"-",svc!$B20,"-",svc!I20)</f>
        <v>route-v910-v904-validv_middleware</v>
      </c>
      <c r="I21" t="str">
        <f>CONCATENATE(VLOOKUP($D21,kong_np_var!$B$20:$H$26,SUBSTITUTE(I$1,"target_","") + 1,FALSE),":",$E21)</f>
        <v>172.24.149.102:31403</v>
      </c>
      <c r="J21" t="str">
        <f>CONCATENATE(VLOOKUP($D21,kong_np_var!$B$20:$H$26,SUBSTITUTE(J$1,"target_","") + 1,FALSE),":",$E21)</f>
        <v>172.24.149.103:31403</v>
      </c>
      <c r="K21" t="str">
        <f>CONCATENATE(VLOOKUP($D21,kong_np_var!$B$20:$H$26,SUBSTITUTE(K$1,"target_","") + 1,FALSE),":",$E21)</f>
        <v>172.24.149.104:31403</v>
      </c>
      <c r="L21" t="str">
        <f>IF($C21="dmz","",CONCATENATE(VLOOKUP($D21,kong_np_var!$B$20:$H$26,SUBSTITUTE(L$1,"target_","") + 1,FALSE),":",$E21))</f>
        <v/>
      </c>
      <c r="M21" t="str">
        <f>IF($C21="dmz","",CONCATENATE(VLOOKUP($D21,kong_np_var!$B$20:$H$26,SUBSTITUTE(M$1,"target_","") + 1,FALSE),":",$E21))</f>
        <v/>
      </c>
      <c r="N21" t="str">
        <f>IF($C21="dmz","",CONCATENATE(VLOOKUP($D21,kong_np_var!$B$20:$H$26,SUBSTITUTE(N$1,"target_","") + 1,FALSE),":",$E21))</f>
        <v/>
      </c>
      <c r="O21" t="str">
        <f>VLOOKUP($D21,kong_np_var!$B$10:$D$16,3,FALSE)</f>
        <v>172.24.150.39</v>
      </c>
      <c r="P21" t="str">
        <f>CONCATENATE("/",C21,MID(D21,2,15),"/",svc!$I20)</f>
        <v>/dmz904/validv_middleware</v>
      </c>
      <c r="Q21" t="str">
        <f>VLOOKUP(C21,kong_np_var!$B$6:$C$7,2,FALSE)</f>
        <v>http://172.24.149.80:8001</v>
      </c>
      <c r="R21" t="str">
        <f>SUBSTITUTE(SUBSTITUTE(kong_np_var!$J$1,"&lt;upstream_name&gt;",$F21),"&lt;kong_api_url&gt;",$Q21)</f>
        <v>curl -X PUT http://172.24.149.80:8001/upstreams/ups-v904-validv_middleware</v>
      </c>
      <c r="S21" t="str">
        <f>SUBSTITUTE(SUBSTITUTE(SUBSTITUTE(SUBSTITUTE(kong_np_var!$J$2,"&lt;kong_api_url&gt;",$Q21),"&lt;upstream_name&gt;",$F21),"&lt;port&gt;",$E21),"&lt;service_name&gt;",$G21)</f>
        <v>curl -X PUT http://172.24.149.80:8001/services/svc-v904-validv_middleware -H "Content-Type: application/json" -d '{"protocol":"http","host":"ups-v904-validv_middleware","port":31403}'</v>
      </c>
      <c r="T21" t="str">
        <f>SUBSTITUTE(SUBSTITUTE(SUBSTITUTE(SUBSTITUTE(SUBSTITUTE(kong_np_var!$J$3,"&lt;kong_api_url&gt;",$Q21),"&lt;route_name&gt;",$H21),"&lt;service_name&gt;",$G21),"&lt;host&gt;",$O21),"&lt;path&gt;",$P21)</f>
        <v>curl -X PUT http://172.24.149.80:8001/services/svc-v904-validv_middleware/routes/route-v910-v904-validv_middleware -H "Content-Type: application/json" -d '{"protocols":["http"],"hosts":["172.24.150.39"],"paths":["/dmz904/validv_middleware"]}'</v>
      </c>
      <c r="U21" t="str">
        <f t="shared" si="1"/>
        <v>curl -X POST http://172.24.149.80:8001/upstreams/ups-v904-validv_middleware/targets -d 'target=172.24.149.102:31403'</v>
      </c>
      <c r="V21" t="str">
        <f t="shared" si="2"/>
        <v>curl -X POST http://172.24.149.80:8001/upstreams/ups-v904-validv_middleware/targets -d 'target=172.24.149.103:31403'</v>
      </c>
      <c r="W21" t="str">
        <f t="shared" si="3"/>
        <v>curl -X POST http://172.24.149.80:8001/upstreams/ups-v904-validv_middleware/targets -d 'target=172.24.149.104:31403'</v>
      </c>
      <c r="X21" t="str">
        <f t="shared" si="4"/>
        <v/>
      </c>
      <c r="Y21" t="str">
        <f t="shared" si="5"/>
        <v/>
      </c>
      <c r="Z21" t="str">
        <f t="shared" si="6"/>
        <v/>
      </c>
    </row>
    <row r="22" spans="1:26">
      <c r="A22">
        <f>IF(ISNUMBER(SEARCH("rest_api",svc!R21)),1,0)</f>
        <v>1</v>
      </c>
      <c r="C22" t="str">
        <f>svc!D21</f>
        <v>dmz</v>
      </c>
      <c r="D22" t="str">
        <f>svc!$B21</f>
        <v>v904</v>
      </c>
      <c r="E22">
        <f>svc!G21</f>
        <v>31404</v>
      </c>
      <c r="F22" t="str">
        <f>CONCATENATE("ups-",svc!$B21,"-",svc!I21)</f>
        <v>ups-v904-vssd_middleware</v>
      </c>
      <c r="G22" t="str">
        <f>CONCATENATE("svc-",svc!$B21,"-",svc!I21)</f>
        <v>svc-v904-vssd_middleware</v>
      </c>
      <c r="H22" t="str">
        <f>CONCATENATE("route-",VLOOKUP($D22,kong_np_var!$B$10:$D$16,2,FALSE),"-",svc!$B21,"-",svc!I21)</f>
        <v>route-v910-v904-vssd_middleware</v>
      </c>
      <c r="I22" t="str">
        <f>CONCATENATE(VLOOKUP($D22,kong_np_var!$B$20:$H$26,SUBSTITUTE(I$1,"target_","") + 1,FALSE),":",$E22)</f>
        <v>172.24.149.102:31404</v>
      </c>
      <c r="J22" t="str">
        <f>CONCATENATE(VLOOKUP($D22,kong_np_var!$B$20:$H$26,SUBSTITUTE(J$1,"target_","") + 1,FALSE),":",$E22)</f>
        <v>172.24.149.103:31404</v>
      </c>
      <c r="K22" t="str">
        <f>CONCATENATE(VLOOKUP($D22,kong_np_var!$B$20:$H$26,SUBSTITUTE(K$1,"target_","") + 1,FALSE),":",$E22)</f>
        <v>172.24.149.104:31404</v>
      </c>
      <c r="L22" t="str">
        <f>IF($C22="dmz","",CONCATENATE(VLOOKUP($D22,kong_np_var!$B$20:$H$26,SUBSTITUTE(L$1,"target_","") + 1,FALSE),":",$E22))</f>
        <v/>
      </c>
      <c r="M22" t="str">
        <f>IF($C22="dmz","",CONCATENATE(VLOOKUP($D22,kong_np_var!$B$20:$H$26,SUBSTITUTE(M$1,"target_","") + 1,FALSE),":",$E22))</f>
        <v/>
      </c>
      <c r="N22" t="str">
        <f>IF($C22="dmz","",CONCATENATE(VLOOKUP($D22,kong_np_var!$B$20:$H$26,SUBSTITUTE(N$1,"target_","") + 1,FALSE),":",$E22))</f>
        <v/>
      </c>
      <c r="O22" t="str">
        <f>VLOOKUP($D22,kong_np_var!$B$10:$D$16,3,FALSE)</f>
        <v>172.24.150.39</v>
      </c>
      <c r="P22" t="str">
        <f>CONCATENATE("/",C22,MID(D22,2,15),"/",svc!$I21)</f>
        <v>/dmz904/vssd_middleware</v>
      </c>
      <c r="Q22" t="str">
        <f>VLOOKUP(C22,kong_np_var!$B$6:$C$7,2,FALSE)</f>
        <v>http://172.24.149.80:8001</v>
      </c>
      <c r="R22" t="str">
        <f>SUBSTITUTE(SUBSTITUTE(kong_np_var!$J$1,"&lt;upstream_name&gt;",$F22),"&lt;kong_api_url&gt;",$Q22)</f>
        <v>curl -X PUT http://172.24.149.80:8001/upstreams/ups-v904-vssd_middleware</v>
      </c>
      <c r="S22" t="str">
        <f>SUBSTITUTE(SUBSTITUTE(SUBSTITUTE(SUBSTITUTE(kong_np_var!$J$2,"&lt;kong_api_url&gt;",$Q22),"&lt;upstream_name&gt;",$F22),"&lt;port&gt;",$E22),"&lt;service_name&gt;",$G22)</f>
        <v>curl -X PUT http://172.24.149.80:8001/services/svc-v904-vssd_middleware -H "Content-Type: application/json" -d '{"protocol":"http","host":"ups-v904-vssd_middleware","port":31404}'</v>
      </c>
      <c r="T22" t="str">
        <f>SUBSTITUTE(SUBSTITUTE(SUBSTITUTE(SUBSTITUTE(SUBSTITUTE(kong_np_var!$J$3,"&lt;kong_api_url&gt;",$Q22),"&lt;route_name&gt;",$H22),"&lt;service_name&gt;",$G22),"&lt;host&gt;",$O22),"&lt;path&gt;",$P22)</f>
        <v>curl -X PUT http://172.24.149.80:8001/services/svc-v904-vssd_middleware/routes/route-v910-v904-vssd_middleware -H "Content-Type: application/json" -d '{"protocols":["http"],"hosts":["172.24.150.39"],"paths":["/dmz904/vssd_middleware"]}'</v>
      </c>
      <c r="U22" t="str">
        <f t="shared" si="1"/>
        <v>curl -X POST http://172.24.149.80:8001/upstreams/ups-v904-vssd_middleware/targets -d 'target=172.24.149.102:31404'</v>
      </c>
      <c r="V22" t="str">
        <f t="shared" si="2"/>
        <v>curl -X POST http://172.24.149.80:8001/upstreams/ups-v904-vssd_middleware/targets -d 'target=172.24.149.103:31404'</v>
      </c>
      <c r="W22" t="str">
        <f t="shared" si="3"/>
        <v>curl -X POST http://172.24.149.80:8001/upstreams/ups-v904-vssd_middleware/targets -d 'target=172.24.149.104:31404'</v>
      </c>
      <c r="X22" t="str">
        <f t="shared" si="4"/>
        <v/>
      </c>
      <c r="Y22" t="str">
        <f t="shared" si="5"/>
        <v/>
      </c>
      <c r="Z22" t="str">
        <f t="shared" si="6"/>
        <v/>
      </c>
    </row>
    <row r="23" spans="1:26">
      <c r="A23">
        <f>IF(ISNUMBER(SEARCH("rest_api",svc!R22)),1,0)</f>
        <v>1</v>
      </c>
      <c r="C23" t="str">
        <f>svc!D22</f>
        <v>trust</v>
      </c>
      <c r="D23" t="str">
        <f>svc!$B22</f>
        <v>v510</v>
      </c>
      <c r="E23">
        <f>svc!G22</f>
        <v>31009</v>
      </c>
      <c r="F23" t="str">
        <f>CONCATENATE("ups-",svc!$B22,"-",svc!I22)</f>
        <v>ups-v510-accmgt_api</v>
      </c>
      <c r="G23" t="str">
        <f>CONCATENATE("svc-",svc!$B22,"-",svc!I22)</f>
        <v>svc-v510-accmgt_api</v>
      </c>
      <c r="H23" t="str">
        <f>CONCATENATE("route-",VLOOKUP($D23,kong_np_var!$B$10:$D$16,2,FALSE),"-",svc!$B22,"-",svc!I22)</f>
        <v>route-v504-v510-accmgt_api</v>
      </c>
      <c r="I23" t="str">
        <f>CONCATENATE(VLOOKUP($D23,kong_np_var!$B$20:$H$26,SUBSTITUTE(I$1,"target_","") + 1,FALSE),":",$E23)</f>
        <v>172.24.148.131:31009</v>
      </c>
      <c r="J23" t="str">
        <f>CONCATENATE(VLOOKUP($D23,kong_np_var!$B$20:$H$26,SUBSTITUTE(J$1,"target_","") + 1,FALSE),":",$E23)</f>
        <v>172.24.148.132:31009</v>
      </c>
      <c r="K23" t="str">
        <f>CONCATENATE(VLOOKUP($D23,kong_np_var!$B$20:$H$26,SUBSTITUTE(K$1,"target_","") + 1,FALSE),":",$E23)</f>
        <v>172.24.148.133:31009</v>
      </c>
      <c r="L23" t="str">
        <f>IF($C23="dmz","",CONCATENATE(VLOOKUP($D23,kong_np_var!$B$20:$H$26,SUBSTITUTE(L$1,"target_","") + 1,FALSE),":",$E23))</f>
        <v>172.24.148.134:31009</v>
      </c>
      <c r="M23" t="str">
        <f>IF($C23="dmz","",CONCATENATE(VLOOKUP($D23,kong_np_var!$B$20:$H$26,SUBSTITUTE(M$1,"target_","") + 1,FALSE),":",$E23))</f>
        <v>172.24.148.135:31009</v>
      </c>
      <c r="N23" t="str">
        <f>IF($C23="dmz","",CONCATENATE(VLOOKUP($D23,kong_np_var!$B$20:$H$26,SUBSTITUTE(N$1,"target_","") + 1,FALSE),":",$E23))</f>
        <v>172.24.148.136:31009</v>
      </c>
      <c r="O23" t="str">
        <f>VLOOKUP($D23,kong_np_var!$B$10:$D$16,3,FALSE)</f>
        <v>172.24.149.183</v>
      </c>
      <c r="P23" t="str">
        <f>CONCATENATE("/",C23,MID(D23,2,15),"/",svc!$I22)</f>
        <v>/trust510/accmgt_api</v>
      </c>
      <c r="Q23" t="str">
        <f>VLOOKUP(C23,kong_np_var!$B$6:$C$7,2,FALSE)</f>
        <v>http://172.24.148.160:8001</v>
      </c>
      <c r="R23" t="str">
        <f>SUBSTITUTE(SUBSTITUTE(kong_np_var!$J$1,"&lt;upstream_name&gt;",$F23),"&lt;kong_api_url&gt;",$Q23)</f>
        <v>curl -X PUT http://172.24.148.160:8001/upstreams/ups-v510-accmgt_api</v>
      </c>
      <c r="S23" t="str">
        <f>SUBSTITUTE(SUBSTITUTE(SUBSTITUTE(SUBSTITUTE(kong_np_var!$J$2,"&lt;kong_api_url&gt;",$Q23),"&lt;upstream_name&gt;",$F23),"&lt;port&gt;",$E23),"&lt;service_name&gt;",$G23)</f>
        <v>curl -X PUT http://172.24.148.160:8001/services/svc-v510-accmgt_api -H "Content-Type: application/json" -d '{"protocol":"http","host":"ups-v510-accmgt_api","port":31009}'</v>
      </c>
      <c r="T23" t="str">
        <f>SUBSTITUTE(SUBSTITUTE(SUBSTITUTE(SUBSTITUTE(SUBSTITUTE(kong_np_var!$J$3,"&lt;kong_api_url&gt;",$Q23),"&lt;route_name&gt;",$H23),"&lt;service_name&gt;",$G23),"&lt;host&gt;",$O23),"&lt;path&gt;",$P23)</f>
        <v>curl -X PUT http://172.24.148.160:8001/services/svc-v510-accmgt_api/routes/route-v504-v510-accmgt_api -H "Content-Type: application/json" -d '{"protocols":["http"],"hosts":["172.24.149.183"],"paths":["/trust510/accmgt_api"]}'</v>
      </c>
      <c r="U23" t="str">
        <f t="shared" si="1"/>
        <v>curl -X POST http://172.24.148.160:8001/upstreams/ups-v510-accmgt_api/targets -d 'target=172.24.148.131:31009'</v>
      </c>
      <c r="V23" t="str">
        <f t="shared" si="2"/>
        <v>curl -X POST http://172.24.148.160:8001/upstreams/ups-v510-accmgt_api/targets -d 'target=172.24.148.132:31009'</v>
      </c>
      <c r="W23" t="str">
        <f t="shared" si="3"/>
        <v>curl -X POST http://172.24.148.160:8001/upstreams/ups-v510-accmgt_api/targets -d 'target=172.24.148.133:31009'</v>
      </c>
      <c r="X23" t="str">
        <f t="shared" si="4"/>
        <v>curl -X POST http://172.24.148.160:8001/upstreams/ups-v510-accmgt_api/targets -d 'target=172.24.148.134:31009'</v>
      </c>
      <c r="Y23" t="str">
        <f t="shared" si="5"/>
        <v>curl -X POST http://172.24.148.160:8001/upstreams/ups-v510-accmgt_api/targets -d 'target=172.24.148.135:31009'</v>
      </c>
      <c r="Z23" t="str">
        <f t="shared" si="6"/>
        <v>curl -X POST http://172.24.148.160:8001/upstreams/ups-v510-accmgt_api/targets -d 'target=172.24.148.136:31009'</v>
      </c>
    </row>
    <row r="24" spans="1:26">
      <c r="A24">
        <f>IF(ISNUMBER(SEARCH("rest_api",svc!R23)),1,0)</f>
        <v>1</v>
      </c>
      <c r="C24" t="str">
        <f>svc!D23</f>
        <v>trust</v>
      </c>
      <c r="D24" t="str">
        <f>svc!$B23</f>
        <v>v510</v>
      </c>
      <c r="E24">
        <f>svc!G23</f>
        <v>31000</v>
      </c>
      <c r="F24" t="str">
        <f>CONCATENATE("ups-",svc!$B23,"-",svc!I23)</f>
        <v>ups-v510-auth_api</v>
      </c>
      <c r="G24" t="str">
        <f>CONCATENATE("svc-",svc!$B23,"-",svc!I23)</f>
        <v>svc-v510-auth_api</v>
      </c>
      <c r="H24" t="str">
        <f>CONCATENATE("route-",VLOOKUP($D24,kong_np_var!$B$10:$D$16,2,FALSE),"-",svc!$B23,"-",svc!I23)</f>
        <v>route-v504-v510-auth_api</v>
      </c>
      <c r="I24" t="str">
        <f>CONCATENATE(VLOOKUP($D24,kong_np_var!$B$20:$H$26,SUBSTITUTE(I$1,"target_","") + 1,FALSE),":",$E24)</f>
        <v>172.24.148.131:31000</v>
      </c>
      <c r="J24" t="str">
        <f>CONCATENATE(VLOOKUP($D24,kong_np_var!$B$20:$H$26,SUBSTITUTE(J$1,"target_","") + 1,FALSE),":",$E24)</f>
        <v>172.24.148.132:31000</v>
      </c>
      <c r="K24" t="str">
        <f>CONCATENATE(VLOOKUP($D24,kong_np_var!$B$20:$H$26,SUBSTITUTE(K$1,"target_","") + 1,FALSE),":",$E24)</f>
        <v>172.24.148.133:31000</v>
      </c>
      <c r="L24" t="str">
        <f>IF($C24="dmz","",CONCATENATE(VLOOKUP($D24,kong_np_var!$B$20:$H$26,SUBSTITUTE(L$1,"target_","") + 1,FALSE),":",$E24))</f>
        <v>172.24.148.134:31000</v>
      </c>
      <c r="M24" t="str">
        <f>IF($C24="dmz","",CONCATENATE(VLOOKUP($D24,kong_np_var!$B$20:$H$26,SUBSTITUTE(M$1,"target_","") + 1,FALSE),":",$E24))</f>
        <v>172.24.148.135:31000</v>
      </c>
      <c r="N24" t="str">
        <f>IF($C24="dmz","",CONCATENATE(VLOOKUP($D24,kong_np_var!$B$20:$H$26,SUBSTITUTE(N$1,"target_","") + 1,FALSE),":",$E24))</f>
        <v>172.24.148.136:31000</v>
      </c>
      <c r="O24" t="str">
        <f>VLOOKUP($D24,kong_np_var!$B$10:$D$16,3,FALSE)</f>
        <v>172.24.149.183</v>
      </c>
      <c r="P24" t="str">
        <f>CONCATENATE("/",C24,MID(D24,2,15),"/",svc!$I23)</f>
        <v>/trust510/auth_api</v>
      </c>
      <c r="Q24" t="str">
        <f>VLOOKUP(C24,kong_np_var!$B$6:$C$7,2,FALSE)</f>
        <v>http://172.24.148.160:8001</v>
      </c>
      <c r="R24" t="str">
        <f>SUBSTITUTE(SUBSTITUTE(kong_np_var!$J$1,"&lt;upstream_name&gt;",$F24),"&lt;kong_api_url&gt;",$Q24)</f>
        <v>curl -X PUT http://172.24.148.160:8001/upstreams/ups-v510-auth_api</v>
      </c>
      <c r="S24" t="str">
        <f>SUBSTITUTE(SUBSTITUTE(SUBSTITUTE(SUBSTITUTE(kong_np_var!$J$2,"&lt;kong_api_url&gt;",$Q24),"&lt;upstream_name&gt;",$F24),"&lt;port&gt;",$E24),"&lt;service_name&gt;",$G24)</f>
        <v>curl -X PUT http://172.24.148.160:8001/services/svc-v510-auth_api -H "Content-Type: application/json" -d '{"protocol":"http","host":"ups-v510-auth_api","port":31000}'</v>
      </c>
      <c r="T24" t="str">
        <f>SUBSTITUTE(SUBSTITUTE(SUBSTITUTE(SUBSTITUTE(SUBSTITUTE(kong_np_var!$J$3,"&lt;kong_api_url&gt;",$Q24),"&lt;route_name&gt;",$H24),"&lt;service_name&gt;",$G24),"&lt;host&gt;",$O24),"&lt;path&gt;",$P24)</f>
        <v>curl -X PUT http://172.24.148.160:8001/services/svc-v510-auth_api/routes/route-v504-v510-auth_api -H "Content-Type: application/json" -d '{"protocols":["http"],"hosts":["172.24.149.183"],"paths":["/trust510/auth_api"]}'</v>
      </c>
      <c r="U24" t="str">
        <f t="shared" si="1"/>
        <v>curl -X POST http://172.24.148.160:8001/upstreams/ups-v510-auth_api/targets -d 'target=172.24.148.131:31000'</v>
      </c>
      <c r="V24" t="str">
        <f t="shared" si="2"/>
        <v>curl -X POST http://172.24.148.160:8001/upstreams/ups-v510-auth_api/targets -d 'target=172.24.148.132:31000'</v>
      </c>
      <c r="W24" t="str">
        <f t="shared" si="3"/>
        <v>curl -X POST http://172.24.148.160:8001/upstreams/ups-v510-auth_api/targets -d 'target=172.24.148.133:31000'</v>
      </c>
      <c r="X24" t="str">
        <f t="shared" si="4"/>
        <v>curl -X POST http://172.24.148.160:8001/upstreams/ups-v510-auth_api/targets -d 'target=172.24.148.134:31000'</v>
      </c>
      <c r="Y24" t="str">
        <f t="shared" si="5"/>
        <v>curl -X POST http://172.24.148.160:8001/upstreams/ups-v510-auth_api/targets -d 'target=172.24.148.135:31000'</v>
      </c>
      <c r="Z24" t="str">
        <f t="shared" si="6"/>
        <v>curl -X POST http://172.24.148.160:8001/upstreams/ups-v510-auth_api/targets -d 'target=172.24.148.136:31000'</v>
      </c>
    </row>
    <row r="25" spans="1:26">
      <c r="A25">
        <f>IF(ISNUMBER(SEARCH("rest_api",svc!R24)),1,0)</f>
        <v>1</v>
      </c>
      <c r="C25" t="str">
        <f>svc!D24</f>
        <v>trust</v>
      </c>
      <c r="D25" t="str">
        <f>svc!$B24</f>
        <v>v510</v>
      </c>
      <c r="E25">
        <f>svc!G24</f>
        <v>31201</v>
      </c>
      <c r="F25" t="str">
        <f>CONCATENATE("ups-",svc!$B24,"-",svc!I24)</f>
        <v>ups-v510-bes_acc_im001_fft_account_registration</v>
      </c>
      <c r="G25" t="str">
        <f>CONCATENATE("svc-",svc!$B24,"-",svc!I24)</f>
        <v>svc-v510-bes_acc_im001_fft_account_registration</v>
      </c>
      <c r="H25" t="str">
        <f>CONCATENATE("route-",VLOOKUP($D25,kong_np_var!$B$10:$D$16,2,FALSE),"-",svc!$B24,"-",svc!I24)</f>
        <v>route-v504-v510-bes_acc_im001_fft_account_registration</v>
      </c>
      <c r="I25" t="str">
        <f>CONCATENATE(VLOOKUP($D25,kong_np_var!$B$20:$H$26,SUBSTITUTE(I$1,"target_","") + 1,FALSE),":",$E25)</f>
        <v>172.24.148.131:31201</v>
      </c>
      <c r="J25" t="str">
        <f>CONCATENATE(VLOOKUP($D25,kong_np_var!$B$20:$H$26,SUBSTITUTE(J$1,"target_","") + 1,FALSE),":",$E25)</f>
        <v>172.24.148.132:31201</v>
      </c>
      <c r="K25" t="str">
        <f>CONCATENATE(VLOOKUP($D25,kong_np_var!$B$20:$H$26,SUBSTITUTE(K$1,"target_","") + 1,FALSE),":",$E25)</f>
        <v>172.24.148.133:31201</v>
      </c>
      <c r="L25" t="str">
        <f>IF($C25="dmz","",CONCATENATE(VLOOKUP($D25,kong_np_var!$B$20:$H$26,SUBSTITUTE(L$1,"target_","") + 1,FALSE),":",$E25))</f>
        <v>172.24.148.134:31201</v>
      </c>
      <c r="M25" t="str">
        <f>IF($C25="dmz","",CONCATENATE(VLOOKUP($D25,kong_np_var!$B$20:$H$26,SUBSTITUTE(M$1,"target_","") + 1,FALSE),":",$E25))</f>
        <v>172.24.148.135:31201</v>
      </c>
      <c r="N25" t="str">
        <f>IF($C25="dmz","",CONCATENATE(VLOOKUP($D25,kong_np_var!$B$20:$H$26,SUBSTITUTE(N$1,"target_","") + 1,FALSE),":",$E25))</f>
        <v>172.24.148.136:31201</v>
      </c>
      <c r="O25" t="str">
        <f>VLOOKUP($D25,kong_np_var!$B$10:$D$16,3,FALSE)</f>
        <v>172.24.149.183</v>
      </c>
      <c r="P25" t="str">
        <f>CONCATENATE("/",C25,MID(D25,2,15),"/",svc!$I24)</f>
        <v>/trust510/bes_acc_im001_fft_account_registration</v>
      </c>
      <c r="Q25" t="str">
        <f>VLOOKUP(C25,kong_np_var!$B$6:$C$7,2,FALSE)</f>
        <v>http://172.24.148.160:8001</v>
      </c>
      <c r="R25" t="str">
        <f>SUBSTITUTE(SUBSTITUTE(kong_np_var!$J$1,"&lt;upstream_name&gt;",$F25),"&lt;kong_api_url&gt;",$Q25)</f>
        <v>curl -X PUT http://172.24.148.160:8001/upstreams/ups-v510-bes_acc_im001_fft_account_registration</v>
      </c>
      <c r="S25" t="str">
        <f>SUBSTITUTE(SUBSTITUTE(SUBSTITUTE(SUBSTITUTE(kong_np_var!$J$2,"&lt;kong_api_url&gt;",$Q25),"&lt;upstream_name&gt;",$F25),"&lt;port&gt;",$E25),"&lt;service_name&gt;",$G25)</f>
        <v>curl -X PUT http://172.24.148.160:8001/services/svc-v510-bes_acc_im001_fft_account_registration -H "Content-Type: application/json" -d '{"protocol":"http","host":"ups-v510-bes_acc_im001_fft_account_registration","port":31201}'</v>
      </c>
      <c r="T25" t="str">
        <f>SUBSTITUTE(SUBSTITUTE(SUBSTITUTE(SUBSTITUTE(SUBSTITUTE(kong_np_var!$J$3,"&lt;kong_api_url&gt;",$Q25),"&lt;route_name&gt;",$H25),"&lt;service_name&gt;",$G25),"&lt;host&gt;",$O25),"&lt;path&gt;",$P25)</f>
        <v>curl -X PUT http://172.24.148.160:8001/services/svc-v510-bes_acc_im001_fft_account_registration/routes/route-v504-v510-bes_acc_im001_fft_account_registration -H "Content-Type: application/json" -d '{"protocols":["http"],"hosts":["172.24.149.183"],"paths":["/trust510/bes_acc_im001_fft_account_registration"]}'</v>
      </c>
      <c r="U25" t="str">
        <f t="shared" si="1"/>
        <v>curl -X POST http://172.24.148.160:8001/upstreams/ups-v510-bes_acc_im001_fft_account_registration/targets -d 'target=172.24.148.131:31201'</v>
      </c>
      <c r="V25" t="str">
        <f t="shared" si="2"/>
        <v>curl -X POST http://172.24.148.160:8001/upstreams/ups-v510-bes_acc_im001_fft_account_registration/targets -d 'target=172.24.148.132:31201'</v>
      </c>
      <c r="W25" t="str">
        <f t="shared" si="3"/>
        <v>curl -X POST http://172.24.148.160:8001/upstreams/ups-v510-bes_acc_im001_fft_account_registration/targets -d 'target=172.24.148.133:31201'</v>
      </c>
      <c r="X25" t="str">
        <f t="shared" si="4"/>
        <v>curl -X POST http://172.24.148.160:8001/upstreams/ups-v510-bes_acc_im001_fft_account_registration/targets -d 'target=172.24.148.134:31201'</v>
      </c>
      <c r="Y25" t="str">
        <f t="shared" si="5"/>
        <v>curl -X POST http://172.24.148.160:8001/upstreams/ups-v510-bes_acc_im001_fft_account_registration/targets -d 'target=172.24.148.135:31201'</v>
      </c>
      <c r="Z25" t="str">
        <f t="shared" si="6"/>
        <v>curl -X POST http://172.24.148.160:8001/upstreams/ups-v510-bes_acc_im001_fft_account_registration/targets -d 'target=172.24.148.136:31201'</v>
      </c>
    </row>
    <row r="26" spans="1:26">
      <c r="A26">
        <f>IF(ISNUMBER(SEARCH("rest_api",svc!R25)),1,0)</f>
        <v>1</v>
      </c>
      <c r="C26" t="str">
        <f>svc!D25</f>
        <v>trust</v>
      </c>
      <c r="D26" t="str">
        <f>svc!$B25</f>
        <v>v810</v>
      </c>
      <c r="E26">
        <f>svc!G25</f>
        <v>31201</v>
      </c>
      <c r="F26" t="str">
        <f>CONCATENATE("ups-",svc!$B25,"-",svc!I25)</f>
        <v>ups-v810-bes_acc_im001_fft_account_registration</v>
      </c>
      <c r="G26" t="str">
        <f>CONCATENATE("svc-",svc!$B25,"-",svc!I25)</f>
        <v>svc-v810-bes_acc_im001_fft_account_registration</v>
      </c>
      <c r="H26" t="str">
        <f>CONCATENATE("route-",VLOOKUP($D26,kong_np_var!$B$10:$D$16,2,FALSE),"-",svc!$B25,"-",svc!I25)</f>
        <v>route-v804-v810-bes_acc_im001_fft_account_registration</v>
      </c>
      <c r="I26" t="str">
        <f>CONCATENATE(VLOOKUP($D26,kong_np_var!$B$20:$H$26,SUBSTITUTE(I$1,"target_","") + 1,FALSE),":",$E26)</f>
        <v>172.24.148.195:31201</v>
      </c>
      <c r="J26" t="str">
        <f>CONCATENATE(VLOOKUP($D26,kong_np_var!$B$20:$H$26,SUBSTITUTE(J$1,"target_","") + 1,FALSE),":",$E26)</f>
        <v>172.24.148.196:31201</v>
      </c>
      <c r="K26" t="str">
        <f>CONCATENATE(VLOOKUP($D26,kong_np_var!$B$20:$H$26,SUBSTITUTE(K$1,"target_","") + 1,FALSE),":",$E26)</f>
        <v>172.24.148.197:31201</v>
      </c>
      <c r="L26" t="str">
        <f>IF($C26="dmz","",CONCATENATE(VLOOKUP($D26,kong_np_var!$B$20:$H$26,SUBSTITUTE(L$1,"target_","") + 1,FALSE),":",$E26))</f>
        <v>172.24.148.198:31201</v>
      </c>
      <c r="M26" t="str">
        <f>IF($C26="dmz","",CONCATENATE(VLOOKUP($D26,kong_np_var!$B$20:$H$26,SUBSTITUTE(M$1,"target_","") + 1,FALSE),":",$E26))</f>
        <v>172.24.148.199:31201</v>
      </c>
      <c r="N26" t="str">
        <f>IF($C26="dmz","",CONCATENATE(VLOOKUP($D26,kong_np_var!$B$20:$H$26,SUBSTITUTE(N$1,"target_","") + 1,FALSE),":",$E26))</f>
        <v>172.24.148.200:31201</v>
      </c>
      <c r="O26" t="str">
        <f>VLOOKUP($D26,kong_np_var!$B$10:$D$16,3,FALSE)</f>
        <v>172.24.149.151</v>
      </c>
      <c r="P26" t="str">
        <f>CONCATENATE("/",C26,MID(D26,2,15),"/",svc!$I25)</f>
        <v>/trust810/bes_acc_im001_fft_account_registration</v>
      </c>
      <c r="Q26" t="str">
        <f>VLOOKUP(C26,kong_np_var!$B$6:$C$7,2,FALSE)</f>
        <v>http://172.24.148.160:8001</v>
      </c>
      <c r="R26" t="str">
        <f>SUBSTITUTE(SUBSTITUTE(kong_np_var!$J$1,"&lt;upstream_name&gt;",$F26),"&lt;kong_api_url&gt;",$Q26)</f>
        <v>curl -X PUT http://172.24.148.160:8001/upstreams/ups-v810-bes_acc_im001_fft_account_registration</v>
      </c>
      <c r="S26" t="str">
        <f>SUBSTITUTE(SUBSTITUTE(SUBSTITUTE(SUBSTITUTE(kong_np_var!$J$2,"&lt;kong_api_url&gt;",$Q26),"&lt;upstream_name&gt;",$F26),"&lt;port&gt;",$E26),"&lt;service_name&gt;",$G26)</f>
        <v>curl -X PUT http://172.24.148.160:8001/services/svc-v810-bes_acc_im001_fft_account_registration -H "Content-Type: application/json" -d '{"protocol":"http","host":"ups-v810-bes_acc_im001_fft_account_registration","port":31201}'</v>
      </c>
      <c r="T26" t="str">
        <f>SUBSTITUTE(SUBSTITUTE(SUBSTITUTE(SUBSTITUTE(SUBSTITUTE(kong_np_var!$J$3,"&lt;kong_api_url&gt;",$Q26),"&lt;route_name&gt;",$H26),"&lt;service_name&gt;",$G26),"&lt;host&gt;",$O26),"&lt;path&gt;",$P26)</f>
        <v>curl -X PUT http://172.24.148.160:8001/services/svc-v810-bes_acc_im001_fft_account_registration/routes/route-v804-v810-bes_acc_im001_fft_account_registration -H "Content-Type: application/json" -d '{"protocols":["http"],"hosts":["172.24.149.151"],"paths":["/trust810/bes_acc_im001_fft_account_registration"]}'</v>
      </c>
      <c r="U26" t="str">
        <f t="shared" si="1"/>
        <v>curl -X POST http://172.24.148.160:8001/upstreams/ups-v810-bes_acc_im001_fft_account_registration/targets -d 'target=172.24.148.195:31201'</v>
      </c>
      <c r="V26" t="str">
        <f t="shared" si="2"/>
        <v>curl -X POST http://172.24.148.160:8001/upstreams/ups-v810-bes_acc_im001_fft_account_registration/targets -d 'target=172.24.148.196:31201'</v>
      </c>
      <c r="W26" t="str">
        <f t="shared" si="3"/>
        <v>curl -X POST http://172.24.148.160:8001/upstreams/ups-v810-bes_acc_im001_fft_account_registration/targets -d 'target=172.24.148.197:31201'</v>
      </c>
      <c r="X26" t="str">
        <f t="shared" si="4"/>
        <v>curl -X POST http://172.24.148.160:8001/upstreams/ups-v810-bes_acc_im001_fft_account_registration/targets -d 'target=172.24.148.198:31201'</v>
      </c>
      <c r="Y26" t="str">
        <f t="shared" si="5"/>
        <v>curl -X POST http://172.24.148.160:8001/upstreams/ups-v810-bes_acc_im001_fft_account_registration/targets -d 'target=172.24.148.199:31201'</v>
      </c>
      <c r="Z26" t="str">
        <f t="shared" si="6"/>
        <v>curl -X POST http://172.24.148.160:8001/upstreams/ups-v810-bes_acc_im001_fft_account_registration/targets -d 'target=172.24.148.200:31201'</v>
      </c>
    </row>
    <row r="27" spans="1:26">
      <c r="A27">
        <f>IF(ISNUMBER(SEARCH("rest_api",svc!R26)),1,0)</f>
        <v>1</v>
      </c>
      <c r="C27" t="str">
        <f>svc!D26</f>
        <v>trust</v>
      </c>
      <c r="D27" t="str">
        <f>svc!$B26</f>
        <v>v510</v>
      </c>
      <c r="E27">
        <f>svc!G26</f>
        <v>31202</v>
      </c>
      <c r="F27" t="str">
        <f>CONCATENATE("ups-",svc!$B26,"-",svc!I26)</f>
        <v>ups-v510-bes_acc_im002_fft_vehicle_management</v>
      </c>
      <c r="G27" t="str">
        <f>CONCATENATE("svc-",svc!$B26,"-",svc!I26)</f>
        <v>svc-v510-bes_acc_im002_fft_vehicle_management</v>
      </c>
      <c r="H27" t="str">
        <f>CONCATENATE("route-",VLOOKUP($D27,kong_np_var!$B$10:$D$16,2,FALSE),"-",svc!$B26,"-",svc!I26)</f>
        <v>route-v504-v510-bes_acc_im002_fft_vehicle_management</v>
      </c>
      <c r="I27" t="str">
        <f>CONCATENATE(VLOOKUP($D27,kong_np_var!$B$20:$H$26,SUBSTITUTE(I$1,"target_","") + 1,FALSE),":",$E27)</f>
        <v>172.24.148.131:31202</v>
      </c>
      <c r="J27" t="str">
        <f>CONCATENATE(VLOOKUP($D27,kong_np_var!$B$20:$H$26,SUBSTITUTE(J$1,"target_","") + 1,FALSE),":",$E27)</f>
        <v>172.24.148.132:31202</v>
      </c>
      <c r="K27" t="str">
        <f>CONCATENATE(VLOOKUP($D27,kong_np_var!$B$20:$H$26,SUBSTITUTE(K$1,"target_","") + 1,FALSE),":",$E27)</f>
        <v>172.24.148.133:31202</v>
      </c>
      <c r="L27" t="str">
        <f>IF($C27="dmz","",CONCATENATE(VLOOKUP($D27,kong_np_var!$B$20:$H$26,SUBSTITUTE(L$1,"target_","") + 1,FALSE),":",$E27))</f>
        <v>172.24.148.134:31202</v>
      </c>
      <c r="M27" t="str">
        <f>IF($C27="dmz","",CONCATENATE(VLOOKUP($D27,kong_np_var!$B$20:$H$26,SUBSTITUTE(M$1,"target_","") + 1,FALSE),":",$E27))</f>
        <v>172.24.148.135:31202</v>
      </c>
      <c r="N27" t="str">
        <f>IF($C27="dmz","",CONCATENATE(VLOOKUP($D27,kong_np_var!$B$20:$H$26,SUBSTITUTE(N$1,"target_","") + 1,FALSE),":",$E27))</f>
        <v>172.24.148.136:31202</v>
      </c>
      <c r="O27" t="str">
        <f>VLOOKUP($D27,kong_np_var!$B$10:$D$16,3,FALSE)</f>
        <v>172.24.149.183</v>
      </c>
      <c r="P27" t="str">
        <f>CONCATENATE("/",C27,MID(D27,2,15),"/",svc!$I26)</f>
        <v>/trust510/bes_acc_im002_fft_vehicle_management</v>
      </c>
      <c r="Q27" t="str">
        <f>VLOOKUP(C27,kong_np_var!$B$6:$C$7,2,FALSE)</f>
        <v>http://172.24.148.160:8001</v>
      </c>
      <c r="R27" t="str">
        <f>SUBSTITUTE(SUBSTITUTE(kong_np_var!$J$1,"&lt;upstream_name&gt;",$F27),"&lt;kong_api_url&gt;",$Q27)</f>
        <v>curl -X PUT http://172.24.148.160:8001/upstreams/ups-v510-bes_acc_im002_fft_vehicle_management</v>
      </c>
      <c r="S27" t="str">
        <f>SUBSTITUTE(SUBSTITUTE(SUBSTITUTE(SUBSTITUTE(kong_np_var!$J$2,"&lt;kong_api_url&gt;",$Q27),"&lt;upstream_name&gt;",$F27),"&lt;port&gt;",$E27),"&lt;service_name&gt;",$G27)</f>
        <v>curl -X PUT http://172.24.148.160:8001/services/svc-v510-bes_acc_im002_fft_vehicle_management -H "Content-Type: application/json" -d '{"protocol":"http","host":"ups-v510-bes_acc_im002_fft_vehicle_management","port":31202}'</v>
      </c>
      <c r="T27" t="str">
        <f>SUBSTITUTE(SUBSTITUTE(SUBSTITUTE(SUBSTITUTE(SUBSTITUTE(kong_np_var!$J$3,"&lt;kong_api_url&gt;",$Q27),"&lt;route_name&gt;",$H27),"&lt;service_name&gt;",$G27),"&lt;host&gt;",$O27),"&lt;path&gt;",$P27)</f>
        <v>curl -X PUT http://172.24.148.160:8001/services/svc-v510-bes_acc_im002_fft_vehicle_management/routes/route-v504-v510-bes_acc_im002_fft_vehicle_management -H "Content-Type: application/json" -d '{"protocols":["http"],"hosts":["172.24.149.183"],"paths":["/trust510/bes_acc_im002_fft_vehicle_management"]}'</v>
      </c>
      <c r="U27" t="str">
        <f t="shared" si="1"/>
        <v>curl -X POST http://172.24.148.160:8001/upstreams/ups-v510-bes_acc_im002_fft_vehicle_management/targets -d 'target=172.24.148.131:31202'</v>
      </c>
      <c r="V27" t="str">
        <f t="shared" si="2"/>
        <v>curl -X POST http://172.24.148.160:8001/upstreams/ups-v510-bes_acc_im002_fft_vehicle_management/targets -d 'target=172.24.148.132:31202'</v>
      </c>
      <c r="W27" t="str">
        <f t="shared" si="3"/>
        <v>curl -X POST http://172.24.148.160:8001/upstreams/ups-v510-bes_acc_im002_fft_vehicle_management/targets -d 'target=172.24.148.133:31202'</v>
      </c>
      <c r="X27" t="str">
        <f t="shared" si="4"/>
        <v>curl -X POST http://172.24.148.160:8001/upstreams/ups-v510-bes_acc_im002_fft_vehicle_management/targets -d 'target=172.24.148.134:31202'</v>
      </c>
      <c r="Y27" t="str">
        <f t="shared" si="5"/>
        <v>curl -X POST http://172.24.148.160:8001/upstreams/ups-v510-bes_acc_im002_fft_vehicle_management/targets -d 'target=172.24.148.135:31202'</v>
      </c>
      <c r="Z27" t="str">
        <f t="shared" si="6"/>
        <v>curl -X POST http://172.24.148.160:8001/upstreams/ups-v510-bes_acc_im002_fft_vehicle_management/targets -d 'target=172.24.148.136:31202'</v>
      </c>
    </row>
    <row r="28" spans="1:26">
      <c r="A28">
        <f>IF(ISNUMBER(SEARCH("rest_api",svc!R27)),1,0)</f>
        <v>1</v>
      </c>
      <c r="C28" t="str">
        <f>svc!D27</f>
        <v>trust</v>
      </c>
      <c r="D28" t="str">
        <f>svc!$B27</f>
        <v>v810</v>
      </c>
      <c r="E28">
        <f>svc!G27</f>
        <v>31202</v>
      </c>
      <c r="F28" t="str">
        <f>CONCATENATE("ups-",svc!$B27,"-",svc!I27)</f>
        <v>ups-v810-bes_acc_im002_fft_vehicle_management</v>
      </c>
      <c r="G28" t="str">
        <f>CONCATENATE("svc-",svc!$B27,"-",svc!I27)</f>
        <v>svc-v810-bes_acc_im002_fft_vehicle_management</v>
      </c>
      <c r="H28" t="str">
        <f>CONCATENATE("route-",VLOOKUP($D28,kong_np_var!$B$10:$D$16,2,FALSE),"-",svc!$B27,"-",svc!I27)</f>
        <v>route-v804-v810-bes_acc_im002_fft_vehicle_management</v>
      </c>
      <c r="I28" t="str">
        <f>CONCATENATE(VLOOKUP($D28,kong_np_var!$B$20:$H$26,SUBSTITUTE(I$1,"target_","") + 1,FALSE),":",$E28)</f>
        <v>172.24.148.195:31202</v>
      </c>
      <c r="J28" t="str">
        <f>CONCATENATE(VLOOKUP($D28,kong_np_var!$B$20:$H$26,SUBSTITUTE(J$1,"target_","") + 1,FALSE),":",$E28)</f>
        <v>172.24.148.196:31202</v>
      </c>
      <c r="K28" t="str">
        <f>CONCATENATE(VLOOKUP($D28,kong_np_var!$B$20:$H$26,SUBSTITUTE(K$1,"target_","") + 1,FALSE),":",$E28)</f>
        <v>172.24.148.197:31202</v>
      </c>
      <c r="L28" t="str">
        <f>IF($C28="dmz","",CONCATENATE(VLOOKUP($D28,kong_np_var!$B$20:$H$26,SUBSTITUTE(L$1,"target_","") + 1,FALSE),":",$E28))</f>
        <v>172.24.148.198:31202</v>
      </c>
      <c r="M28" t="str">
        <f>IF($C28="dmz","",CONCATENATE(VLOOKUP($D28,kong_np_var!$B$20:$H$26,SUBSTITUTE(M$1,"target_","") + 1,FALSE),":",$E28))</f>
        <v>172.24.148.199:31202</v>
      </c>
      <c r="N28" t="str">
        <f>IF($C28="dmz","",CONCATENATE(VLOOKUP($D28,kong_np_var!$B$20:$H$26,SUBSTITUTE(N$1,"target_","") + 1,FALSE),":",$E28))</f>
        <v>172.24.148.200:31202</v>
      </c>
      <c r="O28" t="str">
        <f>VLOOKUP($D28,kong_np_var!$B$10:$D$16,3,FALSE)</f>
        <v>172.24.149.151</v>
      </c>
      <c r="P28" t="str">
        <f>CONCATENATE("/",C28,MID(D28,2,15),"/",svc!$I27)</f>
        <v>/trust810/bes_acc_im002_fft_vehicle_management</v>
      </c>
      <c r="Q28" t="str">
        <f>VLOOKUP(C28,kong_np_var!$B$6:$C$7,2,FALSE)</f>
        <v>http://172.24.148.160:8001</v>
      </c>
      <c r="R28" t="str">
        <f>SUBSTITUTE(SUBSTITUTE(kong_np_var!$J$1,"&lt;upstream_name&gt;",$F28),"&lt;kong_api_url&gt;",$Q28)</f>
        <v>curl -X PUT http://172.24.148.160:8001/upstreams/ups-v810-bes_acc_im002_fft_vehicle_management</v>
      </c>
      <c r="S28" t="str">
        <f>SUBSTITUTE(SUBSTITUTE(SUBSTITUTE(SUBSTITUTE(kong_np_var!$J$2,"&lt;kong_api_url&gt;",$Q28),"&lt;upstream_name&gt;",$F28),"&lt;port&gt;",$E28),"&lt;service_name&gt;",$G28)</f>
        <v>curl -X PUT http://172.24.148.160:8001/services/svc-v810-bes_acc_im002_fft_vehicle_management -H "Content-Type: application/json" -d '{"protocol":"http","host":"ups-v810-bes_acc_im002_fft_vehicle_management","port":31202}'</v>
      </c>
      <c r="T28" t="str">
        <f>SUBSTITUTE(SUBSTITUTE(SUBSTITUTE(SUBSTITUTE(SUBSTITUTE(kong_np_var!$J$3,"&lt;kong_api_url&gt;",$Q28),"&lt;route_name&gt;",$H28),"&lt;service_name&gt;",$G28),"&lt;host&gt;",$O28),"&lt;path&gt;",$P28)</f>
        <v>curl -X PUT http://172.24.148.160:8001/services/svc-v810-bes_acc_im002_fft_vehicle_management/routes/route-v804-v810-bes_acc_im002_fft_vehicle_management -H "Content-Type: application/json" -d '{"protocols":["http"],"hosts":["172.24.149.151"],"paths":["/trust810/bes_acc_im002_fft_vehicle_management"]}'</v>
      </c>
      <c r="U28" t="str">
        <f t="shared" si="1"/>
        <v>curl -X POST http://172.24.148.160:8001/upstreams/ups-v810-bes_acc_im002_fft_vehicle_management/targets -d 'target=172.24.148.195:31202'</v>
      </c>
      <c r="V28" t="str">
        <f t="shared" si="2"/>
        <v>curl -X POST http://172.24.148.160:8001/upstreams/ups-v810-bes_acc_im002_fft_vehicle_management/targets -d 'target=172.24.148.196:31202'</v>
      </c>
      <c r="W28" t="str">
        <f t="shared" si="3"/>
        <v>curl -X POST http://172.24.148.160:8001/upstreams/ups-v810-bes_acc_im002_fft_vehicle_management/targets -d 'target=172.24.148.197:31202'</v>
      </c>
      <c r="X28" t="str">
        <f t="shared" si="4"/>
        <v>curl -X POST http://172.24.148.160:8001/upstreams/ups-v810-bes_acc_im002_fft_vehicle_management/targets -d 'target=172.24.148.198:31202'</v>
      </c>
      <c r="Y28" t="str">
        <f t="shared" si="5"/>
        <v>curl -X POST http://172.24.148.160:8001/upstreams/ups-v810-bes_acc_im002_fft_vehicle_management/targets -d 'target=172.24.148.199:31202'</v>
      </c>
      <c r="Z28" t="str">
        <f t="shared" si="6"/>
        <v>curl -X POST http://172.24.148.160:8001/upstreams/ups-v810-bes_acc_im002_fft_vehicle_management/targets -d 'target=172.24.148.200:31202'</v>
      </c>
    </row>
    <row r="29" spans="1:26">
      <c r="A29">
        <f>IF(ISNUMBER(SEARCH("rest_api",svc!R28)),1,0)</f>
        <v>1</v>
      </c>
      <c r="C29" t="str">
        <f>svc!D28</f>
        <v>trust</v>
      </c>
      <c r="D29" t="str">
        <f>svc!$B28</f>
        <v>v510</v>
      </c>
      <c r="E29">
        <f>svc!G28</f>
        <v>31203</v>
      </c>
      <c r="F29" t="str">
        <f>CONCATENATE("ups-",svc!$B28,"-",svc!I28)</f>
        <v>ups-v510-bes_acc_im003_fft_vehicle_group_management</v>
      </c>
      <c r="G29" t="str">
        <f>CONCATENATE("svc-",svc!$B28,"-",svc!I28)</f>
        <v>svc-v510-bes_acc_im003_fft_vehicle_group_management</v>
      </c>
      <c r="H29" t="str">
        <f>CONCATENATE("route-",VLOOKUP($D29,kong_np_var!$B$10:$D$16,2,FALSE),"-",svc!$B28,"-",svc!I28)</f>
        <v>route-v504-v510-bes_acc_im003_fft_vehicle_group_management</v>
      </c>
      <c r="I29" t="str">
        <f>CONCATENATE(VLOOKUP($D29,kong_np_var!$B$20:$H$26,SUBSTITUTE(I$1,"target_","") + 1,FALSE),":",$E29)</f>
        <v>172.24.148.131:31203</v>
      </c>
      <c r="J29" t="str">
        <f>CONCATENATE(VLOOKUP($D29,kong_np_var!$B$20:$H$26,SUBSTITUTE(J$1,"target_","") + 1,FALSE),":",$E29)</f>
        <v>172.24.148.132:31203</v>
      </c>
      <c r="K29" t="str">
        <f>CONCATENATE(VLOOKUP($D29,kong_np_var!$B$20:$H$26,SUBSTITUTE(K$1,"target_","") + 1,FALSE),":",$E29)</f>
        <v>172.24.148.133:31203</v>
      </c>
      <c r="L29" t="str">
        <f>IF($C29="dmz","",CONCATENATE(VLOOKUP($D29,kong_np_var!$B$20:$H$26,SUBSTITUTE(L$1,"target_","") + 1,FALSE),":",$E29))</f>
        <v>172.24.148.134:31203</v>
      </c>
      <c r="M29" t="str">
        <f>IF($C29="dmz","",CONCATENATE(VLOOKUP($D29,kong_np_var!$B$20:$H$26,SUBSTITUTE(M$1,"target_","") + 1,FALSE),":",$E29))</f>
        <v>172.24.148.135:31203</v>
      </c>
      <c r="N29" t="str">
        <f>IF($C29="dmz","",CONCATENATE(VLOOKUP($D29,kong_np_var!$B$20:$H$26,SUBSTITUTE(N$1,"target_","") + 1,FALSE),":",$E29))</f>
        <v>172.24.148.136:31203</v>
      </c>
      <c r="O29" t="str">
        <f>VLOOKUP($D29,kong_np_var!$B$10:$D$16,3,FALSE)</f>
        <v>172.24.149.183</v>
      </c>
      <c r="P29" t="str">
        <f>CONCATENATE("/",C29,MID(D29,2,15),"/",svc!$I28)</f>
        <v>/trust510/bes_acc_im003_fft_vehicle_group_management</v>
      </c>
      <c r="Q29" t="str">
        <f>VLOOKUP(C29,kong_np_var!$B$6:$C$7,2,FALSE)</f>
        <v>http://172.24.148.160:8001</v>
      </c>
      <c r="R29" t="str">
        <f>SUBSTITUTE(SUBSTITUTE(kong_np_var!$J$1,"&lt;upstream_name&gt;",$F29),"&lt;kong_api_url&gt;",$Q29)</f>
        <v>curl -X PUT http://172.24.148.160:8001/upstreams/ups-v510-bes_acc_im003_fft_vehicle_group_management</v>
      </c>
      <c r="S29" t="str">
        <f>SUBSTITUTE(SUBSTITUTE(SUBSTITUTE(SUBSTITUTE(kong_np_var!$J$2,"&lt;kong_api_url&gt;",$Q29),"&lt;upstream_name&gt;",$F29),"&lt;port&gt;",$E29),"&lt;service_name&gt;",$G29)</f>
        <v>curl -X PUT http://172.24.148.160:8001/services/svc-v510-bes_acc_im003_fft_vehicle_group_management -H "Content-Type: application/json" -d '{"protocol":"http","host":"ups-v510-bes_acc_im003_fft_vehicle_group_management","port":31203}'</v>
      </c>
      <c r="T29" t="str">
        <f>SUBSTITUTE(SUBSTITUTE(SUBSTITUTE(SUBSTITUTE(SUBSTITUTE(kong_np_var!$J$3,"&lt;kong_api_url&gt;",$Q29),"&lt;route_name&gt;",$H29),"&lt;service_name&gt;",$G29),"&lt;host&gt;",$O29),"&lt;path&gt;",$P29)</f>
        <v>curl -X PUT http://172.24.148.160:8001/services/svc-v510-bes_acc_im003_fft_vehicle_group_management/routes/route-v504-v510-bes_acc_im003_fft_vehicle_group_management -H "Content-Type: application/json" -d '{"protocols":["http"],"hosts":["172.24.149.183"],"paths":["/trust510/bes_acc_im003_fft_vehicle_group_management"]}'</v>
      </c>
      <c r="U29" t="str">
        <f t="shared" si="1"/>
        <v>curl -X POST http://172.24.148.160:8001/upstreams/ups-v510-bes_acc_im003_fft_vehicle_group_management/targets -d 'target=172.24.148.131:31203'</v>
      </c>
      <c r="V29" t="str">
        <f t="shared" si="2"/>
        <v>curl -X POST http://172.24.148.160:8001/upstreams/ups-v510-bes_acc_im003_fft_vehicle_group_management/targets -d 'target=172.24.148.132:31203'</v>
      </c>
      <c r="W29" t="str">
        <f t="shared" si="3"/>
        <v>curl -X POST http://172.24.148.160:8001/upstreams/ups-v510-bes_acc_im003_fft_vehicle_group_management/targets -d 'target=172.24.148.133:31203'</v>
      </c>
      <c r="X29" t="str">
        <f t="shared" si="4"/>
        <v>curl -X POST http://172.24.148.160:8001/upstreams/ups-v510-bes_acc_im003_fft_vehicle_group_management/targets -d 'target=172.24.148.134:31203'</v>
      </c>
      <c r="Y29" t="str">
        <f t="shared" si="5"/>
        <v>curl -X POST http://172.24.148.160:8001/upstreams/ups-v510-bes_acc_im003_fft_vehicle_group_management/targets -d 'target=172.24.148.135:31203'</v>
      </c>
      <c r="Z29" t="str">
        <f t="shared" si="6"/>
        <v>curl -X POST http://172.24.148.160:8001/upstreams/ups-v510-bes_acc_im003_fft_vehicle_group_management/targets -d 'target=172.24.148.136:31203'</v>
      </c>
    </row>
    <row r="30" spans="1:26">
      <c r="A30">
        <f>IF(ISNUMBER(SEARCH("rest_api",svc!R29)),1,0)</f>
        <v>1</v>
      </c>
      <c r="C30" t="str">
        <f>svc!D29</f>
        <v>trust</v>
      </c>
      <c r="D30" t="str">
        <f>svc!$B29</f>
        <v>v810</v>
      </c>
      <c r="E30">
        <f>svc!G29</f>
        <v>31203</v>
      </c>
      <c r="F30" t="str">
        <f>CONCATENATE("ups-",svc!$B29,"-",svc!I29)</f>
        <v>ups-v810-bes_acc_im003_fft_vehicle_group_management</v>
      </c>
      <c r="G30" t="str">
        <f>CONCATENATE("svc-",svc!$B29,"-",svc!I29)</f>
        <v>svc-v810-bes_acc_im003_fft_vehicle_group_management</v>
      </c>
      <c r="H30" t="str">
        <f>CONCATENATE("route-",VLOOKUP($D30,kong_np_var!$B$10:$D$16,2,FALSE),"-",svc!$B29,"-",svc!I29)</f>
        <v>route-v804-v810-bes_acc_im003_fft_vehicle_group_management</v>
      </c>
      <c r="I30" t="str">
        <f>CONCATENATE(VLOOKUP($D30,kong_np_var!$B$20:$H$26,SUBSTITUTE(I$1,"target_","") + 1,FALSE),":",$E30)</f>
        <v>172.24.148.195:31203</v>
      </c>
      <c r="J30" t="str">
        <f>CONCATENATE(VLOOKUP($D30,kong_np_var!$B$20:$H$26,SUBSTITUTE(J$1,"target_","") + 1,FALSE),":",$E30)</f>
        <v>172.24.148.196:31203</v>
      </c>
      <c r="K30" t="str">
        <f>CONCATENATE(VLOOKUP($D30,kong_np_var!$B$20:$H$26,SUBSTITUTE(K$1,"target_","") + 1,FALSE),":",$E30)</f>
        <v>172.24.148.197:31203</v>
      </c>
      <c r="L30" t="str">
        <f>IF($C30="dmz","",CONCATENATE(VLOOKUP($D30,kong_np_var!$B$20:$H$26,SUBSTITUTE(L$1,"target_","") + 1,FALSE),":",$E30))</f>
        <v>172.24.148.198:31203</v>
      </c>
      <c r="M30" t="str">
        <f>IF($C30="dmz","",CONCATENATE(VLOOKUP($D30,kong_np_var!$B$20:$H$26,SUBSTITUTE(M$1,"target_","") + 1,FALSE),":",$E30))</f>
        <v>172.24.148.199:31203</v>
      </c>
      <c r="N30" t="str">
        <f>IF($C30="dmz","",CONCATENATE(VLOOKUP($D30,kong_np_var!$B$20:$H$26,SUBSTITUTE(N$1,"target_","") + 1,FALSE),":",$E30))</f>
        <v>172.24.148.200:31203</v>
      </c>
      <c r="O30" t="str">
        <f>VLOOKUP($D30,kong_np_var!$B$10:$D$16,3,FALSE)</f>
        <v>172.24.149.151</v>
      </c>
      <c r="P30" t="str">
        <f>CONCATENATE("/",C30,MID(D30,2,15),"/",svc!$I29)</f>
        <v>/trust810/bes_acc_im003_fft_vehicle_group_management</v>
      </c>
      <c r="Q30" t="str">
        <f>VLOOKUP(C30,kong_np_var!$B$6:$C$7,2,FALSE)</f>
        <v>http://172.24.148.160:8001</v>
      </c>
      <c r="R30" t="str">
        <f>SUBSTITUTE(SUBSTITUTE(kong_np_var!$J$1,"&lt;upstream_name&gt;",$F30),"&lt;kong_api_url&gt;",$Q30)</f>
        <v>curl -X PUT http://172.24.148.160:8001/upstreams/ups-v810-bes_acc_im003_fft_vehicle_group_management</v>
      </c>
      <c r="S30" t="str">
        <f>SUBSTITUTE(SUBSTITUTE(SUBSTITUTE(SUBSTITUTE(kong_np_var!$J$2,"&lt;kong_api_url&gt;",$Q30),"&lt;upstream_name&gt;",$F30),"&lt;port&gt;",$E30),"&lt;service_name&gt;",$G30)</f>
        <v>curl -X PUT http://172.24.148.160:8001/services/svc-v810-bes_acc_im003_fft_vehicle_group_management -H "Content-Type: application/json" -d '{"protocol":"http","host":"ups-v810-bes_acc_im003_fft_vehicle_group_management","port":31203}'</v>
      </c>
      <c r="T30" t="str">
        <f>SUBSTITUTE(SUBSTITUTE(SUBSTITUTE(SUBSTITUTE(SUBSTITUTE(kong_np_var!$J$3,"&lt;kong_api_url&gt;",$Q30),"&lt;route_name&gt;",$H30),"&lt;service_name&gt;",$G30),"&lt;host&gt;",$O30),"&lt;path&gt;",$P30)</f>
        <v>curl -X PUT http://172.24.148.160:8001/services/svc-v810-bes_acc_im003_fft_vehicle_group_management/routes/route-v804-v810-bes_acc_im003_fft_vehicle_group_management -H "Content-Type: application/json" -d '{"protocols":["http"],"hosts":["172.24.149.151"],"paths":["/trust810/bes_acc_im003_fft_vehicle_group_management"]}'</v>
      </c>
      <c r="U30" t="str">
        <f t="shared" si="1"/>
        <v>curl -X POST http://172.24.148.160:8001/upstreams/ups-v810-bes_acc_im003_fft_vehicle_group_management/targets -d 'target=172.24.148.195:31203'</v>
      </c>
      <c r="V30" t="str">
        <f t="shared" si="2"/>
        <v>curl -X POST http://172.24.148.160:8001/upstreams/ups-v810-bes_acc_im003_fft_vehicle_group_management/targets -d 'target=172.24.148.196:31203'</v>
      </c>
      <c r="W30" t="str">
        <f t="shared" si="3"/>
        <v>curl -X POST http://172.24.148.160:8001/upstreams/ups-v810-bes_acc_im003_fft_vehicle_group_management/targets -d 'target=172.24.148.197:31203'</v>
      </c>
      <c r="X30" t="str">
        <f t="shared" si="4"/>
        <v>curl -X POST http://172.24.148.160:8001/upstreams/ups-v810-bes_acc_im003_fft_vehicle_group_management/targets -d 'target=172.24.148.198:31203'</v>
      </c>
      <c r="Y30" t="str">
        <f t="shared" si="5"/>
        <v>curl -X POST http://172.24.148.160:8001/upstreams/ups-v810-bes_acc_im003_fft_vehicle_group_management/targets -d 'target=172.24.148.199:31203'</v>
      </c>
      <c r="Z30" t="str">
        <f t="shared" si="6"/>
        <v>curl -X POST http://172.24.148.160:8001/upstreams/ups-v810-bes_acc_im003_fft_vehicle_group_management/targets -d 'target=172.24.148.200:31203'</v>
      </c>
    </row>
    <row r="31" spans="1:26">
      <c r="A31">
        <f>IF(ISNUMBER(SEARCH("rest_api",svc!R30)),1,0)</f>
        <v>1</v>
      </c>
      <c r="C31" t="str">
        <f>svc!D30</f>
        <v>trust</v>
      </c>
      <c r="D31" t="str">
        <f>svc!$B30</f>
        <v>v510</v>
      </c>
      <c r="E31">
        <f>svc!G30</f>
        <v>31204</v>
      </c>
      <c r="F31" t="str">
        <f>CONCATENATE("ups-",svc!$B30,"-",svc!I30)</f>
        <v>ups-v510-bes_acc_im004_fft_account_search</v>
      </c>
      <c r="G31" t="str">
        <f>CONCATENATE("svc-",svc!$B30,"-",svc!I30)</f>
        <v>svc-v510-bes_acc_im004_fft_account_search</v>
      </c>
      <c r="H31" t="str">
        <f>CONCATENATE("route-",VLOOKUP($D31,kong_np_var!$B$10:$D$16,2,FALSE),"-",svc!$B30,"-",svc!I30)</f>
        <v>route-v504-v510-bes_acc_im004_fft_account_search</v>
      </c>
      <c r="I31" t="str">
        <f>CONCATENATE(VLOOKUP($D31,kong_np_var!$B$20:$H$26,SUBSTITUTE(I$1,"target_","") + 1,FALSE),":",$E31)</f>
        <v>172.24.148.131:31204</v>
      </c>
      <c r="J31" t="str">
        <f>CONCATENATE(VLOOKUP($D31,kong_np_var!$B$20:$H$26,SUBSTITUTE(J$1,"target_","") + 1,FALSE),":",$E31)</f>
        <v>172.24.148.132:31204</v>
      </c>
      <c r="K31" t="str">
        <f>CONCATENATE(VLOOKUP($D31,kong_np_var!$B$20:$H$26,SUBSTITUTE(K$1,"target_","") + 1,FALSE),":",$E31)</f>
        <v>172.24.148.133:31204</v>
      </c>
      <c r="L31" t="str">
        <f>IF($C31="dmz","",CONCATENATE(VLOOKUP($D31,kong_np_var!$B$20:$H$26,SUBSTITUTE(L$1,"target_","") + 1,FALSE),":",$E31))</f>
        <v>172.24.148.134:31204</v>
      </c>
      <c r="M31" t="str">
        <f>IF($C31="dmz","",CONCATENATE(VLOOKUP($D31,kong_np_var!$B$20:$H$26,SUBSTITUTE(M$1,"target_","") + 1,FALSE),":",$E31))</f>
        <v>172.24.148.135:31204</v>
      </c>
      <c r="N31" t="str">
        <f>IF($C31="dmz","",CONCATENATE(VLOOKUP($D31,kong_np_var!$B$20:$H$26,SUBSTITUTE(N$1,"target_","") + 1,FALSE),":",$E31))</f>
        <v>172.24.148.136:31204</v>
      </c>
      <c r="O31" t="str">
        <f>VLOOKUP($D31,kong_np_var!$B$10:$D$16,3,FALSE)</f>
        <v>172.24.149.183</v>
      </c>
      <c r="P31" t="str">
        <f>CONCATENATE("/",C31,MID(D31,2,15),"/",svc!$I30)</f>
        <v>/trust510/bes_acc_im004_fft_account_search</v>
      </c>
      <c r="Q31" t="str">
        <f>VLOOKUP(C31,kong_np_var!$B$6:$C$7,2,FALSE)</f>
        <v>http://172.24.148.160:8001</v>
      </c>
      <c r="R31" t="str">
        <f>SUBSTITUTE(SUBSTITUTE(kong_np_var!$J$1,"&lt;upstream_name&gt;",$F31),"&lt;kong_api_url&gt;",$Q31)</f>
        <v>curl -X PUT http://172.24.148.160:8001/upstreams/ups-v510-bes_acc_im004_fft_account_search</v>
      </c>
      <c r="S31" t="str">
        <f>SUBSTITUTE(SUBSTITUTE(SUBSTITUTE(SUBSTITUTE(kong_np_var!$J$2,"&lt;kong_api_url&gt;",$Q31),"&lt;upstream_name&gt;",$F31),"&lt;port&gt;",$E31),"&lt;service_name&gt;",$G31)</f>
        <v>curl -X PUT http://172.24.148.160:8001/services/svc-v510-bes_acc_im004_fft_account_search -H "Content-Type: application/json" -d '{"protocol":"http","host":"ups-v510-bes_acc_im004_fft_account_search","port":31204}'</v>
      </c>
      <c r="T31" t="str">
        <f>SUBSTITUTE(SUBSTITUTE(SUBSTITUTE(SUBSTITUTE(SUBSTITUTE(kong_np_var!$J$3,"&lt;kong_api_url&gt;",$Q31),"&lt;route_name&gt;",$H31),"&lt;service_name&gt;",$G31),"&lt;host&gt;",$O31),"&lt;path&gt;",$P31)</f>
        <v>curl -X PUT http://172.24.148.160:8001/services/svc-v510-bes_acc_im004_fft_account_search/routes/route-v504-v510-bes_acc_im004_fft_account_search -H "Content-Type: application/json" -d '{"protocols":["http"],"hosts":["172.24.149.183"],"paths":["/trust510/bes_acc_im004_fft_account_search"]}'</v>
      </c>
      <c r="U31" t="str">
        <f t="shared" si="1"/>
        <v>curl -X POST http://172.24.148.160:8001/upstreams/ups-v510-bes_acc_im004_fft_account_search/targets -d 'target=172.24.148.131:31204'</v>
      </c>
      <c r="V31" t="str">
        <f t="shared" si="2"/>
        <v>curl -X POST http://172.24.148.160:8001/upstreams/ups-v510-bes_acc_im004_fft_account_search/targets -d 'target=172.24.148.132:31204'</v>
      </c>
      <c r="W31" t="str">
        <f t="shared" si="3"/>
        <v>curl -X POST http://172.24.148.160:8001/upstreams/ups-v510-bes_acc_im004_fft_account_search/targets -d 'target=172.24.148.133:31204'</v>
      </c>
      <c r="X31" t="str">
        <f t="shared" si="4"/>
        <v>curl -X POST http://172.24.148.160:8001/upstreams/ups-v510-bes_acc_im004_fft_account_search/targets -d 'target=172.24.148.134:31204'</v>
      </c>
      <c r="Y31" t="str">
        <f t="shared" si="5"/>
        <v>curl -X POST http://172.24.148.160:8001/upstreams/ups-v510-bes_acc_im004_fft_account_search/targets -d 'target=172.24.148.135:31204'</v>
      </c>
      <c r="Z31" t="str">
        <f t="shared" si="6"/>
        <v>curl -X POST http://172.24.148.160:8001/upstreams/ups-v510-bes_acc_im004_fft_account_search/targets -d 'target=172.24.148.136:31204'</v>
      </c>
    </row>
    <row r="32" spans="1:26">
      <c r="A32">
        <f>IF(ISNUMBER(SEARCH("rest_api",svc!R31)),1,0)</f>
        <v>1</v>
      </c>
      <c r="C32" t="str">
        <f>svc!D31</f>
        <v>trust</v>
      </c>
      <c r="D32" t="str">
        <f>svc!$B31</f>
        <v>v810</v>
      </c>
      <c r="E32">
        <f>svc!G31</f>
        <v>31204</v>
      </c>
      <c r="F32" t="str">
        <f>CONCATENATE("ups-",svc!$B31,"-",svc!I31)</f>
        <v>ups-v810-bes_acc_im004_fft_account_search</v>
      </c>
      <c r="G32" t="str">
        <f>CONCATENATE("svc-",svc!$B31,"-",svc!I31)</f>
        <v>svc-v810-bes_acc_im004_fft_account_search</v>
      </c>
      <c r="H32" t="str">
        <f>CONCATENATE("route-",VLOOKUP($D32,kong_np_var!$B$10:$D$16,2,FALSE),"-",svc!$B31,"-",svc!I31)</f>
        <v>route-v804-v810-bes_acc_im004_fft_account_search</v>
      </c>
      <c r="I32" t="str">
        <f>CONCATENATE(VLOOKUP($D32,kong_np_var!$B$20:$H$26,SUBSTITUTE(I$1,"target_","") + 1,FALSE),":",$E32)</f>
        <v>172.24.148.195:31204</v>
      </c>
      <c r="J32" t="str">
        <f>CONCATENATE(VLOOKUP($D32,kong_np_var!$B$20:$H$26,SUBSTITUTE(J$1,"target_","") + 1,FALSE),":",$E32)</f>
        <v>172.24.148.196:31204</v>
      </c>
      <c r="K32" t="str">
        <f>CONCATENATE(VLOOKUP($D32,kong_np_var!$B$20:$H$26,SUBSTITUTE(K$1,"target_","") + 1,FALSE),":",$E32)</f>
        <v>172.24.148.197:31204</v>
      </c>
      <c r="L32" t="str">
        <f>IF($C32="dmz","",CONCATENATE(VLOOKUP($D32,kong_np_var!$B$20:$H$26,SUBSTITUTE(L$1,"target_","") + 1,FALSE),":",$E32))</f>
        <v>172.24.148.198:31204</v>
      </c>
      <c r="M32" t="str">
        <f>IF($C32="dmz","",CONCATENATE(VLOOKUP($D32,kong_np_var!$B$20:$H$26,SUBSTITUTE(M$1,"target_","") + 1,FALSE),":",$E32))</f>
        <v>172.24.148.199:31204</v>
      </c>
      <c r="N32" t="str">
        <f>IF($C32="dmz","",CONCATENATE(VLOOKUP($D32,kong_np_var!$B$20:$H$26,SUBSTITUTE(N$1,"target_","") + 1,FALSE),":",$E32))</f>
        <v>172.24.148.200:31204</v>
      </c>
      <c r="O32" t="str">
        <f>VLOOKUP($D32,kong_np_var!$B$10:$D$16,3,FALSE)</f>
        <v>172.24.149.151</v>
      </c>
      <c r="P32" t="str">
        <f>CONCATENATE("/",C32,MID(D32,2,15),"/",svc!$I31)</f>
        <v>/trust810/bes_acc_im004_fft_account_search</v>
      </c>
      <c r="Q32" t="str">
        <f>VLOOKUP(C32,kong_np_var!$B$6:$C$7,2,FALSE)</f>
        <v>http://172.24.148.160:8001</v>
      </c>
      <c r="R32" t="str">
        <f>SUBSTITUTE(SUBSTITUTE(kong_np_var!$J$1,"&lt;upstream_name&gt;",$F32),"&lt;kong_api_url&gt;",$Q32)</f>
        <v>curl -X PUT http://172.24.148.160:8001/upstreams/ups-v810-bes_acc_im004_fft_account_search</v>
      </c>
      <c r="S32" t="str">
        <f>SUBSTITUTE(SUBSTITUTE(SUBSTITUTE(SUBSTITUTE(kong_np_var!$J$2,"&lt;kong_api_url&gt;",$Q32),"&lt;upstream_name&gt;",$F32),"&lt;port&gt;",$E32),"&lt;service_name&gt;",$G32)</f>
        <v>curl -X PUT http://172.24.148.160:8001/services/svc-v810-bes_acc_im004_fft_account_search -H "Content-Type: application/json" -d '{"protocol":"http","host":"ups-v810-bes_acc_im004_fft_account_search","port":31204}'</v>
      </c>
      <c r="T32" t="str">
        <f>SUBSTITUTE(SUBSTITUTE(SUBSTITUTE(SUBSTITUTE(SUBSTITUTE(kong_np_var!$J$3,"&lt;kong_api_url&gt;",$Q32),"&lt;route_name&gt;",$H32),"&lt;service_name&gt;",$G32),"&lt;host&gt;",$O32),"&lt;path&gt;",$P32)</f>
        <v>curl -X PUT http://172.24.148.160:8001/services/svc-v810-bes_acc_im004_fft_account_search/routes/route-v804-v810-bes_acc_im004_fft_account_search -H "Content-Type: application/json" -d '{"protocols":["http"],"hosts":["172.24.149.151"],"paths":["/trust810/bes_acc_im004_fft_account_search"]}'</v>
      </c>
      <c r="U32" t="str">
        <f t="shared" si="1"/>
        <v>curl -X POST http://172.24.148.160:8001/upstreams/ups-v810-bes_acc_im004_fft_account_search/targets -d 'target=172.24.148.195:31204'</v>
      </c>
      <c r="V32" t="str">
        <f t="shared" si="2"/>
        <v>curl -X POST http://172.24.148.160:8001/upstreams/ups-v810-bes_acc_im004_fft_account_search/targets -d 'target=172.24.148.196:31204'</v>
      </c>
      <c r="W32" t="str">
        <f t="shared" si="3"/>
        <v>curl -X POST http://172.24.148.160:8001/upstreams/ups-v810-bes_acc_im004_fft_account_search/targets -d 'target=172.24.148.197:31204'</v>
      </c>
      <c r="X32" t="str">
        <f t="shared" si="4"/>
        <v>curl -X POST http://172.24.148.160:8001/upstreams/ups-v810-bes_acc_im004_fft_account_search/targets -d 'target=172.24.148.198:31204'</v>
      </c>
      <c r="Y32" t="str">
        <f t="shared" si="5"/>
        <v>curl -X POST http://172.24.148.160:8001/upstreams/ups-v810-bes_acc_im004_fft_account_search/targets -d 'target=172.24.148.199:31204'</v>
      </c>
      <c r="Z32" t="str">
        <f t="shared" si="6"/>
        <v>curl -X POST http://172.24.148.160:8001/upstreams/ups-v810-bes_acc_im004_fft_account_search/targets -d 'target=172.24.148.200:31204'</v>
      </c>
    </row>
    <row r="33" spans="1:26">
      <c r="A33">
        <f>IF(ISNUMBER(SEARCH("rest_api",svc!R32)),1,0)</f>
        <v>1</v>
      </c>
      <c r="C33" t="str">
        <f>svc!D32</f>
        <v>trust</v>
      </c>
      <c r="D33" t="str">
        <f>svc!$B32</f>
        <v>v510</v>
      </c>
      <c r="E33">
        <f>svc!G32</f>
        <v>31205</v>
      </c>
      <c r="F33" t="str">
        <f>CONCATENATE("ups-",svc!$B32,"-",svc!I32)</f>
        <v>ups-v510-bes_acc_im005_fft_driver_approval</v>
      </c>
      <c r="G33" t="str">
        <f>CONCATENATE("svc-",svc!$B32,"-",svc!I32)</f>
        <v>svc-v510-bes_acc_im005_fft_driver_approval</v>
      </c>
      <c r="H33" t="str">
        <f>CONCATENATE("route-",VLOOKUP($D33,kong_np_var!$B$10:$D$16,2,FALSE),"-",svc!$B32,"-",svc!I32)</f>
        <v>route-v504-v510-bes_acc_im005_fft_driver_approval</v>
      </c>
      <c r="I33" t="str">
        <f>CONCATENATE(VLOOKUP($D33,kong_np_var!$B$20:$H$26,SUBSTITUTE(I$1,"target_","") + 1,FALSE),":",$E33)</f>
        <v>172.24.148.131:31205</v>
      </c>
      <c r="J33" t="str">
        <f>CONCATENATE(VLOOKUP($D33,kong_np_var!$B$20:$H$26,SUBSTITUTE(J$1,"target_","") + 1,FALSE),":",$E33)</f>
        <v>172.24.148.132:31205</v>
      </c>
      <c r="K33" t="str">
        <f>CONCATENATE(VLOOKUP($D33,kong_np_var!$B$20:$H$26,SUBSTITUTE(K$1,"target_","") + 1,FALSE),":",$E33)</f>
        <v>172.24.148.133:31205</v>
      </c>
      <c r="L33" t="str">
        <f>IF($C33="dmz","",CONCATENATE(VLOOKUP($D33,kong_np_var!$B$20:$H$26,SUBSTITUTE(L$1,"target_","") + 1,FALSE),":",$E33))</f>
        <v>172.24.148.134:31205</v>
      </c>
      <c r="M33" t="str">
        <f>IF($C33="dmz","",CONCATENATE(VLOOKUP($D33,kong_np_var!$B$20:$H$26,SUBSTITUTE(M$1,"target_","") + 1,FALSE),":",$E33))</f>
        <v>172.24.148.135:31205</v>
      </c>
      <c r="N33" t="str">
        <f>IF($C33="dmz","",CONCATENATE(VLOOKUP($D33,kong_np_var!$B$20:$H$26,SUBSTITUTE(N$1,"target_","") + 1,FALSE),":",$E33))</f>
        <v>172.24.148.136:31205</v>
      </c>
      <c r="O33" t="str">
        <f>VLOOKUP($D33,kong_np_var!$B$10:$D$16,3,FALSE)</f>
        <v>172.24.149.183</v>
      </c>
      <c r="P33" t="str">
        <f>CONCATENATE("/",C33,MID(D33,2,15),"/",svc!$I32)</f>
        <v>/trust510/bes_acc_im005_fft_driver_approval</v>
      </c>
      <c r="Q33" t="str">
        <f>VLOOKUP(C33,kong_np_var!$B$6:$C$7,2,FALSE)</f>
        <v>http://172.24.148.160:8001</v>
      </c>
      <c r="R33" t="str">
        <f>SUBSTITUTE(SUBSTITUTE(kong_np_var!$J$1,"&lt;upstream_name&gt;",$F33),"&lt;kong_api_url&gt;",$Q33)</f>
        <v>curl -X PUT http://172.24.148.160:8001/upstreams/ups-v510-bes_acc_im005_fft_driver_approval</v>
      </c>
      <c r="S33" t="str">
        <f>SUBSTITUTE(SUBSTITUTE(SUBSTITUTE(SUBSTITUTE(kong_np_var!$J$2,"&lt;kong_api_url&gt;",$Q33),"&lt;upstream_name&gt;",$F33),"&lt;port&gt;",$E33),"&lt;service_name&gt;",$G33)</f>
        <v>curl -X PUT http://172.24.148.160:8001/services/svc-v510-bes_acc_im005_fft_driver_approval -H "Content-Type: application/json" -d '{"protocol":"http","host":"ups-v510-bes_acc_im005_fft_driver_approval","port":31205}'</v>
      </c>
      <c r="T33" t="str">
        <f>SUBSTITUTE(SUBSTITUTE(SUBSTITUTE(SUBSTITUTE(SUBSTITUTE(kong_np_var!$J$3,"&lt;kong_api_url&gt;",$Q33),"&lt;route_name&gt;",$H33),"&lt;service_name&gt;",$G33),"&lt;host&gt;",$O33),"&lt;path&gt;",$P33)</f>
        <v>curl -X PUT http://172.24.148.160:8001/services/svc-v510-bes_acc_im005_fft_driver_approval/routes/route-v504-v510-bes_acc_im005_fft_driver_approval -H "Content-Type: application/json" -d '{"protocols":["http"],"hosts":["172.24.149.183"],"paths":["/trust510/bes_acc_im005_fft_driver_approval"]}'</v>
      </c>
      <c r="U33" t="str">
        <f t="shared" si="1"/>
        <v>curl -X POST http://172.24.148.160:8001/upstreams/ups-v510-bes_acc_im005_fft_driver_approval/targets -d 'target=172.24.148.131:31205'</v>
      </c>
      <c r="V33" t="str">
        <f t="shared" si="2"/>
        <v>curl -X POST http://172.24.148.160:8001/upstreams/ups-v510-bes_acc_im005_fft_driver_approval/targets -d 'target=172.24.148.132:31205'</v>
      </c>
      <c r="W33" t="str">
        <f t="shared" si="3"/>
        <v>curl -X POST http://172.24.148.160:8001/upstreams/ups-v510-bes_acc_im005_fft_driver_approval/targets -d 'target=172.24.148.133:31205'</v>
      </c>
      <c r="X33" t="str">
        <f t="shared" si="4"/>
        <v>curl -X POST http://172.24.148.160:8001/upstreams/ups-v510-bes_acc_im005_fft_driver_approval/targets -d 'target=172.24.148.134:31205'</v>
      </c>
      <c r="Y33" t="str">
        <f t="shared" si="5"/>
        <v>curl -X POST http://172.24.148.160:8001/upstreams/ups-v510-bes_acc_im005_fft_driver_approval/targets -d 'target=172.24.148.135:31205'</v>
      </c>
      <c r="Z33" t="str">
        <f t="shared" si="6"/>
        <v>curl -X POST http://172.24.148.160:8001/upstreams/ups-v510-bes_acc_im005_fft_driver_approval/targets -d 'target=172.24.148.136:31205'</v>
      </c>
    </row>
    <row r="34" spans="1:26">
      <c r="A34">
        <f>IF(ISNUMBER(SEARCH("rest_api",svc!R33)),1,0)</f>
        <v>1</v>
      </c>
      <c r="C34" t="str">
        <f>svc!D33</f>
        <v>trust</v>
      </c>
      <c r="D34" t="str">
        <f>svc!$B33</f>
        <v>v810</v>
      </c>
      <c r="E34">
        <f>svc!G33</f>
        <v>31205</v>
      </c>
      <c r="F34" t="str">
        <f>CONCATENATE("ups-",svc!$B33,"-",svc!I33)</f>
        <v>ups-v810-bes_acc_im005_fft_driver_approval</v>
      </c>
      <c r="G34" t="str">
        <f>CONCATENATE("svc-",svc!$B33,"-",svc!I33)</f>
        <v>svc-v810-bes_acc_im005_fft_driver_approval</v>
      </c>
      <c r="H34" t="str">
        <f>CONCATENATE("route-",VLOOKUP($D34,kong_np_var!$B$10:$D$16,2,FALSE),"-",svc!$B33,"-",svc!I33)</f>
        <v>route-v804-v810-bes_acc_im005_fft_driver_approval</v>
      </c>
      <c r="I34" t="str">
        <f>CONCATENATE(VLOOKUP($D34,kong_np_var!$B$20:$H$26,SUBSTITUTE(I$1,"target_","") + 1,FALSE),":",$E34)</f>
        <v>172.24.148.195:31205</v>
      </c>
      <c r="J34" t="str">
        <f>CONCATENATE(VLOOKUP($D34,kong_np_var!$B$20:$H$26,SUBSTITUTE(J$1,"target_","") + 1,FALSE),":",$E34)</f>
        <v>172.24.148.196:31205</v>
      </c>
      <c r="K34" t="str">
        <f>CONCATENATE(VLOOKUP($D34,kong_np_var!$B$20:$H$26,SUBSTITUTE(K$1,"target_","") + 1,FALSE),":",$E34)</f>
        <v>172.24.148.197:31205</v>
      </c>
      <c r="L34" t="str">
        <f>IF($C34="dmz","",CONCATENATE(VLOOKUP($D34,kong_np_var!$B$20:$H$26,SUBSTITUTE(L$1,"target_","") + 1,FALSE),":",$E34))</f>
        <v>172.24.148.198:31205</v>
      </c>
      <c r="M34" t="str">
        <f>IF($C34="dmz","",CONCATENATE(VLOOKUP($D34,kong_np_var!$B$20:$H$26,SUBSTITUTE(M$1,"target_","") + 1,FALSE),":",$E34))</f>
        <v>172.24.148.199:31205</v>
      </c>
      <c r="N34" t="str">
        <f>IF($C34="dmz","",CONCATENATE(VLOOKUP($D34,kong_np_var!$B$20:$H$26,SUBSTITUTE(N$1,"target_","") + 1,FALSE),":",$E34))</f>
        <v>172.24.148.200:31205</v>
      </c>
      <c r="O34" t="str">
        <f>VLOOKUP($D34,kong_np_var!$B$10:$D$16,3,FALSE)</f>
        <v>172.24.149.151</v>
      </c>
      <c r="P34" t="str">
        <f>CONCATENATE("/",C34,MID(D34,2,15),"/",svc!$I33)</f>
        <v>/trust810/bes_acc_im005_fft_driver_approval</v>
      </c>
      <c r="Q34" t="str">
        <f>VLOOKUP(C34,kong_np_var!$B$6:$C$7,2,FALSE)</f>
        <v>http://172.24.148.160:8001</v>
      </c>
      <c r="R34" t="str">
        <f>SUBSTITUTE(SUBSTITUTE(kong_np_var!$J$1,"&lt;upstream_name&gt;",$F34),"&lt;kong_api_url&gt;",$Q34)</f>
        <v>curl -X PUT http://172.24.148.160:8001/upstreams/ups-v810-bes_acc_im005_fft_driver_approval</v>
      </c>
      <c r="S34" t="str">
        <f>SUBSTITUTE(SUBSTITUTE(SUBSTITUTE(SUBSTITUTE(kong_np_var!$J$2,"&lt;kong_api_url&gt;",$Q34),"&lt;upstream_name&gt;",$F34),"&lt;port&gt;",$E34),"&lt;service_name&gt;",$G34)</f>
        <v>curl -X PUT http://172.24.148.160:8001/services/svc-v810-bes_acc_im005_fft_driver_approval -H "Content-Type: application/json" -d '{"protocol":"http","host":"ups-v810-bes_acc_im005_fft_driver_approval","port":31205}'</v>
      </c>
      <c r="T34" t="str">
        <f>SUBSTITUTE(SUBSTITUTE(SUBSTITUTE(SUBSTITUTE(SUBSTITUTE(kong_np_var!$J$3,"&lt;kong_api_url&gt;",$Q34),"&lt;route_name&gt;",$H34),"&lt;service_name&gt;",$G34),"&lt;host&gt;",$O34),"&lt;path&gt;",$P34)</f>
        <v>curl -X PUT http://172.24.148.160:8001/services/svc-v810-bes_acc_im005_fft_driver_approval/routes/route-v804-v810-bes_acc_im005_fft_driver_approval -H "Content-Type: application/json" -d '{"protocols":["http"],"hosts":["172.24.149.151"],"paths":["/trust810/bes_acc_im005_fft_driver_approval"]}'</v>
      </c>
      <c r="U34" t="str">
        <f t="shared" si="1"/>
        <v>curl -X POST http://172.24.148.160:8001/upstreams/ups-v810-bes_acc_im005_fft_driver_approval/targets -d 'target=172.24.148.195:31205'</v>
      </c>
      <c r="V34" t="str">
        <f t="shared" si="2"/>
        <v>curl -X POST http://172.24.148.160:8001/upstreams/ups-v810-bes_acc_im005_fft_driver_approval/targets -d 'target=172.24.148.196:31205'</v>
      </c>
      <c r="W34" t="str">
        <f t="shared" si="3"/>
        <v>curl -X POST http://172.24.148.160:8001/upstreams/ups-v810-bes_acc_im005_fft_driver_approval/targets -d 'target=172.24.148.197:31205'</v>
      </c>
      <c r="X34" t="str">
        <f t="shared" si="4"/>
        <v>curl -X POST http://172.24.148.160:8001/upstreams/ups-v810-bes_acc_im005_fft_driver_approval/targets -d 'target=172.24.148.198:31205'</v>
      </c>
      <c r="Y34" t="str">
        <f t="shared" si="5"/>
        <v>curl -X POST http://172.24.148.160:8001/upstreams/ups-v810-bes_acc_im005_fft_driver_approval/targets -d 'target=172.24.148.199:31205'</v>
      </c>
      <c r="Z34" t="str">
        <f t="shared" si="6"/>
        <v>curl -X POST http://172.24.148.160:8001/upstreams/ups-v810-bes_acc_im005_fft_driver_approval/targets -d 'target=172.24.148.200:31205'</v>
      </c>
    </row>
    <row r="35" spans="1:26">
      <c r="A35">
        <f>IF(ISNUMBER(SEARCH("rest_api",svc!R34)),1,0)</f>
        <v>1</v>
      </c>
      <c r="C35" t="str">
        <f>svc!D34</f>
        <v>trust</v>
      </c>
      <c r="D35" t="str">
        <f>svc!$B34</f>
        <v>v510</v>
      </c>
      <c r="E35">
        <f>svc!G34</f>
        <v>31206</v>
      </c>
      <c r="F35" t="str">
        <f>CONCATENATE("ups-",svc!$B34,"-",svc!I34)</f>
        <v>ups-v510-bes_acc_im006_fft_account_management</v>
      </c>
      <c r="G35" t="str">
        <f>CONCATENATE("svc-",svc!$B34,"-",svc!I34)</f>
        <v>svc-v510-bes_acc_im006_fft_account_management</v>
      </c>
      <c r="H35" t="str">
        <f>CONCATENATE("route-",VLOOKUP($D35,kong_np_var!$B$10:$D$16,2,FALSE),"-",svc!$B34,"-",svc!I34)</f>
        <v>route-v504-v510-bes_acc_im006_fft_account_management</v>
      </c>
      <c r="I35" t="str">
        <f>CONCATENATE(VLOOKUP($D35,kong_np_var!$B$20:$H$26,SUBSTITUTE(I$1,"target_","") + 1,FALSE),":",$E35)</f>
        <v>172.24.148.131:31206</v>
      </c>
      <c r="J35" t="str">
        <f>CONCATENATE(VLOOKUP($D35,kong_np_var!$B$20:$H$26,SUBSTITUTE(J$1,"target_","") + 1,FALSE),":",$E35)</f>
        <v>172.24.148.132:31206</v>
      </c>
      <c r="K35" t="str">
        <f>CONCATENATE(VLOOKUP($D35,kong_np_var!$B$20:$H$26,SUBSTITUTE(K$1,"target_","") + 1,FALSE),":",$E35)</f>
        <v>172.24.148.133:31206</v>
      </c>
      <c r="L35" t="str">
        <f>IF($C35="dmz","",CONCATENATE(VLOOKUP($D35,kong_np_var!$B$20:$H$26,SUBSTITUTE(L$1,"target_","") + 1,FALSE),":",$E35))</f>
        <v>172.24.148.134:31206</v>
      </c>
      <c r="M35" t="str">
        <f>IF($C35="dmz","",CONCATENATE(VLOOKUP($D35,kong_np_var!$B$20:$H$26,SUBSTITUTE(M$1,"target_","") + 1,FALSE),":",$E35))</f>
        <v>172.24.148.135:31206</v>
      </c>
      <c r="N35" t="str">
        <f>IF($C35="dmz","",CONCATENATE(VLOOKUP($D35,kong_np_var!$B$20:$H$26,SUBSTITUTE(N$1,"target_","") + 1,FALSE),":",$E35))</f>
        <v>172.24.148.136:31206</v>
      </c>
      <c r="O35" t="str">
        <f>VLOOKUP($D35,kong_np_var!$B$10:$D$16,3,FALSE)</f>
        <v>172.24.149.183</v>
      </c>
      <c r="P35" t="str">
        <f>CONCATENATE("/",C35,MID(D35,2,15),"/",svc!$I34)</f>
        <v>/trust510/bes_acc_im006_fft_account_management</v>
      </c>
      <c r="Q35" t="str">
        <f>VLOOKUP(C35,kong_np_var!$B$6:$C$7,2,FALSE)</f>
        <v>http://172.24.148.160:8001</v>
      </c>
      <c r="R35" t="str">
        <f>SUBSTITUTE(SUBSTITUTE(kong_np_var!$J$1,"&lt;upstream_name&gt;",$F35),"&lt;kong_api_url&gt;",$Q35)</f>
        <v>curl -X PUT http://172.24.148.160:8001/upstreams/ups-v510-bes_acc_im006_fft_account_management</v>
      </c>
      <c r="S35" t="str">
        <f>SUBSTITUTE(SUBSTITUTE(SUBSTITUTE(SUBSTITUTE(kong_np_var!$J$2,"&lt;kong_api_url&gt;",$Q35),"&lt;upstream_name&gt;",$F35),"&lt;port&gt;",$E35),"&lt;service_name&gt;",$G35)</f>
        <v>curl -X PUT http://172.24.148.160:8001/services/svc-v510-bes_acc_im006_fft_account_management -H "Content-Type: application/json" -d '{"protocol":"http","host":"ups-v510-bes_acc_im006_fft_account_management","port":31206}'</v>
      </c>
      <c r="T35" t="str">
        <f>SUBSTITUTE(SUBSTITUTE(SUBSTITUTE(SUBSTITUTE(SUBSTITUTE(kong_np_var!$J$3,"&lt;kong_api_url&gt;",$Q35),"&lt;route_name&gt;",$H35),"&lt;service_name&gt;",$G35),"&lt;host&gt;",$O35),"&lt;path&gt;",$P35)</f>
        <v>curl -X PUT http://172.24.148.160:8001/services/svc-v510-bes_acc_im006_fft_account_management/routes/route-v504-v510-bes_acc_im006_fft_account_management -H "Content-Type: application/json" -d '{"protocols":["http"],"hosts":["172.24.149.183"],"paths":["/trust510/bes_acc_im006_fft_account_management"]}'</v>
      </c>
      <c r="U35" t="str">
        <f t="shared" si="1"/>
        <v>curl -X POST http://172.24.148.160:8001/upstreams/ups-v510-bes_acc_im006_fft_account_management/targets -d 'target=172.24.148.131:31206'</v>
      </c>
      <c r="V35" t="str">
        <f t="shared" si="2"/>
        <v>curl -X POST http://172.24.148.160:8001/upstreams/ups-v510-bes_acc_im006_fft_account_management/targets -d 'target=172.24.148.132:31206'</v>
      </c>
      <c r="W35" t="str">
        <f t="shared" si="3"/>
        <v>curl -X POST http://172.24.148.160:8001/upstreams/ups-v510-bes_acc_im006_fft_account_management/targets -d 'target=172.24.148.133:31206'</v>
      </c>
      <c r="X35" t="str">
        <f t="shared" si="4"/>
        <v>curl -X POST http://172.24.148.160:8001/upstreams/ups-v510-bes_acc_im006_fft_account_management/targets -d 'target=172.24.148.134:31206'</v>
      </c>
      <c r="Y35" t="str">
        <f t="shared" si="5"/>
        <v>curl -X POST http://172.24.148.160:8001/upstreams/ups-v510-bes_acc_im006_fft_account_management/targets -d 'target=172.24.148.135:31206'</v>
      </c>
      <c r="Z35" t="str">
        <f t="shared" si="6"/>
        <v>curl -X POST http://172.24.148.160:8001/upstreams/ups-v510-bes_acc_im006_fft_account_management/targets -d 'target=172.24.148.136:31206'</v>
      </c>
    </row>
    <row r="36" spans="1:26">
      <c r="A36">
        <f>IF(ISNUMBER(SEARCH("rest_api",svc!R35)),1,0)</f>
        <v>1</v>
      </c>
      <c r="C36" t="str">
        <f>svc!D35</f>
        <v>trust</v>
      </c>
      <c r="D36" t="str">
        <f>svc!$B35</f>
        <v>v810</v>
      </c>
      <c r="E36">
        <f>svc!G35</f>
        <v>31206</v>
      </c>
      <c r="F36" t="str">
        <f>CONCATENATE("ups-",svc!$B35,"-",svc!I35)</f>
        <v>ups-v810-bes_acc_im006_fft_account_management</v>
      </c>
      <c r="G36" t="str">
        <f>CONCATENATE("svc-",svc!$B35,"-",svc!I35)</f>
        <v>svc-v810-bes_acc_im006_fft_account_management</v>
      </c>
      <c r="H36" t="str">
        <f>CONCATENATE("route-",VLOOKUP($D36,kong_np_var!$B$10:$D$16,2,FALSE),"-",svc!$B35,"-",svc!I35)</f>
        <v>route-v804-v810-bes_acc_im006_fft_account_management</v>
      </c>
      <c r="I36" t="str">
        <f>CONCATENATE(VLOOKUP($D36,kong_np_var!$B$20:$H$26,SUBSTITUTE(I$1,"target_","") + 1,FALSE),":",$E36)</f>
        <v>172.24.148.195:31206</v>
      </c>
      <c r="J36" t="str">
        <f>CONCATENATE(VLOOKUP($D36,kong_np_var!$B$20:$H$26,SUBSTITUTE(J$1,"target_","") + 1,FALSE),":",$E36)</f>
        <v>172.24.148.196:31206</v>
      </c>
      <c r="K36" t="str">
        <f>CONCATENATE(VLOOKUP($D36,kong_np_var!$B$20:$H$26,SUBSTITUTE(K$1,"target_","") + 1,FALSE),":",$E36)</f>
        <v>172.24.148.197:31206</v>
      </c>
      <c r="L36" t="str">
        <f>IF($C36="dmz","",CONCATENATE(VLOOKUP($D36,kong_np_var!$B$20:$H$26,SUBSTITUTE(L$1,"target_","") + 1,FALSE),":",$E36))</f>
        <v>172.24.148.198:31206</v>
      </c>
      <c r="M36" t="str">
        <f>IF($C36="dmz","",CONCATENATE(VLOOKUP($D36,kong_np_var!$B$20:$H$26,SUBSTITUTE(M$1,"target_","") + 1,FALSE),":",$E36))</f>
        <v>172.24.148.199:31206</v>
      </c>
      <c r="N36" t="str">
        <f>IF($C36="dmz","",CONCATENATE(VLOOKUP($D36,kong_np_var!$B$20:$H$26,SUBSTITUTE(N$1,"target_","") + 1,FALSE),":",$E36))</f>
        <v>172.24.148.200:31206</v>
      </c>
      <c r="O36" t="str">
        <f>VLOOKUP($D36,kong_np_var!$B$10:$D$16,3,FALSE)</f>
        <v>172.24.149.151</v>
      </c>
      <c r="P36" t="str">
        <f>CONCATENATE("/",C36,MID(D36,2,15),"/",svc!$I35)</f>
        <v>/trust810/bes_acc_im006_fft_account_management</v>
      </c>
      <c r="Q36" t="str">
        <f>VLOOKUP(C36,kong_np_var!$B$6:$C$7,2,FALSE)</f>
        <v>http://172.24.148.160:8001</v>
      </c>
      <c r="R36" t="str">
        <f>SUBSTITUTE(SUBSTITUTE(kong_np_var!$J$1,"&lt;upstream_name&gt;",$F36),"&lt;kong_api_url&gt;",$Q36)</f>
        <v>curl -X PUT http://172.24.148.160:8001/upstreams/ups-v810-bes_acc_im006_fft_account_management</v>
      </c>
      <c r="S36" t="str">
        <f>SUBSTITUTE(SUBSTITUTE(SUBSTITUTE(SUBSTITUTE(kong_np_var!$J$2,"&lt;kong_api_url&gt;",$Q36),"&lt;upstream_name&gt;",$F36),"&lt;port&gt;",$E36),"&lt;service_name&gt;",$G36)</f>
        <v>curl -X PUT http://172.24.148.160:8001/services/svc-v810-bes_acc_im006_fft_account_management -H "Content-Type: application/json" -d '{"protocol":"http","host":"ups-v810-bes_acc_im006_fft_account_management","port":31206}'</v>
      </c>
      <c r="T36" t="str">
        <f>SUBSTITUTE(SUBSTITUTE(SUBSTITUTE(SUBSTITUTE(SUBSTITUTE(kong_np_var!$J$3,"&lt;kong_api_url&gt;",$Q36),"&lt;route_name&gt;",$H36),"&lt;service_name&gt;",$G36),"&lt;host&gt;",$O36),"&lt;path&gt;",$P36)</f>
        <v>curl -X PUT http://172.24.148.160:8001/services/svc-v810-bes_acc_im006_fft_account_management/routes/route-v804-v810-bes_acc_im006_fft_account_management -H "Content-Type: application/json" -d '{"protocols":["http"],"hosts":["172.24.149.151"],"paths":["/trust810/bes_acc_im006_fft_account_management"]}'</v>
      </c>
      <c r="U36" t="str">
        <f t="shared" si="1"/>
        <v>curl -X POST http://172.24.148.160:8001/upstreams/ups-v810-bes_acc_im006_fft_account_management/targets -d 'target=172.24.148.195:31206'</v>
      </c>
      <c r="V36" t="str">
        <f t="shared" si="2"/>
        <v>curl -X POST http://172.24.148.160:8001/upstreams/ups-v810-bes_acc_im006_fft_account_management/targets -d 'target=172.24.148.196:31206'</v>
      </c>
      <c r="W36" t="str">
        <f t="shared" si="3"/>
        <v>curl -X POST http://172.24.148.160:8001/upstreams/ups-v810-bes_acc_im006_fft_account_management/targets -d 'target=172.24.148.197:31206'</v>
      </c>
      <c r="X36" t="str">
        <f t="shared" si="4"/>
        <v>curl -X POST http://172.24.148.160:8001/upstreams/ups-v810-bes_acc_im006_fft_account_management/targets -d 'target=172.24.148.198:31206'</v>
      </c>
      <c r="Y36" t="str">
        <f t="shared" si="5"/>
        <v>curl -X POST http://172.24.148.160:8001/upstreams/ups-v810-bes_acc_im006_fft_account_management/targets -d 'target=172.24.148.199:31206'</v>
      </c>
      <c r="Z36" t="str">
        <f t="shared" si="6"/>
        <v>curl -X POST http://172.24.148.160:8001/upstreams/ups-v810-bes_acc_im006_fft_account_management/targets -d 'target=172.24.148.200:31206'</v>
      </c>
    </row>
    <row r="37" spans="1:26">
      <c r="A37">
        <f>IF(ISNUMBER(SEARCH("rest_api",svc!R36)),1,0)</f>
        <v>1</v>
      </c>
      <c r="C37" t="str">
        <f>svc!D36</f>
        <v>trust</v>
      </c>
      <c r="D37" t="str">
        <f>svc!$B36</f>
        <v>v510</v>
      </c>
      <c r="E37">
        <f>svc!G36</f>
        <v>31207</v>
      </c>
      <c r="F37" t="str">
        <f>CONCATENATE("ups-",svc!$B36,"-",svc!I36)</f>
        <v>ups-v510-bes_acc_im007_fft_vehicle_pairing</v>
      </c>
      <c r="G37" t="str">
        <f>CONCATENATE("svc-",svc!$B36,"-",svc!I36)</f>
        <v>svc-v510-bes_acc_im007_fft_vehicle_pairing</v>
      </c>
      <c r="H37" t="str">
        <f>CONCATENATE("route-",VLOOKUP($D37,kong_np_var!$B$10:$D$16,2,FALSE),"-",svc!$B36,"-",svc!I36)</f>
        <v>route-v504-v510-bes_acc_im007_fft_vehicle_pairing</v>
      </c>
      <c r="I37" t="str">
        <f>CONCATENATE(VLOOKUP($D37,kong_np_var!$B$20:$H$26,SUBSTITUTE(I$1,"target_","") + 1,FALSE),":",$E37)</f>
        <v>172.24.148.131:31207</v>
      </c>
      <c r="J37" t="str">
        <f>CONCATENATE(VLOOKUP($D37,kong_np_var!$B$20:$H$26,SUBSTITUTE(J$1,"target_","") + 1,FALSE),":",$E37)</f>
        <v>172.24.148.132:31207</v>
      </c>
      <c r="K37" t="str">
        <f>CONCATENATE(VLOOKUP($D37,kong_np_var!$B$20:$H$26,SUBSTITUTE(K$1,"target_","") + 1,FALSE),":",$E37)</f>
        <v>172.24.148.133:31207</v>
      </c>
      <c r="L37" t="str">
        <f>IF($C37="dmz","",CONCATENATE(VLOOKUP($D37,kong_np_var!$B$20:$H$26,SUBSTITUTE(L$1,"target_","") + 1,FALSE),":",$E37))</f>
        <v>172.24.148.134:31207</v>
      </c>
      <c r="M37" t="str">
        <f>IF($C37="dmz","",CONCATENATE(VLOOKUP($D37,kong_np_var!$B$20:$H$26,SUBSTITUTE(M$1,"target_","") + 1,FALSE),":",$E37))</f>
        <v>172.24.148.135:31207</v>
      </c>
      <c r="N37" t="str">
        <f>IF($C37="dmz","",CONCATENATE(VLOOKUP($D37,kong_np_var!$B$20:$H$26,SUBSTITUTE(N$1,"target_","") + 1,FALSE),":",$E37))</f>
        <v>172.24.148.136:31207</v>
      </c>
      <c r="O37" t="str">
        <f>VLOOKUP($D37,kong_np_var!$B$10:$D$16,3,FALSE)</f>
        <v>172.24.149.183</v>
      </c>
      <c r="P37" t="str">
        <f>CONCATENATE("/",C37,MID(D37,2,15),"/",svc!$I36)</f>
        <v>/trust510/bes_acc_im007_fft_vehicle_pairing</v>
      </c>
      <c r="Q37" t="str">
        <f>VLOOKUP(C37,kong_np_var!$B$6:$C$7,2,FALSE)</f>
        <v>http://172.24.148.160:8001</v>
      </c>
      <c r="R37" t="str">
        <f>SUBSTITUTE(SUBSTITUTE(kong_np_var!$J$1,"&lt;upstream_name&gt;",$F37),"&lt;kong_api_url&gt;",$Q37)</f>
        <v>curl -X PUT http://172.24.148.160:8001/upstreams/ups-v510-bes_acc_im007_fft_vehicle_pairing</v>
      </c>
      <c r="S37" t="str">
        <f>SUBSTITUTE(SUBSTITUTE(SUBSTITUTE(SUBSTITUTE(kong_np_var!$J$2,"&lt;kong_api_url&gt;",$Q37),"&lt;upstream_name&gt;",$F37),"&lt;port&gt;",$E37),"&lt;service_name&gt;",$G37)</f>
        <v>curl -X PUT http://172.24.148.160:8001/services/svc-v510-bes_acc_im007_fft_vehicle_pairing -H "Content-Type: application/json" -d '{"protocol":"http","host":"ups-v510-bes_acc_im007_fft_vehicle_pairing","port":31207}'</v>
      </c>
      <c r="T37" t="str">
        <f>SUBSTITUTE(SUBSTITUTE(SUBSTITUTE(SUBSTITUTE(SUBSTITUTE(kong_np_var!$J$3,"&lt;kong_api_url&gt;",$Q37),"&lt;route_name&gt;",$H37),"&lt;service_name&gt;",$G37),"&lt;host&gt;",$O37),"&lt;path&gt;",$P37)</f>
        <v>curl -X PUT http://172.24.148.160:8001/services/svc-v510-bes_acc_im007_fft_vehicle_pairing/routes/route-v504-v510-bes_acc_im007_fft_vehicle_pairing -H "Content-Type: application/json" -d '{"protocols":["http"],"hosts":["172.24.149.183"],"paths":["/trust510/bes_acc_im007_fft_vehicle_pairing"]}'</v>
      </c>
      <c r="U37" t="str">
        <f t="shared" si="1"/>
        <v>curl -X POST http://172.24.148.160:8001/upstreams/ups-v510-bes_acc_im007_fft_vehicle_pairing/targets -d 'target=172.24.148.131:31207'</v>
      </c>
      <c r="V37" t="str">
        <f t="shared" si="2"/>
        <v>curl -X POST http://172.24.148.160:8001/upstreams/ups-v510-bes_acc_im007_fft_vehicle_pairing/targets -d 'target=172.24.148.132:31207'</v>
      </c>
      <c r="W37" t="str">
        <f t="shared" si="3"/>
        <v>curl -X POST http://172.24.148.160:8001/upstreams/ups-v510-bes_acc_im007_fft_vehicle_pairing/targets -d 'target=172.24.148.133:31207'</v>
      </c>
      <c r="X37" t="str">
        <f t="shared" si="4"/>
        <v>curl -X POST http://172.24.148.160:8001/upstreams/ups-v510-bes_acc_im007_fft_vehicle_pairing/targets -d 'target=172.24.148.134:31207'</v>
      </c>
      <c r="Y37" t="str">
        <f t="shared" si="5"/>
        <v>curl -X POST http://172.24.148.160:8001/upstreams/ups-v510-bes_acc_im007_fft_vehicle_pairing/targets -d 'target=172.24.148.135:31207'</v>
      </c>
      <c r="Z37" t="str">
        <f t="shared" si="6"/>
        <v>curl -X POST http://172.24.148.160:8001/upstreams/ups-v510-bes_acc_im007_fft_vehicle_pairing/targets -d 'target=172.24.148.136:31207'</v>
      </c>
    </row>
    <row r="38" spans="1:26">
      <c r="A38">
        <f>IF(ISNUMBER(SEARCH("rest_api",svc!R37)),1,0)</f>
        <v>1</v>
      </c>
      <c r="C38" t="str">
        <f>svc!D37</f>
        <v>trust</v>
      </c>
      <c r="D38" t="str">
        <f>svc!$B37</f>
        <v>v810</v>
      </c>
      <c r="E38">
        <f>svc!G37</f>
        <v>31207</v>
      </c>
      <c r="F38" t="str">
        <f>CONCATENATE("ups-",svc!$B37,"-",svc!I37)</f>
        <v>ups-v810-bes_acc_im007_fft_vehicle_pairing</v>
      </c>
      <c r="G38" t="str">
        <f>CONCATENATE("svc-",svc!$B37,"-",svc!I37)</f>
        <v>svc-v810-bes_acc_im007_fft_vehicle_pairing</v>
      </c>
      <c r="H38" t="str">
        <f>CONCATENATE("route-",VLOOKUP($D38,kong_np_var!$B$10:$D$16,2,FALSE),"-",svc!$B37,"-",svc!I37)</f>
        <v>route-v804-v810-bes_acc_im007_fft_vehicle_pairing</v>
      </c>
      <c r="I38" t="str">
        <f>CONCATENATE(VLOOKUP($D38,kong_np_var!$B$20:$H$26,SUBSTITUTE(I$1,"target_","") + 1,FALSE),":",$E38)</f>
        <v>172.24.148.195:31207</v>
      </c>
      <c r="J38" t="str">
        <f>CONCATENATE(VLOOKUP($D38,kong_np_var!$B$20:$H$26,SUBSTITUTE(J$1,"target_","") + 1,FALSE),":",$E38)</f>
        <v>172.24.148.196:31207</v>
      </c>
      <c r="K38" t="str">
        <f>CONCATENATE(VLOOKUP($D38,kong_np_var!$B$20:$H$26,SUBSTITUTE(K$1,"target_","") + 1,FALSE),":",$E38)</f>
        <v>172.24.148.197:31207</v>
      </c>
      <c r="L38" t="str">
        <f>IF($C38="dmz","",CONCATENATE(VLOOKUP($D38,kong_np_var!$B$20:$H$26,SUBSTITUTE(L$1,"target_","") + 1,FALSE),":",$E38))</f>
        <v>172.24.148.198:31207</v>
      </c>
      <c r="M38" t="str">
        <f>IF($C38="dmz","",CONCATENATE(VLOOKUP($D38,kong_np_var!$B$20:$H$26,SUBSTITUTE(M$1,"target_","") + 1,FALSE),":",$E38))</f>
        <v>172.24.148.199:31207</v>
      </c>
      <c r="N38" t="str">
        <f>IF($C38="dmz","",CONCATENATE(VLOOKUP($D38,kong_np_var!$B$20:$H$26,SUBSTITUTE(N$1,"target_","") + 1,FALSE),":",$E38))</f>
        <v>172.24.148.200:31207</v>
      </c>
      <c r="O38" t="str">
        <f>VLOOKUP($D38,kong_np_var!$B$10:$D$16,3,FALSE)</f>
        <v>172.24.149.151</v>
      </c>
      <c r="P38" t="str">
        <f>CONCATENATE("/",C38,MID(D38,2,15),"/",svc!$I37)</f>
        <v>/trust810/bes_acc_im007_fft_vehicle_pairing</v>
      </c>
      <c r="Q38" t="str">
        <f>VLOOKUP(C38,kong_np_var!$B$6:$C$7,2,FALSE)</f>
        <v>http://172.24.148.160:8001</v>
      </c>
      <c r="R38" t="str">
        <f>SUBSTITUTE(SUBSTITUTE(kong_np_var!$J$1,"&lt;upstream_name&gt;",$F38),"&lt;kong_api_url&gt;",$Q38)</f>
        <v>curl -X PUT http://172.24.148.160:8001/upstreams/ups-v810-bes_acc_im007_fft_vehicle_pairing</v>
      </c>
      <c r="S38" t="str">
        <f>SUBSTITUTE(SUBSTITUTE(SUBSTITUTE(SUBSTITUTE(kong_np_var!$J$2,"&lt;kong_api_url&gt;",$Q38),"&lt;upstream_name&gt;",$F38),"&lt;port&gt;",$E38),"&lt;service_name&gt;",$G38)</f>
        <v>curl -X PUT http://172.24.148.160:8001/services/svc-v810-bes_acc_im007_fft_vehicle_pairing -H "Content-Type: application/json" -d '{"protocol":"http","host":"ups-v810-bes_acc_im007_fft_vehicle_pairing","port":31207}'</v>
      </c>
      <c r="T38" t="str">
        <f>SUBSTITUTE(SUBSTITUTE(SUBSTITUTE(SUBSTITUTE(SUBSTITUTE(kong_np_var!$J$3,"&lt;kong_api_url&gt;",$Q38),"&lt;route_name&gt;",$H38),"&lt;service_name&gt;",$G38),"&lt;host&gt;",$O38),"&lt;path&gt;",$P38)</f>
        <v>curl -X PUT http://172.24.148.160:8001/services/svc-v810-bes_acc_im007_fft_vehicle_pairing/routes/route-v804-v810-bes_acc_im007_fft_vehicle_pairing -H "Content-Type: application/json" -d '{"protocols":["http"],"hosts":["172.24.149.151"],"paths":["/trust810/bes_acc_im007_fft_vehicle_pairing"]}'</v>
      </c>
      <c r="U38" t="str">
        <f t="shared" si="1"/>
        <v>curl -X POST http://172.24.148.160:8001/upstreams/ups-v810-bes_acc_im007_fft_vehicle_pairing/targets -d 'target=172.24.148.195:31207'</v>
      </c>
      <c r="V38" t="str">
        <f t="shared" si="2"/>
        <v>curl -X POST http://172.24.148.160:8001/upstreams/ups-v810-bes_acc_im007_fft_vehicle_pairing/targets -d 'target=172.24.148.196:31207'</v>
      </c>
      <c r="W38" t="str">
        <f t="shared" si="3"/>
        <v>curl -X POST http://172.24.148.160:8001/upstreams/ups-v810-bes_acc_im007_fft_vehicle_pairing/targets -d 'target=172.24.148.197:31207'</v>
      </c>
      <c r="X38" t="str">
        <f t="shared" si="4"/>
        <v>curl -X POST http://172.24.148.160:8001/upstreams/ups-v810-bes_acc_im007_fft_vehicle_pairing/targets -d 'target=172.24.148.198:31207'</v>
      </c>
      <c r="Y38" t="str">
        <f t="shared" si="5"/>
        <v>curl -X POST http://172.24.148.160:8001/upstreams/ups-v810-bes_acc_im007_fft_vehicle_pairing/targets -d 'target=172.24.148.199:31207'</v>
      </c>
      <c r="Z38" t="str">
        <f t="shared" si="6"/>
        <v>curl -X POST http://172.24.148.160:8001/upstreams/ups-v810-bes_acc_im007_fft_vehicle_pairing/targets -d 'target=172.24.148.200:31207'</v>
      </c>
    </row>
    <row r="39" spans="1:26">
      <c r="A39">
        <f>IF(ISNUMBER(SEARCH("rest_api",svc!R38)),1,0)</f>
        <v>1</v>
      </c>
      <c r="C39" t="str">
        <f>svc!D38</f>
        <v>trust</v>
      </c>
      <c r="D39" t="str">
        <f>svc!$B38</f>
        <v>v510</v>
      </c>
      <c r="E39">
        <f>svc!G38</f>
        <v>31208</v>
      </c>
      <c r="F39" t="str">
        <f>CONCATENATE("ups-",svc!$B38,"-",svc!I38)</f>
        <v>ups-v510-bes_acc_im008_fft_tag_management</v>
      </c>
      <c r="G39" t="str">
        <f>CONCATENATE("svc-",svc!$B38,"-",svc!I38)</f>
        <v>svc-v510-bes_acc_im008_fft_tag_management</v>
      </c>
      <c r="H39" t="str">
        <f>CONCATENATE("route-",VLOOKUP($D39,kong_np_var!$B$10:$D$16,2,FALSE),"-",svc!$B38,"-",svc!I38)</f>
        <v>route-v504-v510-bes_acc_im008_fft_tag_management</v>
      </c>
      <c r="I39" t="str">
        <f>CONCATENATE(VLOOKUP($D39,kong_np_var!$B$20:$H$26,SUBSTITUTE(I$1,"target_","") + 1,FALSE),":",$E39)</f>
        <v>172.24.148.131:31208</v>
      </c>
      <c r="J39" t="str">
        <f>CONCATENATE(VLOOKUP($D39,kong_np_var!$B$20:$H$26,SUBSTITUTE(J$1,"target_","") + 1,FALSE),":",$E39)</f>
        <v>172.24.148.132:31208</v>
      </c>
      <c r="K39" t="str">
        <f>CONCATENATE(VLOOKUP($D39,kong_np_var!$B$20:$H$26,SUBSTITUTE(K$1,"target_","") + 1,FALSE),":",$E39)</f>
        <v>172.24.148.133:31208</v>
      </c>
      <c r="L39" t="str">
        <f>IF($C39="dmz","",CONCATENATE(VLOOKUP($D39,kong_np_var!$B$20:$H$26,SUBSTITUTE(L$1,"target_","") + 1,FALSE),":",$E39))</f>
        <v>172.24.148.134:31208</v>
      </c>
      <c r="M39" t="str">
        <f>IF($C39="dmz","",CONCATENATE(VLOOKUP($D39,kong_np_var!$B$20:$H$26,SUBSTITUTE(M$1,"target_","") + 1,FALSE),":",$E39))</f>
        <v>172.24.148.135:31208</v>
      </c>
      <c r="N39" t="str">
        <f>IF($C39="dmz","",CONCATENATE(VLOOKUP($D39,kong_np_var!$B$20:$H$26,SUBSTITUTE(N$1,"target_","") + 1,FALSE),":",$E39))</f>
        <v>172.24.148.136:31208</v>
      </c>
      <c r="O39" t="str">
        <f>VLOOKUP($D39,kong_np_var!$B$10:$D$16,3,FALSE)</f>
        <v>172.24.149.183</v>
      </c>
      <c r="P39" t="str">
        <f>CONCATENATE("/",C39,MID(D39,2,15),"/",svc!$I38)</f>
        <v>/trust510/bes_acc_im008_fft_tag_management</v>
      </c>
      <c r="Q39" t="str">
        <f>VLOOKUP(C39,kong_np_var!$B$6:$C$7,2,FALSE)</f>
        <v>http://172.24.148.160:8001</v>
      </c>
      <c r="R39" t="str">
        <f>SUBSTITUTE(SUBSTITUTE(kong_np_var!$J$1,"&lt;upstream_name&gt;",$F39),"&lt;kong_api_url&gt;",$Q39)</f>
        <v>curl -X PUT http://172.24.148.160:8001/upstreams/ups-v510-bes_acc_im008_fft_tag_management</v>
      </c>
      <c r="S39" t="str">
        <f>SUBSTITUTE(SUBSTITUTE(SUBSTITUTE(SUBSTITUTE(kong_np_var!$J$2,"&lt;kong_api_url&gt;",$Q39),"&lt;upstream_name&gt;",$F39),"&lt;port&gt;",$E39),"&lt;service_name&gt;",$G39)</f>
        <v>curl -X PUT http://172.24.148.160:8001/services/svc-v510-bes_acc_im008_fft_tag_management -H "Content-Type: application/json" -d '{"protocol":"http","host":"ups-v510-bes_acc_im008_fft_tag_management","port":31208}'</v>
      </c>
      <c r="T39" t="str">
        <f>SUBSTITUTE(SUBSTITUTE(SUBSTITUTE(SUBSTITUTE(SUBSTITUTE(kong_np_var!$J$3,"&lt;kong_api_url&gt;",$Q39),"&lt;route_name&gt;",$H39),"&lt;service_name&gt;",$G39),"&lt;host&gt;",$O39),"&lt;path&gt;",$P39)</f>
        <v>curl -X PUT http://172.24.148.160:8001/services/svc-v510-bes_acc_im008_fft_tag_management/routes/route-v504-v510-bes_acc_im008_fft_tag_management -H "Content-Type: application/json" -d '{"protocols":["http"],"hosts":["172.24.149.183"],"paths":["/trust510/bes_acc_im008_fft_tag_management"]}'</v>
      </c>
      <c r="U39" t="str">
        <f t="shared" si="1"/>
        <v>curl -X POST http://172.24.148.160:8001/upstreams/ups-v510-bes_acc_im008_fft_tag_management/targets -d 'target=172.24.148.131:31208'</v>
      </c>
      <c r="V39" t="str">
        <f t="shared" si="2"/>
        <v>curl -X POST http://172.24.148.160:8001/upstreams/ups-v510-bes_acc_im008_fft_tag_management/targets -d 'target=172.24.148.132:31208'</v>
      </c>
      <c r="W39" t="str">
        <f t="shared" si="3"/>
        <v>curl -X POST http://172.24.148.160:8001/upstreams/ups-v510-bes_acc_im008_fft_tag_management/targets -d 'target=172.24.148.133:31208'</v>
      </c>
      <c r="X39" t="str">
        <f t="shared" si="4"/>
        <v>curl -X POST http://172.24.148.160:8001/upstreams/ups-v510-bes_acc_im008_fft_tag_management/targets -d 'target=172.24.148.134:31208'</v>
      </c>
      <c r="Y39" t="str">
        <f t="shared" si="5"/>
        <v>curl -X POST http://172.24.148.160:8001/upstreams/ups-v510-bes_acc_im008_fft_tag_management/targets -d 'target=172.24.148.135:31208'</v>
      </c>
      <c r="Z39" t="str">
        <f t="shared" si="6"/>
        <v>curl -X POST http://172.24.148.160:8001/upstreams/ups-v510-bes_acc_im008_fft_tag_management/targets -d 'target=172.24.148.136:31208'</v>
      </c>
    </row>
    <row r="40" spans="1:26">
      <c r="A40">
        <f>IF(ISNUMBER(SEARCH("rest_api",svc!R39)),1,0)</f>
        <v>1</v>
      </c>
      <c r="C40" t="str">
        <f>svc!D39</f>
        <v>trust</v>
      </c>
      <c r="D40" t="str">
        <f>svc!$B39</f>
        <v>v810</v>
      </c>
      <c r="E40">
        <f>svc!G39</f>
        <v>31208</v>
      </c>
      <c r="F40" t="str">
        <f>CONCATENATE("ups-",svc!$B39,"-",svc!I39)</f>
        <v>ups-v810-bes_acc_im008_fft_tag_management</v>
      </c>
      <c r="G40" t="str">
        <f>CONCATENATE("svc-",svc!$B39,"-",svc!I39)</f>
        <v>svc-v810-bes_acc_im008_fft_tag_management</v>
      </c>
      <c r="H40" t="str">
        <f>CONCATENATE("route-",VLOOKUP($D40,kong_np_var!$B$10:$D$16,2,FALSE),"-",svc!$B39,"-",svc!I39)</f>
        <v>route-v804-v810-bes_acc_im008_fft_tag_management</v>
      </c>
      <c r="I40" t="str">
        <f>CONCATENATE(VLOOKUP($D40,kong_np_var!$B$20:$H$26,SUBSTITUTE(I$1,"target_","") + 1,FALSE),":",$E40)</f>
        <v>172.24.148.195:31208</v>
      </c>
      <c r="J40" t="str">
        <f>CONCATENATE(VLOOKUP($D40,kong_np_var!$B$20:$H$26,SUBSTITUTE(J$1,"target_","") + 1,FALSE),":",$E40)</f>
        <v>172.24.148.196:31208</v>
      </c>
      <c r="K40" t="str">
        <f>CONCATENATE(VLOOKUP($D40,kong_np_var!$B$20:$H$26,SUBSTITUTE(K$1,"target_","") + 1,FALSE),":",$E40)</f>
        <v>172.24.148.197:31208</v>
      </c>
      <c r="L40" t="str">
        <f>IF($C40="dmz","",CONCATENATE(VLOOKUP($D40,kong_np_var!$B$20:$H$26,SUBSTITUTE(L$1,"target_","") + 1,FALSE),":",$E40))</f>
        <v>172.24.148.198:31208</v>
      </c>
      <c r="M40" t="str">
        <f>IF($C40="dmz","",CONCATENATE(VLOOKUP($D40,kong_np_var!$B$20:$H$26,SUBSTITUTE(M$1,"target_","") + 1,FALSE),":",$E40))</f>
        <v>172.24.148.199:31208</v>
      </c>
      <c r="N40" t="str">
        <f>IF($C40="dmz","",CONCATENATE(VLOOKUP($D40,kong_np_var!$B$20:$H$26,SUBSTITUTE(N$1,"target_","") + 1,FALSE),":",$E40))</f>
        <v>172.24.148.200:31208</v>
      </c>
      <c r="O40" t="str">
        <f>VLOOKUP($D40,kong_np_var!$B$10:$D$16,3,FALSE)</f>
        <v>172.24.149.151</v>
      </c>
      <c r="P40" t="str">
        <f>CONCATENATE("/",C40,MID(D40,2,15),"/",svc!$I39)</f>
        <v>/trust810/bes_acc_im008_fft_tag_management</v>
      </c>
      <c r="Q40" t="str">
        <f>VLOOKUP(C40,kong_np_var!$B$6:$C$7,2,FALSE)</f>
        <v>http://172.24.148.160:8001</v>
      </c>
      <c r="R40" t="str">
        <f>SUBSTITUTE(SUBSTITUTE(kong_np_var!$J$1,"&lt;upstream_name&gt;",$F40),"&lt;kong_api_url&gt;",$Q40)</f>
        <v>curl -X PUT http://172.24.148.160:8001/upstreams/ups-v810-bes_acc_im008_fft_tag_management</v>
      </c>
      <c r="S40" t="str">
        <f>SUBSTITUTE(SUBSTITUTE(SUBSTITUTE(SUBSTITUTE(kong_np_var!$J$2,"&lt;kong_api_url&gt;",$Q40),"&lt;upstream_name&gt;",$F40),"&lt;port&gt;",$E40),"&lt;service_name&gt;",$G40)</f>
        <v>curl -X PUT http://172.24.148.160:8001/services/svc-v810-bes_acc_im008_fft_tag_management -H "Content-Type: application/json" -d '{"protocol":"http","host":"ups-v810-bes_acc_im008_fft_tag_management","port":31208}'</v>
      </c>
      <c r="T40" t="str">
        <f>SUBSTITUTE(SUBSTITUTE(SUBSTITUTE(SUBSTITUTE(SUBSTITUTE(kong_np_var!$J$3,"&lt;kong_api_url&gt;",$Q40),"&lt;route_name&gt;",$H40),"&lt;service_name&gt;",$G40),"&lt;host&gt;",$O40),"&lt;path&gt;",$P40)</f>
        <v>curl -X PUT http://172.24.148.160:8001/services/svc-v810-bes_acc_im008_fft_tag_management/routes/route-v804-v810-bes_acc_im008_fft_tag_management -H "Content-Type: application/json" -d '{"protocols":["http"],"hosts":["172.24.149.151"],"paths":["/trust810/bes_acc_im008_fft_tag_management"]}'</v>
      </c>
      <c r="U40" t="str">
        <f t="shared" si="1"/>
        <v>curl -X POST http://172.24.148.160:8001/upstreams/ups-v810-bes_acc_im008_fft_tag_management/targets -d 'target=172.24.148.195:31208'</v>
      </c>
      <c r="V40" t="str">
        <f t="shared" si="2"/>
        <v>curl -X POST http://172.24.148.160:8001/upstreams/ups-v810-bes_acc_im008_fft_tag_management/targets -d 'target=172.24.148.196:31208'</v>
      </c>
      <c r="W40" t="str">
        <f t="shared" si="3"/>
        <v>curl -X POST http://172.24.148.160:8001/upstreams/ups-v810-bes_acc_im008_fft_tag_management/targets -d 'target=172.24.148.197:31208'</v>
      </c>
      <c r="X40" t="str">
        <f t="shared" si="4"/>
        <v>curl -X POST http://172.24.148.160:8001/upstreams/ups-v810-bes_acc_im008_fft_tag_management/targets -d 'target=172.24.148.198:31208'</v>
      </c>
      <c r="Y40" t="str">
        <f t="shared" si="5"/>
        <v>curl -X POST http://172.24.148.160:8001/upstreams/ups-v810-bes_acc_im008_fft_tag_management/targets -d 'target=172.24.148.199:31208'</v>
      </c>
      <c r="Z40" t="str">
        <f t="shared" si="6"/>
        <v>curl -X POST http://172.24.148.160:8001/upstreams/ups-v810-bes_acc_im008_fft_tag_management/targets -d 'target=172.24.148.200:31208'</v>
      </c>
    </row>
    <row r="41" spans="1:26">
      <c r="A41">
        <f>IF(ISNUMBER(SEARCH("rest_api",svc!R40)),1,0)</f>
        <v>1</v>
      </c>
      <c r="C41" t="str">
        <f>svc!D40</f>
        <v>trust</v>
      </c>
      <c r="D41" t="str">
        <f>svc!$B40</f>
        <v>v510</v>
      </c>
      <c r="E41">
        <f>svc!G40</f>
        <v>31209</v>
      </c>
      <c r="F41" t="str">
        <f>CONCATENATE("ups-",svc!$B40,"-",svc!I40)</f>
        <v>ups-v510-bes_acc_im009_fft_payment_and_billing</v>
      </c>
      <c r="G41" t="str">
        <f>CONCATENATE("svc-",svc!$B40,"-",svc!I40)</f>
        <v>svc-v510-bes_acc_im009_fft_payment_and_billing</v>
      </c>
      <c r="H41" t="str">
        <f>CONCATENATE("route-",VLOOKUP($D41,kong_np_var!$B$10:$D$16,2,FALSE),"-",svc!$B40,"-",svc!I40)</f>
        <v>route-v504-v510-bes_acc_im009_fft_payment_and_billing</v>
      </c>
      <c r="I41" t="str">
        <f>CONCATENATE(VLOOKUP($D41,kong_np_var!$B$20:$H$26,SUBSTITUTE(I$1,"target_","") + 1,FALSE),":",$E41)</f>
        <v>172.24.148.131:31209</v>
      </c>
      <c r="J41" t="str">
        <f>CONCATENATE(VLOOKUP($D41,kong_np_var!$B$20:$H$26,SUBSTITUTE(J$1,"target_","") + 1,FALSE),":",$E41)</f>
        <v>172.24.148.132:31209</v>
      </c>
      <c r="K41" t="str">
        <f>CONCATENATE(VLOOKUP($D41,kong_np_var!$B$20:$H$26,SUBSTITUTE(K$1,"target_","") + 1,FALSE),":",$E41)</f>
        <v>172.24.148.133:31209</v>
      </c>
      <c r="L41" t="str">
        <f>IF($C41="dmz","",CONCATENATE(VLOOKUP($D41,kong_np_var!$B$20:$H$26,SUBSTITUTE(L$1,"target_","") + 1,FALSE),":",$E41))</f>
        <v>172.24.148.134:31209</v>
      </c>
      <c r="M41" t="str">
        <f>IF($C41="dmz","",CONCATENATE(VLOOKUP($D41,kong_np_var!$B$20:$H$26,SUBSTITUTE(M$1,"target_","") + 1,FALSE),":",$E41))</f>
        <v>172.24.148.135:31209</v>
      </c>
      <c r="N41" t="str">
        <f>IF($C41="dmz","",CONCATENATE(VLOOKUP($D41,kong_np_var!$B$20:$H$26,SUBSTITUTE(N$1,"target_","") + 1,FALSE),":",$E41))</f>
        <v>172.24.148.136:31209</v>
      </c>
      <c r="O41" t="str">
        <f>VLOOKUP($D41,kong_np_var!$B$10:$D$16,3,FALSE)</f>
        <v>172.24.149.183</v>
      </c>
      <c r="P41" t="str">
        <f>CONCATENATE("/",C41,MID(D41,2,15),"/",svc!$I40)</f>
        <v>/trust510/bes_acc_im009_fft_payment_and_billing</v>
      </c>
      <c r="Q41" t="str">
        <f>VLOOKUP(C41,kong_np_var!$B$6:$C$7,2,FALSE)</f>
        <v>http://172.24.148.160:8001</v>
      </c>
      <c r="R41" t="str">
        <f>SUBSTITUTE(SUBSTITUTE(kong_np_var!$J$1,"&lt;upstream_name&gt;",$F41),"&lt;kong_api_url&gt;",$Q41)</f>
        <v>curl -X PUT http://172.24.148.160:8001/upstreams/ups-v510-bes_acc_im009_fft_payment_and_billing</v>
      </c>
      <c r="S41" t="str">
        <f>SUBSTITUTE(SUBSTITUTE(SUBSTITUTE(SUBSTITUTE(kong_np_var!$J$2,"&lt;kong_api_url&gt;",$Q41),"&lt;upstream_name&gt;",$F41),"&lt;port&gt;",$E41),"&lt;service_name&gt;",$G41)</f>
        <v>curl -X PUT http://172.24.148.160:8001/services/svc-v510-bes_acc_im009_fft_payment_and_billing -H "Content-Type: application/json" -d '{"protocol":"http","host":"ups-v510-bes_acc_im009_fft_payment_and_billing","port":31209}'</v>
      </c>
      <c r="T41" t="str">
        <f>SUBSTITUTE(SUBSTITUTE(SUBSTITUTE(SUBSTITUTE(SUBSTITUTE(kong_np_var!$J$3,"&lt;kong_api_url&gt;",$Q41),"&lt;route_name&gt;",$H41),"&lt;service_name&gt;",$G41),"&lt;host&gt;",$O41),"&lt;path&gt;",$P41)</f>
        <v>curl -X PUT http://172.24.148.160:8001/services/svc-v510-bes_acc_im009_fft_payment_and_billing/routes/route-v504-v510-bes_acc_im009_fft_payment_and_billing -H "Content-Type: application/json" -d '{"protocols":["http"],"hosts":["172.24.149.183"],"paths":["/trust510/bes_acc_im009_fft_payment_and_billing"]}'</v>
      </c>
      <c r="U41" t="str">
        <f t="shared" si="1"/>
        <v>curl -X POST http://172.24.148.160:8001/upstreams/ups-v510-bes_acc_im009_fft_payment_and_billing/targets -d 'target=172.24.148.131:31209'</v>
      </c>
      <c r="V41" t="str">
        <f t="shared" si="2"/>
        <v>curl -X POST http://172.24.148.160:8001/upstreams/ups-v510-bes_acc_im009_fft_payment_and_billing/targets -d 'target=172.24.148.132:31209'</v>
      </c>
      <c r="W41" t="str">
        <f t="shared" si="3"/>
        <v>curl -X POST http://172.24.148.160:8001/upstreams/ups-v510-bes_acc_im009_fft_payment_and_billing/targets -d 'target=172.24.148.133:31209'</v>
      </c>
      <c r="X41" t="str">
        <f t="shared" si="4"/>
        <v>curl -X POST http://172.24.148.160:8001/upstreams/ups-v510-bes_acc_im009_fft_payment_and_billing/targets -d 'target=172.24.148.134:31209'</v>
      </c>
      <c r="Y41" t="str">
        <f t="shared" si="5"/>
        <v>curl -X POST http://172.24.148.160:8001/upstreams/ups-v510-bes_acc_im009_fft_payment_and_billing/targets -d 'target=172.24.148.135:31209'</v>
      </c>
      <c r="Z41" t="str">
        <f t="shared" si="6"/>
        <v>curl -X POST http://172.24.148.160:8001/upstreams/ups-v510-bes_acc_im009_fft_payment_and_billing/targets -d 'target=172.24.148.136:31209'</v>
      </c>
    </row>
    <row r="42" spans="1:26">
      <c r="A42">
        <f>IF(ISNUMBER(SEARCH("rest_api",svc!R41)),1,0)</f>
        <v>1</v>
      </c>
      <c r="C42" t="str">
        <f>svc!D41</f>
        <v>trust</v>
      </c>
      <c r="D42" t="str">
        <f>svc!$B41</f>
        <v>v810</v>
      </c>
      <c r="E42">
        <f>svc!G41</f>
        <v>31209</v>
      </c>
      <c r="F42" t="str">
        <f>CONCATENATE("ups-",svc!$B41,"-",svc!I41)</f>
        <v>ups-v810-bes_acc_im009_fft_payment_and_billing</v>
      </c>
      <c r="G42" t="str">
        <f>CONCATENATE("svc-",svc!$B41,"-",svc!I41)</f>
        <v>svc-v810-bes_acc_im009_fft_payment_and_billing</v>
      </c>
      <c r="H42" t="str">
        <f>CONCATENATE("route-",VLOOKUP($D42,kong_np_var!$B$10:$D$16,2,FALSE),"-",svc!$B41,"-",svc!I41)</f>
        <v>route-v804-v810-bes_acc_im009_fft_payment_and_billing</v>
      </c>
      <c r="I42" t="str">
        <f>CONCATENATE(VLOOKUP($D42,kong_np_var!$B$20:$H$26,SUBSTITUTE(I$1,"target_","") + 1,FALSE),":",$E42)</f>
        <v>172.24.148.195:31209</v>
      </c>
      <c r="J42" t="str">
        <f>CONCATENATE(VLOOKUP($D42,kong_np_var!$B$20:$H$26,SUBSTITUTE(J$1,"target_","") + 1,FALSE),":",$E42)</f>
        <v>172.24.148.196:31209</v>
      </c>
      <c r="K42" t="str">
        <f>CONCATENATE(VLOOKUP($D42,kong_np_var!$B$20:$H$26,SUBSTITUTE(K$1,"target_","") + 1,FALSE),":",$E42)</f>
        <v>172.24.148.197:31209</v>
      </c>
      <c r="L42" t="str">
        <f>IF($C42="dmz","",CONCATENATE(VLOOKUP($D42,kong_np_var!$B$20:$H$26,SUBSTITUTE(L$1,"target_","") + 1,FALSE),":",$E42))</f>
        <v>172.24.148.198:31209</v>
      </c>
      <c r="M42" t="str">
        <f>IF($C42="dmz","",CONCATENATE(VLOOKUP($D42,kong_np_var!$B$20:$H$26,SUBSTITUTE(M$1,"target_","") + 1,FALSE),":",$E42))</f>
        <v>172.24.148.199:31209</v>
      </c>
      <c r="N42" t="str">
        <f>IF($C42="dmz","",CONCATENATE(VLOOKUP($D42,kong_np_var!$B$20:$H$26,SUBSTITUTE(N$1,"target_","") + 1,FALSE),":",$E42))</f>
        <v>172.24.148.200:31209</v>
      </c>
      <c r="O42" t="str">
        <f>VLOOKUP($D42,kong_np_var!$B$10:$D$16,3,FALSE)</f>
        <v>172.24.149.151</v>
      </c>
      <c r="P42" t="str">
        <f>CONCATENATE("/",C42,MID(D42,2,15),"/",svc!$I41)</f>
        <v>/trust810/bes_acc_im009_fft_payment_and_billing</v>
      </c>
      <c r="Q42" t="str">
        <f>VLOOKUP(C42,kong_np_var!$B$6:$C$7,2,FALSE)</f>
        <v>http://172.24.148.160:8001</v>
      </c>
      <c r="R42" t="str">
        <f>SUBSTITUTE(SUBSTITUTE(kong_np_var!$J$1,"&lt;upstream_name&gt;",$F42),"&lt;kong_api_url&gt;",$Q42)</f>
        <v>curl -X PUT http://172.24.148.160:8001/upstreams/ups-v810-bes_acc_im009_fft_payment_and_billing</v>
      </c>
      <c r="S42" t="str">
        <f>SUBSTITUTE(SUBSTITUTE(SUBSTITUTE(SUBSTITUTE(kong_np_var!$J$2,"&lt;kong_api_url&gt;",$Q42),"&lt;upstream_name&gt;",$F42),"&lt;port&gt;",$E42),"&lt;service_name&gt;",$G42)</f>
        <v>curl -X PUT http://172.24.148.160:8001/services/svc-v810-bes_acc_im009_fft_payment_and_billing -H "Content-Type: application/json" -d '{"protocol":"http","host":"ups-v810-bes_acc_im009_fft_payment_and_billing","port":31209}'</v>
      </c>
      <c r="T42" t="str">
        <f>SUBSTITUTE(SUBSTITUTE(SUBSTITUTE(SUBSTITUTE(SUBSTITUTE(kong_np_var!$J$3,"&lt;kong_api_url&gt;",$Q42),"&lt;route_name&gt;",$H42),"&lt;service_name&gt;",$G42),"&lt;host&gt;",$O42),"&lt;path&gt;",$P42)</f>
        <v>curl -X PUT http://172.24.148.160:8001/services/svc-v810-bes_acc_im009_fft_payment_and_billing/routes/route-v804-v810-bes_acc_im009_fft_payment_and_billing -H "Content-Type: application/json" -d '{"protocols":["http"],"hosts":["172.24.149.151"],"paths":["/trust810/bes_acc_im009_fft_payment_and_billing"]}'</v>
      </c>
      <c r="U42" t="str">
        <f t="shared" si="1"/>
        <v>curl -X POST http://172.24.148.160:8001/upstreams/ups-v810-bes_acc_im009_fft_payment_and_billing/targets -d 'target=172.24.148.195:31209'</v>
      </c>
      <c r="V42" t="str">
        <f t="shared" si="2"/>
        <v>curl -X POST http://172.24.148.160:8001/upstreams/ups-v810-bes_acc_im009_fft_payment_and_billing/targets -d 'target=172.24.148.196:31209'</v>
      </c>
      <c r="W42" t="str">
        <f t="shared" si="3"/>
        <v>curl -X POST http://172.24.148.160:8001/upstreams/ups-v810-bes_acc_im009_fft_payment_and_billing/targets -d 'target=172.24.148.197:31209'</v>
      </c>
      <c r="X42" t="str">
        <f t="shared" si="4"/>
        <v>curl -X POST http://172.24.148.160:8001/upstreams/ups-v810-bes_acc_im009_fft_payment_and_billing/targets -d 'target=172.24.148.198:31209'</v>
      </c>
      <c r="Y42" t="str">
        <f t="shared" si="5"/>
        <v>curl -X POST http://172.24.148.160:8001/upstreams/ups-v810-bes_acc_im009_fft_payment_and_billing/targets -d 'target=172.24.148.199:31209'</v>
      </c>
      <c r="Z42" t="str">
        <f t="shared" si="6"/>
        <v>curl -X POST http://172.24.148.160:8001/upstreams/ups-v810-bes_acc_im009_fft_payment_and_billing/targets -d 'target=172.24.148.200:31209'</v>
      </c>
    </row>
    <row r="43" spans="1:26">
      <c r="A43">
        <f>IF(ISNUMBER(SEARCH("rest_api",svc!R42)),1,0)</f>
        <v>1</v>
      </c>
      <c r="C43" t="str">
        <f>svc!D42</f>
        <v>trust</v>
      </c>
      <c r="D43" t="str">
        <f>svc!$B42</f>
        <v>v510</v>
      </c>
      <c r="E43">
        <f>svc!G42</f>
        <v>31210</v>
      </c>
      <c r="F43" t="str">
        <f>CONCATENATE("ups-",svc!$B42,"-",svc!I42)</f>
        <v>ups-v510-bes_acc_im010_fft_transaction</v>
      </c>
      <c r="G43" t="str">
        <f>CONCATENATE("svc-",svc!$B42,"-",svc!I42)</f>
        <v>svc-v510-bes_acc_im010_fft_transaction</v>
      </c>
      <c r="H43" t="str">
        <f>CONCATENATE("route-",VLOOKUP($D43,kong_np_var!$B$10:$D$16,2,FALSE),"-",svc!$B42,"-",svc!I42)</f>
        <v>route-v504-v510-bes_acc_im010_fft_transaction</v>
      </c>
      <c r="I43" t="str">
        <f>CONCATENATE(VLOOKUP($D43,kong_np_var!$B$20:$H$26,SUBSTITUTE(I$1,"target_","") + 1,FALSE),":",$E43)</f>
        <v>172.24.148.131:31210</v>
      </c>
      <c r="J43" t="str">
        <f>CONCATENATE(VLOOKUP($D43,kong_np_var!$B$20:$H$26,SUBSTITUTE(J$1,"target_","") + 1,FALSE),":",$E43)</f>
        <v>172.24.148.132:31210</v>
      </c>
      <c r="K43" t="str">
        <f>CONCATENATE(VLOOKUP($D43,kong_np_var!$B$20:$H$26,SUBSTITUTE(K$1,"target_","") + 1,FALSE),":",$E43)</f>
        <v>172.24.148.133:31210</v>
      </c>
      <c r="L43" t="str">
        <f>IF($C43="dmz","",CONCATENATE(VLOOKUP($D43,kong_np_var!$B$20:$H$26,SUBSTITUTE(L$1,"target_","") + 1,FALSE),":",$E43))</f>
        <v>172.24.148.134:31210</v>
      </c>
      <c r="M43" t="str">
        <f>IF($C43="dmz","",CONCATENATE(VLOOKUP($D43,kong_np_var!$B$20:$H$26,SUBSTITUTE(M$1,"target_","") + 1,FALSE),":",$E43))</f>
        <v>172.24.148.135:31210</v>
      </c>
      <c r="N43" t="str">
        <f>IF($C43="dmz","",CONCATENATE(VLOOKUP($D43,kong_np_var!$B$20:$H$26,SUBSTITUTE(N$1,"target_","") + 1,FALSE),":",$E43))</f>
        <v>172.24.148.136:31210</v>
      </c>
      <c r="O43" t="str">
        <f>VLOOKUP($D43,kong_np_var!$B$10:$D$16,3,FALSE)</f>
        <v>172.24.149.183</v>
      </c>
      <c r="P43" t="str">
        <f>CONCATENATE("/",C43,MID(D43,2,15),"/",svc!$I42)</f>
        <v>/trust510/bes_acc_im010_fft_transaction</v>
      </c>
      <c r="Q43" t="str">
        <f>VLOOKUP(C43,kong_np_var!$B$6:$C$7,2,FALSE)</f>
        <v>http://172.24.148.160:8001</v>
      </c>
      <c r="R43" t="str">
        <f>SUBSTITUTE(SUBSTITUTE(kong_np_var!$J$1,"&lt;upstream_name&gt;",$F43),"&lt;kong_api_url&gt;",$Q43)</f>
        <v>curl -X PUT http://172.24.148.160:8001/upstreams/ups-v510-bes_acc_im010_fft_transaction</v>
      </c>
      <c r="S43" t="str">
        <f>SUBSTITUTE(SUBSTITUTE(SUBSTITUTE(SUBSTITUTE(kong_np_var!$J$2,"&lt;kong_api_url&gt;",$Q43),"&lt;upstream_name&gt;",$F43),"&lt;port&gt;",$E43),"&lt;service_name&gt;",$G43)</f>
        <v>curl -X PUT http://172.24.148.160:8001/services/svc-v510-bes_acc_im010_fft_transaction -H "Content-Type: application/json" -d '{"protocol":"http","host":"ups-v510-bes_acc_im010_fft_transaction","port":31210}'</v>
      </c>
      <c r="T43" t="str">
        <f>SUBSTITUTE(SUBSTITUTE(SUBSTITUTE(SUBSTITUTE(SUBSTITUTE(kong_np_var!$J$3,"&lt;kong_api_url&gt;",$Q43),"&lt;route_name&gt;",$H43),"&lt;service_name&gt;",$G43),"&lt;host&gt;",$O43),"&lt;path&gt;",$P43)</f>
        <v>curl -X PUT http://172.24.148.160:8001/services/svc-v510-bes_acc_im010_fft_transaction/routes/route-v504-v510-bes_acc_im010_fft_transaction -H "Content-Type: application/json" -d '{"protocols":["http"],"hosts":["172.24.149.183"],"paths":["/trust510/bes_acc_im010_fft_transaction"]}'</v>
      </c>
      <c r="U43" t="str">
        <f t="shared" si="1"/>
        <v>curl -X POST http://172.24.148.160:8001/upstreams/ups-v510-bes_acc_im010_fft_transaction/targets -d 'target=172.24.148.131:31210'</v>
      </c>
      <c r="V43" t="str">
        <f t="shared" si="2"/>
        <v>curl -X POST http://172.24.148.160:8001/upstreams/ups-v510-bes_acc_im010_fft_transaction/targets -d 'target=172.24.148.132:31210'</v>
      </c>
      <c r="W43" t="str">
        <f t="shared" si="3"/>
        <v>curl -X POST http://172.24.148.160:8001/upstreams/ups-v510-bes_acc_im010_fft_transaction/targets -d 'target=172.24.148.133:31210'</v>
      </c>
      <c r="X43" t="str">
        <f t="shared" si="4"/>
        <v>curl -X POST http://172.24.148.160:8001/upstreams/ups-v510-bes_acc_im010_fft_transaction/targets -d 'target=172.24.148.134:31210'</v>
      </c>
      <c r="Y43" t="str">
        <f t="shared" si="5"/>
        <v>curl -X POST http://172.24.148.160:8001/upstreams/ups-v510-bes_acc_im010_fft_transaction/targets -d 'target=172.24.148.135:31210'</v>
      </c>
      <c r="Z43" t="str">
        <f t="shared" si="6"/>
        <v>curl -X POST http://172.24.148.160:8001/upstreams/ups-v510-bes_acc_im010_fft_transaction/targets -d 'target=172.24.148.136:31210'</v>
      </c>
    </row>
    <row r="44" spans="1:26">
      <c r="A44">
        <f>IF(ISNUMBER(SEARCH("rest_api",svc!R43)),1,0)</f>
        <v>1</v>
      </c>
      <c r="C44" t="str">
        <f>svc!D43</f>
        <v>trust</v>
      </c>
      <c r="D44" t="str">
        <f>svc!$B43</f>
        <v>v810</v>
      </c>
      <c r="E44">
        <f>svc!G43</f>
        <v>31210</v>
      </c>
      <c r="F44" t="str">
        <f>CONCATENATE("ups-",svc!$B43,"-",svc!I43)</f>
        <v>ups-v810-bes_acc_im010_fft_transaction</v>
      </c>
      <c r="G44" t="str">
        <f>CONCATENATE("svc-",svc!$B43,"-",svc!I43)</f>
        <v>svc-v810-bes_acc_im010_fft_transaction</v>
      </c>
      <c r="H44" t="str">
        <f>CONCATENATE("route-",VLOOKUP($D44,kong_np_var!$B$10:$D$16,2,FALSE),"-",svc!$B43,"-",svc!I43)</f>
        <v>route-v804-v810-bes_acc_im010_fft_transaction</v>
      </c>
      <c r="I44" t="str">
        <f>CONCATENATE(VLOOKUP($D44,kong_np_var!$B$20:$H$26,SUBSTITUTE(I$1,"target_","") + 1,FALSE),":",$E44)</f>
        <v>172.24.148.195:31210</v>
      </c>
      <c r="J44" t="str">
        <f>CONCATENATE(VLOOKUP($D44,kong_np_var!$B$20:$H$26,SUBSTITUTE(J$1,"target_","") + 1,FALSE),":",$E44)</f>
        <v>172.24.148.196:31210</v>
      </c>
      <c r="K44" t="str">
        <f>CONCATENATE(VLOOKUP($D44,kong_np_var!$B$20:$H$26,SUBSTITUTE(K$1,"target_","") + 1,FALSE),":",$E44)</f>
        <v>172.24.148.197:31210</v>
      </c>
      <c r="L44" t="str">
        <f>IF($C44="dmz","",CONCATENATE(VLOOKUP($D44,kong_np_var!$B$20:$H$26,SUBSTITUTE(L$1,"target_","") + 1,FALSE),":",$E44))</f>
        <v>172.24.148.198:31210</v>
      </c>
      <c r="M44" t="str">
        <f>IF($C44="dmz","",CONCATENATE(VLOOKUP($D44,kong_np_var!$B$20:$H$26,SUBSTITUTE(M$1,"target_","") + 1,FALSE),":",$E44))</f>
        <v>172.24.148.199:31210</v>
      </c>
      <c r="N44" t="str">
        <f>IF($C44="dmz","",CONCATENATE(VLOOKUP($D44,kong_np_var!$B$20:$H$26,SUBSTITUTE(N$1,"target_","") + 1,FALSE),":",$E44))</f>
        <v>172.24.148.200:31210</v>
      </c>
      <c r="O44" t="str">
        <f>VLOOKUP($D44,kong_np_var!$B$10:$D$16,3,FALSE)</f>
        <v>172.24.149.151</v>
      </c>
      <c r="P44" t="str">
        <f>CONCATENATE("/",C44,MID(D44,2,15),"/",svc!$I43)</f>
        <v>/trust810/bes_acc_im010_fft_transaction</v>
      </c>
      <c r="Q44" t="str">
        <f>VLOOKUP(C44,kong_np_var!$B$6:$C$7,2,FALSE)</f>
        <v>http://172.24.148.160:8001</v>
      </c>
      <c r="R44" t="str">
        <f>SUBSTITUTE(SUBSTITUTE(kong_np_var!$J$1,"&lt;upstream_name&gt;",$F44),"&lt;kong_api_url&gt;",$Q44)</f>
        <v>curl -X PUT http://172.24.148.160:8001/upstreams/ups-v810-bes_acc_im010_fft_transaction</v>
      </c>
      <c r="S44" t="str">
        <f>SUBSTITUTE(SUBSTITUTE(SUBSTITUTE(SUBSTITUTE(kong_np_var!$J$2,"&lt;kong_api_url&gt;",$Q44),"&lt;upstream_name&gt;",$F44),"&lt;port&gt;",$E44),"&lt;service_name&gt;",$G44)</f>
        <v>curl -X PUT http://172.24.148.160:8001/services/svc-v810-bes_acc_im010_fft_transaction -H "Content-Type: application/json" -d '{"protocol":"http","host":"ups-v810-bes_acc_im010_fft_transaction","port":31210}'</v>
      </c>
      <c r="T44" t="str">
        <f>SUBSTITUTE(SUBSTITUTE(SUBSTITUTE(SUBSTITUTE(SUBSTITUTE(kong_np_var!$J$3,"&lt;kong_api_url&gt;",$Q44),"&lt;route_name&gt;",$H44),"&lt;service_name&gt;",$G44),"&lt;host&gt;",$O44),"&lt;path&gt;",$P44)</f>
        <v>curl -X PUT http://172.24.148.160:8001/services/svc-v810-bes_acc_im010_fft_transaction/routes/route-v804-v810-bes_acc_im010_fft_transaction -H "Content-Type: application/json" -d '{"protocols":["http"],"hosts":["172.24.149.151"],"paths":["/trust810/bes_acc_im010_fft_transaction"]}'</v>
      </c>
      <c r="U44" t="str">
        <f t="shared" si="1"/>
        <v>curl -X POST http://172.24.148.160:8001/upstreams/ups-v810-bes_acc_im010_fft_transaction/targets -d 'target=172.24.148.195:31210'</v>
      </c>
      <c r="V44" t="str">
        <f t="shared" si="2"/>
        <v>curl -X POST http://172.24.148.160:8001/upstreams/ups-v810-bes_acc_im010_fft_transaction/targets -d 'target=172.24.148.196:31210'</v>
      </c>
      <c r="W44" t="str">
        <f t="shared" si="3"/>
        <v>curl -X POST http://172.24.148.160:8001/upstreams/ups-v810-bes_acc_im010_fft_transaction/targets -d 'target=172.24.148.197:31210'</v>
      </c>
      <c r="X44" t="str">
        <f t="shared" si="4"/>
        <v>curl -X POST http://172.24.148.160:8001/upstreams/ups-v810-bes_acc_im010_fft_transaction/targets -d 'target=172.24.148.198:31210'</v>
      </c>
      <c r="Y44" t="str">
        <f t="shared" si="5"/>
        <v>curl -X POST http://172.24.148.160:8001/upstreams/ups-v810-bes_acc_im010_fft_transaction/targets -d 'target=172.24.148.199:31210'</v>
      </c>
      <c r="Z44" t="str">
        <f t="shared" si="6"/>
        <v>curl -X POST http://172.24.148.160:8001/upstreams/ups-v810-bes_acc_im010_fft_transaction/targets -d 'target=172.24.148.200:31210'</v>
      </c>
    </row>
    <row r="45" spans="1:26">
      <c r="A45">
        <f>IF(ISNUMBER(SEARCH("rest_api",svc!R44)),1,0)</f>
        <v>1</v>
      </c>
      <c r="C45" t="str">
        <f>svc!D44</f>
        <v>trust</v>
      </c>
      <c r="D45" t="str">
        <f>svc!$B44</f>
        <v>v510</v>
      </c>
      <c r="E45">
        <f>svc!G44</f>
        <v>31212</v>
      </c>
      <c r="F45" t="str">
        <f>CONCATENATE("ups-",svc!$B44,"-",svc!I44)</f>
        <v>ups-v510-bes_acc_im011_ffts_toll_and_surcharge</v>
      </c>
      <c r="G45" t="str">
        <f>CONCATENATE("svc-",svc!$B44,"-",svc!I44)</f>
        <v>svc-v510-bes_acc_im011_ffts_toll_and_surcharge</v>
      </c>
      <c r="H45" t="str">
        <f>CONCATENATE("route-",VLOOKUP($D45,kong_np_var!$B$10:$D$16,2,FALSE),"-",svc!$B44,"-",svc!I44)</f>
        <v>route-v504-v510-bes_acc_im011_ffts_toll_and_surcharge</v>
      </c>
      <c r="I45" t="str">
        <f>CONCATENATE(VLOOKUP($D45,kong_np_var!$B$20:$H$26,SUBSTITUTE(I$1,"target_","") + 1,FALSE),":",$E45)</f>
        <v>172.24.148.131:31212</v>
      </c>
      <c r="J45" t="str">
        <f>CONCATENATE(VLOOKUP($D45,kong_np_var!$B$20:$H$26,SUBSTITUTE(J$1,"target_","") + 1,FALSE),":",$E45)</f>
        <v>172.24.148.132:31212</v>
      </c>
      <c r="K45" t="str">
        <f>CONCATENATE(VLOOKUP($D45,kong_np_var!$B$20:$H$26,SUBSTITUTE(K$1,"target_","") + 1,FALSE),":",$E45)</f>
        <v>172.24.148.133:31212</v>
      </c>
      <c r="L45" t="str">
        <f>IF($C45="dmz","",CONCATENATE(VLOOKUP($D45,kong_np_var!$B$20:$H$26,SUBSTITUTE(L$1,"target_","") + 1,FALSE),":",$E45))</f>
        <v>172.24.148.134:31212</v>
      </c>
      <c r="M45" t="str">
        <f>IF($C45="dmz","",CONCATENATE(VLOOKUP($D45,kong_np_var!$B$20:$H$26,SUBSTITUTE(M$1,"target_","") + 1,FALSE),":",$E45))</f>
        <v>172.24.148.135:31212</v>
      </c>
      <c r="N45" t="str">
        <f>IF($C45="dmz","",CONCATENATE(VLOOKUP($D45,kong_np_var!$B$20:$H$26,SUBSTITUTE(N$1,"target_","") + 1,FALSE),":",$E45))</f>
        <v>172.24.148.136:31212</v>
      </c>
      <c r="O45" t="str">
        <f>VLOOKUP($D45,kong_np_var!$B$10:$D$16,3,FALSE)</f>
        <v>172.24.149.183</v>
      </c>
      <c r="P45" t="str">
        <f>CONCATENATE("/",C45,MID(D45,2,15),"/",svc!$I44)</f>
        <v>/trust510/bes_acc_im011_ffts_toll_and_surcharge</v>
      </c>
      <c r="Q45" t="str">
        <f>VLOOKUP(C45,kong_np_var!$B$6:$C$7,2,FALSE)</f>
        <v>http://172.24.148.160:8001</v>
      </c>
      <c r="R45" t="str">
        <f>SUBSTITUTE(SUBSTITUTE(kong_np_var!$J$1,"&lt;upstream_name&gt;",$F45),"&lt;kong_api_url&gt;",$Q45)</f>
        <v>curl -X PUT http://172.24.148.160:8001/upstreams/ups-v510-bes_acc_im011_ffts_toll_and_surcharge</v>
      </c>
      <c r="S45" t="str">
        <f>SUBSTITUTE(SUBSTITUTE(SUBSTITUTE(SUBSTITUTE(kong_np_var!$J$2,"&lt;kong_api_url&gt;",$Q45),"&lt;upstream_name&gt;",$F45),"&lt;port&gt;",$E45),"&lt;service_name&gt;",$G45)</f>
        <v>curl -X PUT http://172.24.148.160:8001/services/svc-v510-bes_acc_im011_ffts_toll_and_surcharge -H "Content-Type: application/json" -d '{"protocol":"http","host":"ups-v510-bes_acc_im011_ffts_toll_and_surcharge","port":31212}'</v>
      </c>
      <c r="T45" t="str">
        <f>SUBSTITUTE(SUBSTITUTE(SUBSTITUTE(SUBSTITUTE(SUBSTITUTE(kong_np_var!$J$3,"&lt;kong_api_url&gt;",$Q45),"&lt;route_name&gt;",$H45),"&lt;service_name&gt;",$G45),"&lt;host&gt;",$O45),"&lt;path&gt;",$P45)</f>
        <v>curl -X PUT http://172.24.148.160:8001/services/svc-v510-bes_acc_im011_ffts_toll_and_surcharge/routes/route-v504-v510-bes_acc_im011_ffts_toll_and_surcharge -H "Content-Type: application/json" -d '{"protocols":["http"],"hosts":["172.24.149.183"],"paths":["/trust510/bes_acc_im011_ffts_toll_and_surcharge"]}'</v>
      </c>
      <c r="U45" t="str">
        <f t="shared" si="1"/>
        <v>curl -X POST http://172.24.148.160:8001/upstreams/ups-v510-bes_acc_im011_ffts_toll_and_surcharge/targets -d 'target=172.24.148.131:31212'</v>
      </c>
      <c r="V45" t="str">
        <f t="shared" si="2"/>
        <v>curl -X POST http://172.24.148.160:8001/upstreams/ups-v510-bes_acc_im011_ffts_toll_and_surcharge/targets -d 'target=172.24.148.132:31212'</v>
      </c>
      <c r="W45" t="str">
        <f t="shared" si="3"/>
        <v>curl -X POST http://172.24.148.160:8001/upstreams/ups-v510-bes_acc_im011_ffts_toll_and_surcharge/targets -d 'target=172.24.148.133:31212'</v>
      </c>
      <c r="X45" t="str">
        <f t="shared" si="4"/>
        <v>curl -X POST http://172.24.148.160:8001/upstreams/ups-v510-bes_acc_im011_ffts_toll_and_surcharge/targets -d 'target=172.24.148.134:31212'</v>
      </c>
      <c r="Y45" t="str">
        <f t="shared" si="5"/>
        <v>curl -X POST http://172.24.148.160:8001/upstreams/ups-v510-bes_acc_im011_ffts_toll_and_surcharge/targets -d 'target=172.24.148.135:31212'</v>
      </c>
      <c r="Z45" t="str">
        <f t="shared" si="6"/>
        <v>curl -X POST http://172.24.148.160:8001/upstreams/ups-v510-bes_acc_im011_ffts_toll_and_surcharge/targets -d 'target=172.24.148.136:31212'</v>
      </c>
    </row>
    <row r="46" spans="1:26">
      <c r="A46">
        <f>IF(ISNUMBER(SEARCH("rest_api",svc!R45)),1,0)</f>
        <v>1</v>
      </c>
      <c r="C46" t="str">
        <f>svc!D45</f>
        <v>trust</v>
      </c>
      <c r="D46" t="str">
        <f>svc!$B45</f>
        <v>v810</v>
      </c>
      <c r="E46">
        <f>svc!G45</f>
        <v>31212</v>
      </c>
      <c r="F46" t="str">
        <f>CONCATENATE("ups-",svc!$B45,"-",svc!I45)</f>
        <v>ups-v810-bes_acc_im011_ffts_toll_and_surcharge</v>
      </c>
      <c r="G46" t="str">
        <f>CONCATENATE("svc-",svc!$B45,"-",svc!I45)</f>
        <v>svc-v810-bes_acc_im011_ffts_toll_and_surcharge</v>
      </c>
      <c r="H46" t="str">
        <f>CONCATENATE("route-",VLOOKUP($D46,kong_np_var!$B$10:$D$16,2,FALSE),"-",svc!$B45,"-",svc!I45)</f>
        <v>route-v804-v810-bes_acc_im011_ffts_toll_and_surcharge</v>
      </c>
      <c r="I46" t="str">
        <f>CONCATENATE(VLOOKUP($D46,kong_np_var!$B$20:$H$26,SUBSTITUTE(I$1,"target_","") + 1,FALSE),":",$E46)</f>
        <v>172.24.148.195:31212</v>
      </c>
      <c r="J46" t="str">
        <f>CONCATENATE(VLOOKUP($D46,kong_np_var!$B$20:$H$26,SUBSTITUTE(J$1,"target_","") + 1,FALSE),":",$E46)</f>
        <v>172.24.148.196:31212</v>
      </c>
      <c r="K46" t="str">
        <f>CONCATENATE(VLOOKUP($D46,kong_np_var!$B$20:$H$26,SUBSTITUTE(K$1,"target_","") + 1,FALSE),":",$E46)</f>
        <v>172.24.148.197:31212</v>
      </c>
      <c r="L46" t="str">
        <f>IF($C46="dmz","",CONCATENATE(VLOOKUP($D46,kong_np_var!$B$20:$H$26,SUBSTITUTE(L$1,"target_","") + 1,FALSE),":",$E46))</f>
        <v>172.24.148.198:31212</v>
      </c>
      <c r="M46" t="str">
        <f>IF($C46="dmz","",CONCATENATE(VLOOKUP($D46,kong_np_var!$B$20:$H$26,SUBSTITUTE(M$1,"target_","") + 1,FALSE),":",$E46))</f>
        <v>172.24.148.199:31212</v>
      </c>
      <c r="N46" t="str">
        <f>IF($C46="dmz","",CONCATENATE(VLOOKUP($D46,kong_np_var!$B$20:$H$26,SUBSTITUTE(N$1,"target_","") + 1,FALSE),":",$E46))</f>
        <v>172.24.148.200:31212</v>
      </c>
      <c r="O46" t="str">
        <f>VLOOKUP($D46,kong_np_var!$B$10:$D$16,3,FALSE)</f>
        <v>172.24.149.151</v>
      </c>
      <c r="P46" t="str">
        <f>CONCATENATE("/",C46,MID(D46,2,15),"/",svc!$I45)</f>
        <v>/trust810/bes_acc_im011_ffts_toll_and_surcharge</v>
      </c>
      <c r="Q46" t="str">
        <f>VLOOKUP(C46,kong_np_var!$B$6:$C$7,2,FALSE)</f>
        <v>http://172.24.148.160:8001</v>
      </c>
      <c r="R46" t="str">
        <f>SUBSTITUTE(SUBSTITUTE(kong_np_var!$J$1,"&lt;upstream_name&gt;",$F46),"&lt;kong_api_url&gt;",$Q46)</f>
        <v>curl -X PUT http://172.24.148.160:8001/upstreams/ups-v810-bes_acc_im011_ffts_toll_and_surcharge</v>
      </c>
      <c r="S46" t="str">
        <f>SUBSTITUTE(SUBSTITUTE(SUBSTITUTE(SUBSTITUTE(kong_np_var!$J$2,"&lt;kong_api_url&gt;",$Q46),"&lt;upstream_name&gt;",$F46),"&lt;port&gt;",$E46),"&lt;service_name&gt;",$G46)</f>
        <v>curl -X PUT http://172.24.148.160:8001/services/svc-v810-bes_acc_im011_ffts_toll_and_surcharge -H "Content-Type: application/json" -d '{"protocol":"http","host":"ups-v810-bes_acc_im011_ffts_toll_and_surcharge","port":31212}'</v>
      </c>
      <c r="T46" t="str">
        <f>SUBSTITUTE(SUBSTITUTE(SUBSTITUTE(SUBSTITUTE(SUBSTITUTE(kong_np_var!$J$3,"&lt;kong_api_url&gt;",$Q46),"&lt;route_name&gt;",$H46),"&lt;service_name&gt;",$G46),"&lt;host&gt;",$O46),"&lt;path&gt;",$P46)</f>
        <v>curl -X PUT http://172.24.148.160:8001/services/svc-v810-bes_acc_im011_ffts_toll_and_surcharge/routes/route-v804-v810-bes_acc_im011_ffts_toll_and_surcharge -H "Content-Type: application/json" -d '{"protocols":["http"],"hosts":["172.24.149.151"],"paths":["/trust810/bes_acc_im011_ffts_toll_and_surcharge"]}'</v>
      </c>
      <c r="U46" t="str">
        <f t="shared" si="1"/>
        <v>curl -X POST http://172.24.148.160:8001/upstreams/ups-v810-bes_acc_im011_ffts_toll_and_surcharge/targets -d 'target=172.24.148.195:31212'</v>
      </c>
      <c r="V46" t="str">
        <f t="shared" si="2"/>
        <v>curl -X POST http://172.24.148.160:8001/upstreams/ups-v810-bes_acc_im011_ffts_toll_and_surcharge/targets -d 'target=172.24.148.196:31212'</v>
      </c>
      <c r="W46" t="str">
        <f t="shared" si="3"/>
        <v>curl -X POST http://172.24.148.160:8001/upstreams/ups-v810-bes_acc_im011_ffts_toll_and_surcharge/targets -d 'target=172.24.148.197:31212'</v>
      </c>
      <c r="X46" t="str">
        <f t="shared" si="4"/>
        <v>curl -X POST http://172.24.148.160:8001/upstreams/ups-v810-bes_acc_im011_ffts_toll_and_surcharge/targets -d 'target=172.24.148.198:31212'</v>
      </c>
      <c r="Y46" t="str">
        <f t="shared" si="5"/>
        <v>curl -X POST http://172.24.148.160:8001/upstreams/ups-v810-bes_acc_im011_ffts_toll_and_surcharge/targets -d 'target=172.24.148.199:31212'</v>
      </c>
      <c r="Z46" t="str">
        <f t="shared" si="6"/>
        <v>curl -X POST http://172.24.148.160:8001/upstreams/ups-v810-bes_acc_im011_ffts_toll_and_surcharge/targets -d 'target=172.24.148.200:31212'</v>
      </c>
    </row>
    <row r="47" spans="1:26">
      <c r="A47">
        <f>IF(ISNUMBER(SEARCH("rest_api",svc!R46)),1,0)</f>
        <v>1</v>
      </c>
      <c r="C47" t="str">
        <f>svc!D46</f>
        <v>trust</v>
      </c>
      <c r="D47" t="str">
        <f>svc!$B46</f>
        <v>v510</v>
      </c>
      <c r="E47">
        <f>svc!G46</f>
        <v>31215</v>
      </c>
      <c r="F47" t="str">
        <f>CONCATENATE("ups-",svc!$B46,"-",svc!I46)</f>
        <v>ups-v510-bes_acc_im012_ffts_account_history</v>
      </c>
      <c r="G47" t="str">
        <f>CONCATENATE("svc-",svc!$B46,"-",svc!I46)</f>
        <v>svc-v510-bes_acc_im012_ffts_account_history</v>
      </c>
      <c r="H47" t="str">
        <f>CONCATENATE("route-",VLOOKUP($D47,kong_np_var!$B$10:$D$16,2,FALSE),"-",svc!$B46,"-",svc!I46)</f>
        <v>route-v504-v510-bes_acc_im012_ffts_account_history</v>
      </c>
      <c r="I47" t="str">
        <f>CONCATENATE(VLOOKUP($D47,kong_np_var!$B$20:$H$26,SUBSTITUTE(I$1,"target_","") + 1,FALSE),":",$E47)</f>
        <v>172.24.148.131:31215</v>
      </c>
      <c r="J47" t="str">
        <f>CONCATENATE(VLOOKUP($D47,kong_np_var!$B$20:$H$26,SUBSTITUTE(J$1,"target_","") + 1,FALSE),":",$E47)</f>
        <v>172.24.148.132:31215</v>
      </c>
      <c r="K47" t="str">
        <f>CONCATENATE(VLOOKUP($D47,kong_np_var!$B$20:$H$26,SUBSTITUTE(K$1,"target_","") + 1,FALSE),":",$E47)</f>
        <v>172.24.148.133:31215</v>
      </c>
      <c r="L47" t="str">
        <f>IF($C47="dmz","",CONCATENATE(VLOOKUP($D47,kong_np_var!$B$20:$H$26,SUBSTITUTE(L$1,"target_","") + 1,FALSE),":",$E47))</f>
        <v>172.24.148.134:31215</v>
      </c>
      <c r="M47" t="str">
        <f>IF($C47="dmz","",CONCATENATE(VLOOKUP($D47,kong_np_var!$B$20:$H$26,SUBSTITUTE(M$1,"target_","") + 1,FALSE),":",$E47))</f>
        <v>172.24.148.135:31215</v>
      </c>
      <c r="N47" t="str">
        <f>IF($C47="dmz","",CONCATENATE(VLOOKUP($D47,kong_np_var!$B$20:$H$26,SUBSTITUTE(N$1,"target_","") + 1,FALSE),":",$E47))</f>
        <v>172.24.148.136:31215</v>
      </c>
      <c r="O47" t="str">
        <f>VLOOKUP($D47,kong_np_var!$B$10:$D$16,3,FALSE)</f>
        <v>172.24.149.183</v>
      </c>
      <c r="P47" t="str">
        <f>CONCATENATE("/",C47,MID(D47,2,15),"/",svc!$I46)</f>
        <v>/trust510/bes_acc_im012_ffts_account_history</v>
      </c>
      <c r="Q47" t="str">
        <f>VLOOKUP(C47,kong_np_var!$B$6:$C$7,2,FALSE)</f>
        <v>http://172.24.148.160:8001</v>
      </c>
      <c r="R47" t="str">
        <f>SUBSTITUTE(SUBSTITUTE(kong_np_var!$J$1,"&lt;upstream_name&gt;",$F47),"&lt;kong_api_url&gt;",$Q47)</f>
        <v>curl -X PUT http://172.24.148.160:8001/upstreams/ups-v510-bes_acc_im012_ffts_account_history</v>
      </c>
      <c r="S47" t="str">
        <f>SUBSTITUTE(SUBSTITUTE(SUBSTITUTE(SUBSTITUTE(kong_np_var!$J$2,"&lt;kong_api_url&gt;",$Q47),"&lt;upstream_name&gt;",$F47),"&lt;port&gt;",$E47),"&lt;service_name&gt;",$G47)</f>
        <v>curl -X PUT http://172.24.148.160:8001/services/svc-v510-bes_acc_im012_ffts_account_history -H "Content-Type: application/json" -d '{"protocol":"http","host":"ups-v510-bes_acc_im012_ffts_account_history","port":31215}'</v>
      </c>
      <c r="T47" t="str">
        <f>SUBSTITUTE(SUBSTITUTE(SUBSTITUTE(SUBSTITUTE(SUBSTITUTE(kong_np_var!$J$3,"&lt;kong_api_url&gt;",$Q47),"&lt;route_name&gt;",$H47),"&lt;service_name&gt;",$G47),"&lt;host&gt;",$O47),"&lt;path&gt;",$P47)</f>
        <v>curl -X PUT http://172.24.148.160:8001/services/svc-v510-bes_acc_im012_ffts_account_history/routes/route-v504-v510-bes_acc_im012_ffts_account_history -H "Content-Type: application/json" -d '{"protocols":["http"],"hosts":["172.24.149.183"],"paths":["/trust510/bes_acc_im012_ffts_account_history"]}'</v>
      </c>
      <c r="U47" t="str">
        <f t="shared" si="1"/>
        <v>curl -X POST http://172.24.148.160:8001/upstreams/ups-v510-bes_acc_im012_ffts_account_history/targets -d 'target=172.24.148.131:31215'</v>
      </c>
      <c r="V47" t="str">
        <f t="shared" si="2"/>
        <v>curl -X POST http://172.24.148.160:8001/upstreams/ups-v510-bes_acc_im012_ffts_account_history/targets -d 'target=172.24.148.132:31215'</v>
      </c>
      <c r="W47" t="str">
        <f t="shared" si="3"/>
        <v>curl -X POST http://172.24.148.160:8001/upstreams/ups-v510-bes_acc_im012_ffts_account_history/targets -d 'target=172.24.148.133:31215'</v>
      </c>
      <c r="X47" t="str">
        <f t="shared" si="4"/>
        <v>curl -X POST http://172.24.148.160:8001/upstreams/ups-v510-bes_acc_im012_ffts_account_history/targets -d 'target=172.24.148.134:31215'</v>
      </c>
      <c r="Y47" t="str">
        <f t="shared" si="5"/>
        <v>curl -X POST http://172.24.148.160:8001/upstreams/ups-v510-bes_acc_im012_ffts_account_history/targets -d 'target=172.24.148.135:31215'</v>
      </c>
      <c r="Z47" t="str">
        <f t="shared" si="6"/>
        <v>curl -X POST http://172.24.148.160:8001/upstreams/ups-v510-bes_acc_im012_ffts_account_history/targets -d 'target=172.24.148.136:31215'</v>
      </c>
    </row>
    <row r="48" spans="1:26">
      <c r="A48">
        <f>IF(ISNUMBER(SEARCH("rest_api",svc!R47)),1,0)</f>
        <v>1</v>
      </c>
      <c r="C48" t="str">
        <f>svc!D47</f>
        <v>trust</v>
      </c>
      <c r="D48" t="str">
        <f>svc!$B47</f>
        <v>v810</v>
      </c>
      <c r="E48">
        <f>svc!G47</f>
        <v>31215</v>
      </c>
      <c r="F48" t="str">
        <f>CONCATENATE("ups-",svc!$B47,"-",svc!I47)</f>
        <v>ups-v810-bes_acc_im012_ffts_account_history</v>
      </c>
      <c r="G48" t="str">
        <f>CONCATENATE("svc-",svc!$B47,"-",svc!I47)</f>
        <v>svc-v810-bes_acc_im012_ffts_account_history</v>
      </c>
      <c r="H48" t="str">
        <f>CONCATENATE("route-",VLOOKUP($D48,kong_np_var!$B$10:$D$16,2,FALSE),"-",svc!$B47,"-",svc!I47)</f>
        <v>route-v804-v810-bes_acc_im012_ffts_account_history</v>
      </c>
      <c r="I48" t="str">
        <f>CONCATENATE(VLOOKUP($D48,kong_np_var!$B$20:$H$26,SUBSTITUTE(I$1,"target_","") + 1,FALSE),":",$E48)</f>
        <v>172.24.148.195:31215</v>
      </c>
      <c r="J48" t="str">
        <f>CONCATENATE(VLOOKUP($D48,kong_np_var!$B$20:$H$26,SUBSTITUTE(J$1,"target_","") + 1,FALSE),":",$E48)</f>
        <v>172.24.148.196:31215</v>
      </c>
      <c r="K48" t="str">
        <f>CONCATENATE(VLOOKUP($D48,kong_np_var!$B$20:$H$26,SUBSTITUTE(K$1,"target_","") + 1,FALSE),":",$E48)</f>
        <v>172.24.148.197:31215</v>
      </c>
      <c r="L48" t="str">
        <f>IF($C48="dmz","",CONCATENATE(VLOOKUP($D48,kong_np_var!$B$20:$H$26,SUBSTITUTE(L$1,"target_","") + 1,FALSE),":",$E48))</f>
        <v>172.24.148.198:31215</v>
      </c>
      <c r="M48" t="str">
        <f>IF($C48="dmz","",CONCATENATE(VLOOKUP($D48,kong_np_var!$B$20:$H$26,SUBSTITUTE(M$1,"target_","") + 1,FALSE),":",$E48))</f>
        <v>172.24.148.199:31215</v>
      </c>
      <c r="N48" t="str">
        <f>IF($C48="dmz","",CONCATENATE(VLOOKUP($D48,kong_np_var!$B$20:$H$26,SUBSTITUTE(N$1,"target_","") + 1,FALSE),":",$E48))</f>
        <v>172.24.148.200:31215</v>
      </c>
      <c r="O48" t="str">
        <f>VLOOKUP($D48,kong_np_var!$B$10:$D$16,3,FALSE)</f>
        <v>172.24.149.151</v>
      </c>
      <c r="P48" t="str">
        <f>CONCATENATE("/",C48,MID(D48,2,15),"/",svc!$I47)</f>
        <v>/trust810/bes_acc_im012_ffts_account_history</v>
      </c>
      <c r="Q48" t="str">
        <f>VLOOKUP(C48,kong_np_var!$B$6:$C$7,2,FALSE)</f>
        <v>http://172.24.148.160:8001</v>
      </c>
      <c r="R48" t="str">
        <f>SUBSTITUTE(SUBSTITUTE(kong_np_var!$J$1,"&lt;upstream_name&gt;",$F48),"&lt;kong_api_url&gt;",$Q48)</f>
        <v>curl -X PUT http://172.24.148.160:8001/upstreams/ups-v810-bes_acc_im012_ffts_account_history</v>
      </c>
      <c r="S48" t="str">
        <f>SUBSTITUTE(SUBSTITUTE(SUBSTITUTE(SUBSTITUTE(kong_np_var!$J$2,"&lt;kong_api_url&gt;",$Q48),"&lt;upstream_name&gt;",$F48),"&lt;port&gt;",$E48),"&lt;service_name&gt;",$G48)</f>
        <v>curl -X PUT http://172.24.148.160:8001/services/svc-v810-bes_acc_im012_ffts_account_history -H "Content-Type: application/json" -d '{"protocol":"http","host":"ups-v810-bes_acc_im012_ffts_account_history","port":31215}'</v>
      </c>
      <c r="T48" t="str">
        <f>SUBSTITUTE(SUBSTITUTE(SUBSTITUTE(SUBSTITUTE(SUBSTITUTE(kong_np_var!$J$3,"&lt;kong_api_url&gt;",$Q48),"&lt;route_name&gt;",$H48),"&lt;service_name&gt;",$G48),"&lt;host&gt;",$O48),"&lt;path&gt;",$P48)</f>
        <v>curl -X PUT http://172.24.148.160:8001/services/svc-v810-bes_acc_im012_ffts_account_history/routes/route-v804-v810-bes_acc_im012_ffts_account_history -H "Content-Type: application/json" -d '{"protocols":["http"],"hosts":["172.24.149.151"],"paths":["/trust810/bes_acc_im012_ffts_account_history"]}'</v>
      </c>
      <c r="U48" t="str">
        <f t="shared" si="1"/>
        <v>curl -X POST http://172.24.148.160:8001/upstreams/ups-v810-bes_acc_im012_ffts_account_history/targets -d 'target=172.24.148.195:31215'</v>
      </c>
      <c r="V48" t="str">
        <f t="shared" si="2"/>
        <v>curl -X POST http://172.24.148.160:8001/upstreams/ups-v810-bes_acc_im012_ffts_account_history/targets -d 'target=172.24.148.196:31215'</v>
      </c>
      <c r="W48" t="str">
        <f t="shared" si="3"/>
        <v>curl -X POST http://172.24.148.160:8001/upstreams/ups-v810-bes_acc_im012_ffts_account_history/targets -d 'target=172.24.148.197:31215'</v>
      </c>
      <c r="X48" t="str">
        <f t="shared" si="4"/>
        <v>curl -X POST http://172.24.148.160:8001/upstreams/ups-v810-bes_acc_im012_ffts_account_history/targets -d 'target=172.24.148.198:31215'</v>
      </c>
      <c r="Y48" t="str">
        <f t="shared" si="5"/>
        <v>curl -X POST http://172.24.148.160:8001/upstreams/ups-v810-bes_acc_im012_ffts_account_history/targets -d 'target=172.24.148.199:31215'</v>
      </c>
      <c r="Z48" t="str">
        <f t="shared" si="6"/>
        <v>curl -X POST http://172.24.148.160:8001/upstreams/ups-v810-bes_acc_im012_ffts_account_history/targets -d 'target=172.24.148.200:31215'</v>
      </c>
    </row>
    <row r="49" spans="1:26">
      <c r="A49">
        <f>IF(ISNUMBER(SEARCH("rest_api",svc!R48)),1,0)</f>
        <v>1</v>
      </c>
      <c r="C49" t="str">
        <f>svc!D48</f>
        <v>trust</v>
      </c>
      <c r="D49" t="str">
        <f>svc!$B48</f>
        <v>v510</v>
      </c>
      <c r="E49">
        <f>svc!G48</f>
        <v>31214</v>
      </c>
      <c r="F49" t="str">
        <f>CONCATENATE("ups-",svc!$B48,"-",svc!I48)</f>
        <v>ups-v510-bes_acc_im013_ffts_performance_monitoring</v>
      </c>
      <c r="G49" t="str">
        <f>CONCATENATE("svc-",svc!$B48,"-",svc!I48)</f>
        <v>svc-v510-bes_acc_im013_ffts_performance_monitoring</v>
      </c>
      <c r="H49" t="str">
        <f>CONCATENATE("route-",VLOOKUP($D49,kong_np_var!$B$10:$D$16,2,FALSE),"-",svc!$B48,"-",svc!I48)</f>
        <v>route-v504-v510-bes_acc_im013_ffts_performance_monitoring</v>
      </c>
      <c r="I49" t="str">
        <f>CONCATENATE(VLOOKUP($D49,kong_np_var!$B$20:$H$26,SUBSTITUTE(I$1,"target_","") + 1,FALSE),":",$E49)</f>
        <v>172.24.148.131:31214</v>
      </c>
      <c r="J49" t="str">
        <f>CONCATENATE(VLOOKUP($D49,kong_np_var!$B$20:$H$26,SUBSTITUTE(J$1,"target_","") + 1,FALSE),":",$E49)</f>
        <v>172.24.148.132:31214</v>
      </c>
      <c r="K49" t="str">
        <f>CONCATENATE(VLOOKUP($D49,kong_np_var!$B$20:$H$26,SUBSTITUTE(K$1,"target_","") + 1,FALSE),":",$E49)</f>
        <v>172.24.148.133:31214</v>
      </c>
      <c r="L49" t="str">
        <f>IF($C49="dmz","",CONCATENATE(VLOOKUP($D49,kong_np_var!$B$20:$H$26,SUBSTITUTE(L$1,"target_","") + 1,FALSE),":",$E49))</f>
        <v>172.24.148.134:31214</v>
      </c>
      <c r="M49" t="str">
        <f>IF($C49="dmz","",CONCATENATE(VLOOKUP($D49,kong_np_var!$B$20:$H$26,SUBSTITUTE(M$1,"target_","") + 1,FALSE),":",$E49))</f>
        <v>172.24.148.135:31214</v>
      </c>
      <c r="N49" t="str">
        <f>IF($C49="dmz","",CONCATENATE(VLOOKUP($D49,kong_np_var!$B$20:$H$26,SUBSTITUTE(N$1,"target_","") + 1,FALSE),":",$E49))</f>
        <v>172.24.148.136:31214</v>
      </c>
      <c r="O49" t="str">
        <f>VLOOKUP($D49,kong_np_var!$B$10:$D$16,3,FALSE)</f>
        <v>172.24.149.183</v>
      </c>
      <c r="P49" t="str">
        <f>CONCATENATE("/",C49,MID(D49,2,15),"/",svc!$I48)</f>
        <v>/trust510/bes_acc_im013_ffts_performance_monitoring</v>
      </c>
      <c r="Q49" t="str">
        <f>VLOOKUP(C49,kong_np_var!$B$6:$C$7,2,FALSE)</f>
        <v>http://172.24.148.160:8001</v>
      </c>
      <c r="R49" t="str">
        <f>SUBSTITUTE(SUBSTITUTE(kong_np_var!$J$1,"&lt;upstream_name&gt;",$F49),"&lt;kong_api_url&gt;",$Q49)</f>
        <v>curl -X PUT http://172.24.148.160:8001/upstreams/ups-v510-bes_acc_im013_ffts_performance_monitoring</v>
      </c>
      <c r="S49" t="str">
        <f>SUBSTITUTE(SUBSTITUTE(SUBSTITUTE(SUBSTITUTE(kong_np_var!$J$2,"&lt;kong_api_url&gt;",$Q49),"&lt;upstream_name&gt;",$F49),"&lt;port&gt;",$E49),"&lt;service_name&gt;",$G49)</f>
        <v>curl -X PUT http://172.24.148.160:8001/services/svc-v510-bes_acc_im013_ffts_performance_monitoring -H "Content-Type: application/json" -d '{"protocol":"http","host":"ups-v510-bes_acc_im013_ffts_performance_monitoring","port":31214}'</v>
      </c>
      <c r="T49" t="str">
        <f>SUBSTITUTE(SUBSTITUTE(SUBSTITUTE(SUBSTITUTE(SUBSTITUTE(kong_np_var!$J$3,"&lt;kong_api_url&gt;",$Q49),"&lt;route_name&gt;",$H49),"&lt;service_name&gt;",$G49),"&lt;host&gt;",$O49),"&lt;path&gt;",$P49)</f>
        <v>curl -X PUT http://172.24.148.160:8001/services/svc-v510-bes_acc_im013_ffts_performance_monitoring/routes/route-v504-v510-bes_acc_im013_ffts_performance_monitoring -H "Content-Type: application/json" -d '{"protocols":["http"],"hosts":["172.24.149.183"],"paths":["/trust510/bes_acc_im013_ffts_performance_monitoring"]}'</v>
      </c>
      <c r="U49" t="str">
        <f t="shared" si="1"/>
        <v>curl -X POST http://172.24.148.160:8001/upstreams/ups-v510-bes_acc_im013_ffts_performance_monitoring/targets -d 'target=172.24.148.131:31214'</v>
      </c>
      <c r="V49" t="str">
        <f t="shared" si="2"/>
        <v>curl -X POST http://172.24.148.160:8001/upstreams/ups-v510-bes_acc_im013_ffts_performance_monitoring/targets -d 'target=172.24.148.132:31214'</v>
      </c>
      <c r="W49" t="str">
        <f t="shared" si="3"/>
        <v>curl -X POST http://172.24.148.160:8001/upstreams/ups-v510-bes_acc_im013_ffts_performance_monitoring/targets -d 'target=172.24.148.133:31214'</v>
      </c>
      <c r="X49" t="str">
        <f t="shared" si="4"/>
        <v>curl -X POST http://172.24.148.160:8001/upstreams/ups-v510-bes_acc_im013_ffts_performance_monitoring/targets -d 'target=172.24.148.134:31214'</v>
      </c>
      <c r="Y49" t="str">
        <f t="shared" si="5"/>
        <v>curl -X POST http://172.24.148.160:8001/upstreams/ups-v510-bes_acc_im013_ffts_performance_monitoring/targets -d 'target=172.24.148.135:31214'</v>
      </c>
      <c r="Z49" t="str">
        <f t="shared" si="6"/>
        <v>curl -X POST http://172.24.148.160:8001/upstreams/ups-v510-bes_acc_im013_ffts_performance_monitoring/targets -d 'target=172.24.148.136:31214'</v>
      </c>
    </row>
    <row r="50" spans="1:26">
      <c r="A50">
        <f>IF(ISNUMBER(SEARCH("rest_api",svc!R49)),1,0)</f>
        <v>1</v>
      </c>
      <c r="C50" t="str">
        <f>svc!D49</f>
        <v>trust</v>
      </c>
      <c r="D50" t="str">
        <f>svc!$B49</f>
        <v>v810</v>
      </c>
      <c r="E50">
        <f>svc!G49</f>
        <v>31214</v>
      </c>
      <c r="F50" t="str">
        <f>CONCATENATE("ups-",svc!$B49,"-",svc!I49)</f>
        <v>ups-v810-bes_acc_im013_ffts_performance_monitoring</v>
      </c>
      <c r="G50" t="str">
        <f>CONCATENATE("svc-",svc!$B49,"-",svc!I49)</f>
        <v>svc-v810-bes_acc_im013_ffts_performance_monitoring</v>
      </c>
      <c r="H50" t="str">
        <f>CONCATENATE("route-",VLOOKUP($D50,kong_np_var!$B$10:$D$16,2,FALSE),"-",svc!$B49,"-",svc!I49)</f>
        <v>route-v804-v810-bes_acc_im013_ffts_performance_monitoring</v>
      </c>
      <c r="I50" t="str">
        <f>CONCATENATE(VLOOKUP($D50,kong_np_var!$B$20:$H$26,SUBSTITUTE(I$1,"target_","") + 1,FALSE),":",$E50)</f>
        <v>172.24.148.195:31214</v>
      </c>
      <c r="J50" t="str">
        <f>CONCATENATE(VLOOKUP($D50,kong_np_var!$B$20:$H$26,SUBSTITUTE(J$1,"target_","") + 1,FALSE),":",$E50)</f>
        <v>172.24.148.196:31214</v>
      </c>
      <c r="K50" t="str">
        <f>CONCATENATE(VLOOKUP($D50,kong_np_var!$B$20:$H$26,SUBSTITUTE(K$1,"target_","") + 1,FALSE),":",$E50)</f>
        <v>172.24.148.197:31214</v>
      </c>
      <c r="L50" t="str">
        <f>IF($C50="dmz","",CONCATENATE(VLOOKUP($D50,kong_np_var!$B$20:$H$26,SUBSTITUTE(L$1,"target_","") + 1,FALSE),":",$E50))</f>
        <v>172.24.148.198:31214</v>
      </c>
      <c r="M50" t="str">
        <f>IF($C50="dmz","",CONCATENATE(VLOOKUP($D50,kong_np_var!$B$20:$H$26,SUBSTITUTE(M$1,"target_","") + 1,FALSE),":",$E50))</f>
        <v>172.24.148.199:31214</v>
      </c>
      <c r="N50" t="str">
        <f>IF($C50="dmz","",CONCATENATE(VLOOKUP($D50,kong_np_var!$B$20:$H$26,SUBSTITUTE(N$1,"target_","") + 1,FALSE),":",$E50))</f>
        <v>172.24.148.200:31214</v>
      </c>
      <c r="O50" t="str">
        <f>VLOOKUP($D50,kong_np_var!$B$10:$D$16,3,FALSE)</f>
        <v>172.24.149.151</v>
      </c>
      <c r="P50" t="str">
        <f>CONCATENATE("/",C50,MID(D50,2,15),"/",svc!$I49)</f>
        <v>/trust810/bes_acc_im013_ffts_performance_monitoring</v>
      </c>
      <c r="Q50" t="str">
        <f>VLOOKUP(C50,kong_np_var!$B$6:$C$7,2,FALSE)</f>
        <v>http://172.24.148.160:8001</v>
      </c>
      <c r="R50" t="str">
        <f>SUBSTITUTE(SUBSTITUTE(kong_np_var!$J$1,"&lt;upstream_name&gt;",$F50),"&lt;kong_api_url&gt;",$Q50)</f>
        <v>curl -X PUT http://172.24.148.160:8001/upstreams/ups-v810-bes_acc_im013_ffts_performance_monitoring</v>
      </c>
      <c r="S50" t="str">
        <f>SUBSTITUTE(SUBSTITUTE(SUBSTITUTE(SUBSTITUTE(kong_np_var!$J$2,"&lt;kong_api_url&gt;",$Q50),"&lt;upstream_name&gt;",$F50),"&lt;port&gt;",$E50),"&lt;service_name&gt;",$G50)</f>
        <v>curl -X PUT http://172.24.148.160:8001/services/svc-v810-bes_acc_im013_ffts_performance_monitoring -H "Content-Type: application/json" -d '{"protocol":"http","host":"ups-v810-bes_acc_im013_ffts_performance_monitoring","port":31214}'</v>
      </c>
      <c r="T50" t="str">
        <f>SUBSTITUTE(SUBSTITUTE(SUBSTITUTE(SUBSTITUTE(SUBSTITUTE(kong_np_var!$J$3,"&lt;kong_api_url&gt;",$Q50),"&lt;route_name&gt;",$H50),"&lt;service_name&gt;",$G50),"&lt;host&gt;",$O50),"&lt;path&gt;",$P50)</f>
        <v>curl -X PUT http://172.24.148.160:8001/services/svc-v810-bes_acc_im013_ffts_performance_monitoring/routes/route-v804-v810-bes_acc_im013_ffts_performance_monitoring -H "Content-Type: application/json" -d '{"protocols":["http"],"hosts":["172.24.149.151"],"paths":["/trust810/bes_acc_im013_ffts_performance_monitoring"]}'</v>
      </c>
      <c r="U50" t="str">
        <f t="shared" si="1"/>
        <v>curl -X POST http://172.24.148.160:8001/upstreams/ups-v810-bes_acc_im013_ffts_performance_monitoring/targets -d 'target=172.24.148.195:31214'</v>
      </c>
      <c r="V50" t="str">
        <f t="shared" si="2"/>
        <v>curl -X POST http://172.24.148.160:8001/upstreams/ups-v810-bes_acc_im013_ffts_performance_monitoring/targets -d 'target=172.24.148.196:31214'</v>
      </c>
      <c r="W50" t="str">
        <f t="shared" si="3"/>
        <v>curl -X POST http://172.24.148.160:8001/upstreams/ups-v810-bes_acc_im013_ffts_performance_monitoring/targets -d 'target=172.24.148.197:31214'</v>
      </c>
      <c r="X50" t="str">
        <f t="shared" si="4"/>
        <v>curl -X POST http://172.24.148.160:8001/upstreams/ups-v810-bes_acc_im013_ffts_performance_monitoring/targets -d 'target=172.24.148.198:31214'</v>
      </c>
      <c r="Y50" t="str">
        <f t="shared" si="5"/>
        <v>curl -X POST http://172.24.148.160:8001/upstreams/ups-v810-bes_acc_im013_ffts_performance_monitoring/targets -d 'target=172.24.148.199:31214'</v>
      </c>
      <c r="Z50" t="str">
        <f t="shared" si="6"/>
        <v>curl -X POST http://172.24.148.160:8001/upstreams/ups-v810-bes_acc_im013_ffts_performance_monitoring/targets -d 'target=172.24.148.200:31214'</v>
      </c>
    </row>
    <row r="51" spans="1:26">
      <c r="A51">
        <f>IF(ISNUMBER(SEARCH("rest_api",svc!R50)),1,0)</f>
        <v>1</v>
      </c>
      <c r="C51" t="str">
        <f>svc!D50</f>
        <v>trust</v>
      </c>
      <c r="D51" t="str">
        <f>svc!$B50</f>
        <v>v510</v>
      </c>
      <c r="E51">
        <f>svc!G50</f>
        <v>31311</v>
      </c>
      <c r="F51" t="str">
        <f>CONCATENATE("ups-",svc!$B50,"-",svc!I50)</f>
        <v>ups-v510-bes_ccs</v>
      </c>
      <c r="G51" t="str">
        <f>CONCATENATE("svc-",svc!$B50,"-",svc!I50)</f>
        <v>svc-v510-bes_ccs</v>
      </c>
      <c r="H51" t="str">
        <f>CONCATENATE("route-",VLOOKUP($D51,kong_np_var!$B$10:$D$16,2,FALSE),"-",svc!$B50,"-",svc!I50)</f>
        <v>route-v504-v510-bes_ccs</v>
      </c>
      <c r="I51" t="str">
        <f>CONCATENATE(VLOOKUP($D51,kong_np_var!$B$20:$H$26,SUBSTITUTE(I$1,"target_","") + 1,FALSE),":",$E51)</f>
        <v>172.24.148.131:31311</v>
      </c>
      <c r="J51" t="str">
        <f>CONCATENATE(VLOOKUP($D51,kong_np_var!$B$20:$H$26,SUBSTITUTE(J$1,"target_","") + 1,FALSE),":",$E51)</f>
        <v>172.24.148.132:31311</v>
      </c>
      <c r="K51" t="str">
        <f>CONCATENATE(VLOOKUP($D51,kong_np_var!$B$20:$H$26,SUBSTITUTE(K$1,"target_","") + 1,FALSE),":",$E51)</f>
        <v>172.24.148.133:31311</v>
      </c>
      <c r="L51" t="str">
        <f>IF($C51="dmz","",CONCATENATE(VLOOKUP($D51,kong_np_var!$B$20:$H$26,SUBSTITUTE(L$1,"target_","") + 1,FALSE),":",$E51))</f>
        <v>172.24.148.134:31311</v>
      </c>
      <c r="M51" t="str">
        <f>IF($C51="dmz","",CONCATENATE(VLOOKUP($D51,kong_np_var!$B$20:$H$26,SUBSTITUTE(M$1,"target_","") + 1,FALSE),":",$E51))</f>
        <v>172.24.148.135:31311</v>
      </c>
      <c r="N51" t="str">
        <f>IF($C51="dmz","",CONCATENATE(VLOOKUP($D51,kong_np_var!$B$20:$H$26,SUBSTITUTE(N$1,"target_","") + 1,FALSE),":",$E51))</f>
        <v>172.24.148.136:31311</v>
      </c>
      <c r="O51" t="str">
        <f>VLOOKUP($D51,kong_np_var!$B$10:$D$16,3,FALSE)</f>
        <v>172.24.149.183</v>
      </c>
      <c r="P51" t="str">
        <f>CONCATENATE("/",C51,MID(D51,2,15),"/",svc!$I50)</f>
        <v>/trust510/bes_ccs</v>
      </c>
      <c r="Q51" t="str">
        <f>VLOOKUP(C51,kong_np_var!$B$6:$C$7,2,FALSE)</f>
        <v>http://172.24.148.160:8001</v>
      </c>
      <c r="R51" t="str">
        <f>SUBSTITUTE(SUBSTITUTE(kong_np_var!$J$1,"&lt;upstream_name&gt;",$F51),"&lt;kong_api_url&gt;",$Q51)</f>
        <v>curl -X PUT http://172.24.148.160:8001/upstreams/ups-v510-bes_ccs</v>
      </c>
      <c r="S51" t="str">
        <f>SUBSTITUTE(SUBSTITUTE(SUBSTITUTE(SUBSTITUTE(kong_np_var!$J$2,"&lt;kong_api_url&gt;",$Q51),"&lt;upstream_name&gt;",$F51),"&lt;port&gt;",$E51),"&lt;service_name&gt;",$G51)</f>
        <v>curl -X PUT http://172.24.148.160:8001/services/svc-v510-bes_ccs -H "Content-Type: application/json" -d '{"protocol":"http","host":"ups-v510-bes_ccs","port":31311}'</v>
      </c>
      <c r="T51" t="str">
        <f>SUBSTITUTE(SUBSTITUTE(SUBSTITUTE(SUBSTITUTE(SUBSTITUTE(kong_np_var!$J$3,"&lt;kong_api_url&gt;",$Q51),"&lt;route_name&gt;",$H51),"&lt;service_name&gt;",$G51),"&lt;host&gt;",$O51),"&lt;path&gt;",$P51)</f>
        <v>curl -X PUT http://172.24.148.160:8001/services/svc-v510-bes_ccs/routes/route-v504-v510-bes_ccs -H "Content-Type: application/json" -d '{"protocols":["http"],"hosts":["172.24.149.183"],"paths":["/trust510/bes_ccs"]}'</v>
      </c>
      <c r="U51" t="str">
        <f t="shared" si="1"/>
        <v>curl -X POST http://172.24.148.160:8001/upstreams/ups-v510-bes_ccs/targets -d 'target=172.24.148.131:31311'</v>
      </c>
      <c r="V51" t="str">
        <f t="shared" si="2"/>
        <v>curl -X POST http://172.24.148.160:8001/upstreams/ups-v510-bes_ccs/targets -d 'target=172.24.148.132:31311'</v>
      </c>
      <c r="W51" t="str">
        <f t="shared" si="3"/>
        <v>curl -X POST http://172.24.148.160:8001/upstreams/ups-v510-bes_ccs/targets -d 'target=172.24.148.133:31311'</v>
      </c>
      <c r="X51" t="str">
        <f t="shared" si="4"/>
        <v>curl -X POST http://172.24.148.160:8001/upstreams/ups-v510-bes_ccs/targets -d 'target=172.24.148.134:31311'</v>
      </c>
      <c r="Y51" t="str">
        <f t="shared" si="5"/>
        <v>curl -X POST http://172.24.148.160:8001/upstreams/ups-v510-bes_ccs/targets -d 'target=172.24.148.135:31311'</v>
      </c>
      <c r="Z51" t="str">
        <f t="shared" si="6"/>
        <v>curl -X POST http://172.24.148.160:8001/upstreams/ups-v510-bes_ccs/targets -d 'target=172.24.148.136:31311'</v>
      </c>
    </row>
    <row r="52" spans="1:26">
      <c r="A52">
        <f>IF(ISNUMBER(SEARCH("rest_api",svc!R51)),1,0)</f>
        <v>1</v>
      </c>
      <c r="C52" t="str">
        <f>svc!D51</f>
        <v>trust</v>
      </c>
      <c r="D52" t="str">
        <f>svc!$B51</f>
        <v>v510</v>
      </c>
      <c r="E52">
        <f>svc!G51</f>
        <v>31301</v>
      </c>
      <c r="F52" t="str">
        <f>CONCATENATE("ups-",svc!$B51,"-",svc!I51)</f>
        <v>ups-v510-bes_cre_im001_tokenization</v>
      </c>
      <c r="G52" t="str">
        <f>CONCATENATE("svc-",svc!$B51,"-",svc!I51)</f>
        <v>svc-v510-bes_cre_im001_tokenization</v>
      </c>
      <c r="H52" t="str">
        <f>CONCATENATE("route-",VLOOKUP($D52,kong_np_var!$B$10:$D$16,2,FALSE),"-",svc!$B51,"-",svc!I51)</f>
        <v>route-v504-v510-bes_cre_im001_tokenization</v>
      </c>
      <c r="I52" t="str">
        <f>CONCATENATE(VLOOKUP($D52,kong_np_var!$B$20:$H$26,SUBSTITUTE(I$1,"target_","") + 1,FALSE),":",$E52)</f>
        <v>172.24.148.131:31301</v>
      </c>
      <c r="J52" t="str">
        <f>CONCATENATE(VLOOKUP($D52,kong_np_var!$B$20:$H$26,SUBSTITUTE(J$1,"target_","") + 1,FALSE),":",$E52)</f>
        <v>172.24.148.132:31301</v>
      </c>
      <c r="K52" t="str">
        <f>CONCATENATE(VLOOKUP($D52,kong_np_var!$B$20:$H$26,SUBSTITUTE(K$1,"target_","") + 1,FALSE),":",$E52)</f>
        <v>172.24.148.133:31301</v>
      </c>
      <c r="L52" t="str">
        <f>IF($C52="dmz","",CONCATENATE(VLOOKUP($D52,kong_np_var!$B$20:$H$26,SUBSTITUTE(L$1,"target_","") + 1,FALSE),":",$E52))</f>
        <v>172.24.148.134:31301</v>
      </c>
      <c r="M52" t="str">
        <f>IF($C52="dmz","",CONCATENATE(VLOOKUP($D52,kong_np_var!$B$20:$H$26,SUBSTITUTE(M$1,"target_","") + 1,FALSE),":",$E52))</f>
        <v>172.24.148.135:31301</v>
      </c>
      <c r="N52" t="str">
        <f>IF($C52="dmz","",CONCATENATE(VLOOKUP($D52,kong_np_var!$B$20:$H$26,SUBSTITUTE(N$1,"target_","") + 1,FALSE),":",$E52))</f>
        <v>172.24.148.136:31301</v>
      </c>
      <c r="O52" t="str">
        <f>VLOOKUP($D52,kong_np_var!$B$10:$D$16,3,FALSE)</f>
        <v>172.24.149.183</v>
      </c>
      <c r="P52" t="str">
        <f>CONCATENATE("/",C52,MID(D52,2,15),"/",svc!$I51)</f>
        <v>/trust510/bes_cre_im001_tokenization</v>
      </c>
      <c r="Q52" t="str">
        <f>VLOOKUP(C52,kong_np_var!$B$6:$C$7,2,FALSE)</f>
        <v>http://172.24.148.160:8001</v>
      </c>
      <c r="R52" t="str">
        <f>SUBSTITUTE(SUBSTITUTE(kong_np_var!$J$1,"&lt;upstream_name&gt;",$F52),"&lt;kong_api_url&gt;",$Q52)</f>
        <v>curl -X PUT http://172.24.148.160:8001/upstreams/ups-v510-bes_cre_im001_tokenization</v>
      </c>
      <c r="S52" t="str">
        <f>SUBSTITUTE(SUBSTITUTE(SUBSTITUTE(SUBSTITUTE(kong_np_var!$J$2,"&lt;kong_api_url&gt;",$Q52),"&lt;upstream_name&gt;",$F52),"&lt;port&gt;",$E52),"&lt;service_name&gt;",$G52)</f>
        <v>curl -X PUT http://172.24.148.160:8001/services/svc-v510-bes_cre_im001_tokenization -H "Content-Type: application/json" -d '{"protocol":"http","host":"ups-v510-bes_cre_im001_tokenization","port":31301}'</v>
      </c>
      <c r="T52" t="str">
        <f>SUBSTITUTE(SUBSTITUTE(SUBSTITUTE(SUBSTITUTE(SUBSTITUTE(kong_np_var!$J$3,"&lt;kong_api_url&gt;",$Q52),"&lt;route_name&gt;",$H52),"&lt;service_name&gt;",$G52),"&lt;host&gt;",$O52),"&lt;path&gt;",$P52)</f>
        <v>curl -X PUT http://172.24.148.160:8001/services/svc-v510-bes_cre_im001_tokenization/routes/route-v504-v510-bes_cre_im001_tokenization -H "Content-Type: application/json" -d '{"protocols":["http"],"hosts":["172.24.149.183"],"paths":["/trust510/bes_cre_im001_tokenization"]}'</v>
      </c>
      <c r="U52" t="str">
        <f t="shared" si="1"/>
        <v>curl -X POST http://172.24.148.160:8001/upstreams/ups-v510-bes_cre_im001_tokenization/targets -d 'target=172.24.148.131:31301'</v>
      </c>
      <c r="V52" t="str">
        <f t="shared" si="2"/>
        <v>curl -X POST http://172.24.148.160:8001/upstreams/ups-v510-bes_cre_im001_tokenization/targets -d 'target=172.24.148.132:31301'</v>
      </c>
      <c r="W52" t="str">
        <f t="shared" si="3"/>
        <v>curl -X POST http://172.24.148.160:8001/upstreams/ups-v510-bes_cre_im001_tokenization/targets -d 'target=172.24.148.133:31301'</v>
      </c>
      <c r="X52" t="str">
        <f t="shared" si="4"/>
        <v>curl -X POST http://172.24.148.160:8001/upstreams/ups-v510-bes_cre_im001_tokenization/targets -d 'target=172.24.148.134:31301'</v>
      </c>
      <c r="Y52" t="str">
        <f t="shared" si="5"/>
        <v>curl -X POST http://172.24.148.160:8001/upstreams/ups-v510-bes_cre_im001_tokenization/targets -d 'target=172.24.148.135:31301'</v>
      </c>
      <c r="Z52" t="str">
        <f t="shared" si="6"/>
        <v>curl -X POST http://172.24.148.160:8001/upstreams/ups-v510-bes_cre_im001_tokenization/targets -d 'target=172.24.148.136:31301'</v>
      </c>
    </row>
    <row r="53" spans="1:26">
      <c r="A53">
        <f>IF(ISNUMBER(SEARCH("rest_api",svc!R52)),1,0)</f>
        <v>1</v>
      </c>
      <c r="C53" t="str">
        <f>svc!D52</f>
        <v>trust</v>
      </c>
      <c r="D53" t="str">
        <f>svc!$B52</f>
        <v>v810</v>
      </c>
      <c r="E53">
        <f>svc!G52</f>
        <v>31301</v>
      </c>
      <c r="F53" t="str">
        <f>CONCATENATE("ups-",svc!$B52,"-",svc!I52)</f>
        <v>ups-v810-bes_cre_im001_tokenization</v>
      </c>
      <c r="G53" t="str">
        <f>CONCATENATE("svc-",svc!$B52,"-",svc!I52)</f>
        <v>svc-v810-bes_cre_im001_tokenization</v>
      </c>
      <c r="H53" t="str">
        <f>CONCATENATE("route-",VLOOKUP($D53,kong_np_var!$B$10:$D$16,2,FALSE),"-",svc!$B52,"-",svc!I52)</f>
        <v>route-v804-v810-bes_cre_im001_tokenization</v>
      </c>
      <c r="I53" t="str">
        <f>CONCATENATE(VLOOKUP($D53,kong_np_var!$B$20:$H$26,SUBSTITUTE(I$1,"target_","") + 1,FALSE),":",$E53)</f>
        <v>172.24.148.195:31301</v>
      </c>
      <c r="J53" t="str">
        <f>CONCATENATE(VLOOKUP($D53,kong_np_var!$B$20:$H$26,SUBSTITUTE(J$1,"target_","") + 1,FALSE),":",$E53)</f>
        <v>172.24.148.196:31301</v>
      </c>
      <c r="K53" t="str">
        <f>CONCATENATE(VLOOKUP($D53,kong_np_var!$B$20:$H$26,SUBSTITUTE(K$1,"target_","") + 1,FALSE),":",$E53)</f>
        <v>172.24.148.197:31301</v>
      </c>
      <c r="L53" t="str">
        <f>IF($C53="dmz","",CONCATENATE(VLOOKUP($D53,kong_np_var!$B$20:$H$26,SUBSTITUTE(L$1,"target_","") + 1,FALSE),":",$E53))</f>
        <v>172.24.148.198:31301</v>
      </c>
      <c r="M53" t="str">
        <f>IF($C53="dmz","",CONCATENATE(VLOOKUP($D53,kong_np_var!$B$20:$H$26,SUBSTITUTE(M$1,"target_","") + 1,FALSE),":",$E53))</f>
        <v>172.24.148.199:31301</v>
      </c>
      <c r="N53" t="str">
        <f>IF($C53="dmz","",CONCATENATE(VLOOKUP($D53,kong_np_var!$B$20:$H$26,SUBSTITUTE(N$1,"target_","") + 1,FALSE),":",$E53))</f>
        <v>172.24.148.200:31301</v>
      </c>
      <c r="O53" t="str">
        <f>VLOOKUP($D53,kong_np_var!$B$10:$D$16,3,FALSE)</f>
        <v>172.24.149.151</v>
      </c>
      <c r="P53" t="str">
        <f>CONCATENATE("/",C53,MID(D53,2,15),"/",svc!$I52)</f>
        <v>/trust810/bes_cre_im001_tokenization</v>
      </c>
      <c r="Q53" t="str">
        <f>VLOOKUP(C53,kong_np_var!$B$6:$C$7,2,FALSE)</f>
        <v>http://172.24.148.160:8001</v>
      </c>
      <c r="R53" t="str">
        <f>SUBSTITUTE(SUBSTITUTE(kong_np_var!$J$1,"&lt;upstream_name&gt;",$F53),"&lt;kong_api_url&gt;",$Q53)</f>
        <v>curl -X PUT http://172.24.148.160:8001/upstreams/ups-v810-bes_cre_im001_tokenization</v>
      </c>
      <c r="S53" t="str">
        <f>SUBSTITUTE(SUBSTITUTE(SUBSTITUTE(SUBSTITUTE(kong_np_var!$J$2,"&lt;kong_api_url&gt;",$Q53),"&lt;upstream_name&gt;",$F53),"&lt;port&gt;",$E53),"&lt;service_name&gt;",$G53)</f>
        <v>curl -X PUT http://172.24.148.160:8001/services/svc-v810-bes_cre_im001_tokenization -H "Content-Type: application/json" -d '{"protocol":"http","host":"ups-v810-bes_cre_im001_tokenization","port":31301}'</v>
      </c>
      <c r="T53" t="str">
        <f>SUBSTITUTE(SUBSTITUTE(SUBSTITUTE(SUBSTITUTE(SUBSTITUTE(kong_np_var!$J$3,"&lt;kong_api_url&gt;",$Q53),"&lt;route_name&gt;",$H53),"&lt;service_name&gt;",$G53),"&lt;host&gt;",$O53),"&lt;path&gt;",$P53)</f>
        <v>curl -X PUT http://172.24.148.160:8001/services/svc-v810-bes_cre_im001_tokenization/routes/route-v804-v810-bes_cre_im001_tokenization -H "Content-Type: application/json" -d '{"protocols":["http"],"hosts":["172.24.149.151"],"paths":["/trust810/bes_cre_im001_tokenization"]}'</v>
      </c>
      <c r="U53" t="str">
        <f t="shared" si="1"/>
        <v>curl -X POST http://172.24.148.160:8001/upstreams/ups-v810-bes_cre_im001_tokenization/targets -d 'target=172.24.148.195:31301'</v>
      </c>
      <c r="V53" t="str">
        <f t="shared" si="2"/>
        <v>curl -X POST http://172.24.148.160:8001/upstreams/ups-v810-bes_cre_im001_tokenization/targets -d 'target=172.24.148.196:31301'</v>
      </c>
      <c r="W53" t="str">
        <f t="shared" si="3"/>
        <v>curl -X POST http://172.24.148.160:8001/upstreams/ups-v810-bes_cre_im001_tokenization/targets -d 'target=172.24.148.197:31301'</v>
      </c>
      <c r="X53" t="str">
        <f t="shared" si="4"/>
        <v>curl -X POST http://172.24.148.160:8001/upstreams/ups-v810-bes_cre_im001_tokenization/targets -d 'target=172.24.148.198:31301'</v>
      </c>
      <c r="Y53" t="str">
        <f t="shared" si="5"/>
        <v>curl -X POST http://172.24.148.160:8001/upstreams/ups-v810-bes_cre_im001_tokenization/targets -d 'target=172.24.148.199:31301'</v>
      </c>
      <c r="Z53" t="str">
        <f t="shared" si="6"/>
        <v>curl -X POST http://172.24.148.160:8001/upstreams/ups-v810-bes_cre_im001_tokenization/targets -d 'target=172.24.148.200:31301'</v>
      </c>
    </row>
    <row r="54" spans="1:26">
      <c r="A54">
        <f>IF(ISNUMBER(SEARCH("rest_api",svc!R53)),1,0)</f>
        <v>1</v>
      </c>
      <c r="C54" t="str">
        <f>svc!D53</f>
        <v>trust</v>
      </c>
      <c r="D54" t="str">
        <f>svc!$B53</f>
        <v>v510</v>
      </c>
      <c r="E54">
        <f>svc!G53</f>
        <v>31302</v>
      </c>
      <c r="F54" t="str">
        <f>CONCATENATE("ups-",svc!$B53,"-",svc!I53)</f>
        <v>ups-v510-bes_cre_im002_otp</v>
      </c>
      <c r="G54" t="str">
        <f>CONCATENATE("svc-",svc!$B53,"-",svc!I53)</f>
        <v>svc-v510-bes_cre_im002_otp</v>
      </c>
      <c r="H54" t="str">
        <f>CONCATENATE("route-",VLOOKUP($D54,kong_np_var!$B$10:$D$16,2,FALSE),"-",svc!$B53,"-",svc!I53)</f>
        <v>route-v504-v510-bes_cre_im002_otp</v>
      </c>
      <c r="I54" t="str">
        <f>CONCATENATE(VLOOKUP($D54,kong_np_var!$B$20:$H$26,SUBSTITUTE(I$1,"target_","") + 1,FALSE),":",$E54)</f>
        <v>172.24.148.131:31302</v>
      </c>
      <c r="J54" t="str">
        <f>CONCATENATE(VLOOKUP($D54,kong_np_var!$B$20:$H$26,SUBSTITUTE(J$1,"target_","") + 1,FALSE),":",$E54)</f>
        <v>172.24.148.132:31302</v>
      </c>
      <c r="K54" t="str">
        <f>CONCATENATE(VLOOKUP($D54,kong_np_var!$B$20:$H$26,SUBSTITUTE(K$1,"target_","") + 1,FALSE),":",$E54)</f>
        <v>172.24.148.133:31302</v>
      </c>
      <c r="L54" t="str">
        <f>IF($C54="dmz","",CONCATENATE(VLOOKUP($D54,kong_np_var!$B$20:$H$26,SUBSTITUTE(L$1,"target_","") + 1,FALSE),":",$E54))</f>
        <v>172.24.148.134:31302</v>
      </c>
      <c r="M54" t="str">
        <f>IF($C54="dmz","",CONCATENATE(VLOOKUP($D54,kong_np_var!$B$20:$H$26,SUBSTITUTE(M$1,"target_","") + 1,FALSE),":",$E54))</f>
        <v>172.24.148.135:31302</v>
      </c>
      <c r="N54" t="str">
        <f>IF($C54="dmz","",CONCATENATE(VLOOKUP($D54,kong_np_var!$B$20:$H$26,SUBSTITUTE(N$1,"target_","") + 1,FALSE),":",$E54))</f>
        <v>172.24.148.136:31302</v>
      </c>
      <c r="O54" t="str">
        <f>VLOOKUP($D54,kong_np_var!$B$10:$D$16,3,FALSE)</f>
        <v>172.24.149.183</v>
      </c>
      <c r="P54" t="str">
        <f>CONCATENATE("/",C54,MID(D54,2,15),"/",svc!$I53)</f>
        <v>/trust510/bes_cre_im002_otp</v>
      </c>
      <c r="Q54" t="str">
        <f>VLOOKUP(C54,kong_np_var!$B$6:$C$7,2,FALSE)</f>
        <v>http://172.24.148.160:8001</v>
      </c>
      <c r="R54" t="str">
        <f>SUBSTITUTE(SUBSTITUTE(kong_np_var!$J$1,"&lt;upstream_name&gt;",$F54),"&lt;kong_api_url&gt;",$Q54)</f>
        <v>curl -X PUT http://172.24.148.160:8001/upstreams/ups-v510-bes_cre_im002_otp</v>
      </c>
      <c r="S54" t="str">
        <f>SUBSTITUTE(SUBSTITUTE(SUBSTITUTE(SUBSTITUTE(kong_np_var!$J$2,"&lt;kong_api_url&gt;",$Q54),"&lt;upstream_name&gt;",$F54),"&lt;port&gt;",$E54),"&lt;service_name&gt;",$G54)</f>
        <v>curl -X PUT http://172.24.148.160:8001/services/svc-v510-bes_cre_im002_otp -H "Content-Type: application/json" -d '{"protocol":"http","host":"ups-v510-bes_cre_im002_otp","port":31302}'</v>
      </c>
      <c r="T54" t="str">
        <f>SUBSTITUTE(SUBSTITUTE(SUBSTITUTE(SUBSTITUTE(SUBSTITUTE(kong_np_var!$J$3,"&lt;kong_api_url&gt;",$Q54),"&lt;route_name&gt;",$H54),"&lt;service_name&gt;",$G54),"&lt;host&gt;",$O54),"&lt;path&gt;",$P54)</f>
        <v>curl -X PUT http://172.24.148.160:8001/services/svc-v510-bes_cre_im002_otp/routes/route-v504-v510-bes_cre_im002_otp -H "Content-Type: application/json" -d '{"protocols":["http"],"hosts":["172.24.149.183"],"paths":["/trust510/bes_cre_im002_otp"]}'</v>
      </c>
      <c r="U54" t="str">
        <f t="shared" si="1"/>
        <v>curl -X POST http://172.24.148.160:8001/upstreams/ups-v510-bes_cre_im002_otp/targets -d 'target=172.24.148.131:31302'</v>
      </c>
      <c r="V54" t="str">
        <f t="shared" si="2"/>
        <v>curl -X POST http://172.24.148.160:8001/upstreams/ups-v510-bes_cre_im002_otp/targets -d 'target=172.24.148.132:31302'</v>
      </c>
      <c r="W54" t="str">
        <f t="shared" si="3"/>
        <v>curl -X POST http://172.24.148.160:8001/upstreams/ups-v510-bes_cre_im002_otp/targets -d 'target=172.24.148.133:31302'</v>
      </c>
      <c r="X54" t="str">
        <f t="shared" si="4"/>
        <v>curl -X POST http://172.24.148.160:8001/upstreams/ups-v510-bes_cre_im002_otp/targets -d 'target=172.24.148.134:31302'</v>
      </c>
      <c r="Y54" t="str">
        <f t="shared" si="5"/>
        <v>curl -X POST http://172.24.148.160:8001/upstreams/ups-v510-bes_cre_im002_otp/targets -d 'target=172.24.148.135:31302'</v>
      </c>
      <c r="Z54" t="str">
        <f t="shared" si="6"/>
        <v>curl -X POST http://172.24.148.160:8001/upstreams/ups-v510-bes_cre_im002_otp/targets -d 'target=172.24.148.136:31302'</v>
      </c>
    </row>
    <row r="55" spans="1:26">
      <c r="A55">
        <f>IF(ISNUMBER(SEARCH("rest_api",svc!R54)),1,0)</f>
        <v>1</v>
      </c>
      <c r="C55" t="str">
        <f>svc!D54</f>
        <v>trust</v>
      </c>
      <c r="D55" t="str">
        <f>svc!$B54</f>
        <v>v810</v>
      </c>
      <c r="E55">
        <f>svc!G54</f>
        <v>31302</v>
      </c>
      <c r="F55" t="str">
        <f>CONCATENATE("ups-",svc!$B54,"-",svc!I54)</f>
        <v>ups-v810-bes_cre_im002_otp</v>
      </c>
      <c r="G55" t="str">
        <f>CONCATENATE("svc-",svc!$B54,"-",svc!I54)</f>
        <v>svc-v810-bes_cre_im002_otp</v>
      </c>
      <c r="H55" t="str">
        <f>CONCATENATE("route-",VLOOKUP($D55,kong_np_var!$B$10:$D$16,2,FALSE),"-",svc!$B54,"-",svc!I54)</f>
        <v>route-v804-v810-bes_cre_im002_otp</v>
      </c>
      <c r="I55" t="str">
        <f>CONCATENATE(VLOOKUP($D55,kong_np_var!$B$20:$H$26,SUBSTITUTE(I$1,"target_","") + 1,FALSE),":",$E55)</f>
        <v>172.24.148.195:31302</v>
      </c>
      <c r="J55" t="str">
        <f>CONCATENATE(VLOOKUP($D55,kong_np_var!$B$20:$H$26,SUBSTITUTE(J$1,"target_","") + 1,FALSE),":",$E55)</f>
        <v>172.24.148.196:31302</v>
      </c>
      <c r="K55" t="str">
        <f>CONCATENATE(VLOOKUP($D55,kong_np_var!$B$20:$H$26,SUBSTITUTE(K$1,"target_","") + 1,FALSE),":",$E55)</f>
        <v>172.24.148.197:31302</v>
      </c>
      <c r="L55" t="str">
        <f>IF($C55="dmz","",CONCATENATE(VLOOKUP($D55,kong_np_var!$B$20:$H$26,SUBSTITUTE(L$1,"target_","") + 1,FALSE),":",$E55))</f>
        <v>172.24.148.198:31302</v>
      </c>
      <c r="M55" t="str">
        <f>IF($C55="dmz","",CONCATENATE(VLOOKUP($D55,kong_np_var!$B$20:$H$26,SUBSTITUTE(M$1,"target_","") + 1,FALSE),":",$E55))</f>
        <v>172.24.148.199:31302</v>
      </c>
      <c r="N55" t="str">
        <f>IF($C55="dmz","",CONCATENATE(VLOOKUP($D55,kong_np_var!$B$20:$H$26,SUBSTITUTE(N$1,"target_","") + 1,FALSE),":",$E55))</f>
        <v>172.24.148.200:31302</v>
      </c>
      <c r="O55" t="str">
        <f>VLOOKUP($D55,kong_np_var!$B$10:$D$16,3,FALSE)</f>
        <v>172.24.149.151</v>
      </c>
      <c r="P55" t="str">
        <f>CONCATENATE("/",C55,MID(D55,2,15),"/",svc!$I54)</f>
        <v>/trust810/bes_cre_im002_otp</v>
      </c>
      <c r="Q55" t="str">
        <f>VLOOKUP(C55,kong_np_var!$B$6:$C$7,2,FALSE)</f>
        <v>http://172.24.148.160:8001</v>
      </c>
      <c r="R55" t="str">
        <f>SUBSTITUTE(SUBSTITUTE(kong_np_var!$J$1,"&lt;upstream_name&gt;",$F55),"&lt;kong_api_url&gt;",$Q55)</f>
        <v>curl -X PUT http://172.24.148.160:8001/upstreams/ups-v810-bes_cre_im002_otp</v>
      </c>
      <c r="S55" t="str">
        <f>SUBSTITUTE(SUBSTITUTE(SUBSTITUTE(SUBSTITUTE(kong_np_var!$J$2,"&lt;kong_api_url&gt;",$Q55),"&lt;upstream_name&gt;",$F55),"&lt;port&gt;",$E55),"&lt;service_name&gt;",$G55)</f>
        <v>curl -X PUT http://172.24.148.160:8001/services/svc-v810-bes_cre_im002_otp -H "Content-Type: application/json" -d '{"protocol":"http","host":"ups-v810-bes_cre_im002_otp","port":31302}'</v>
      </c>
      <c r="T55" t="str">
        <f>SUBSTITUTE(SUBSTITUTE(SUBSTITUTE(SUBSTITUTE(SUBSTITUTE(kong_np_var!$J$3,"&lt;kong_api_url&gt;",$Q55),"&lt;route_name&gt;",$H55),"&lt;service_name&gt;",$G55),"&lt;host&gt;",$O55),"&lt;path&gt;",$P55)</f>
        <v>curl -X PUT http://172.24.148.160:8001/services/svc-v810-bes_cre_im002_otp/routes/route-v804-v810-bes_cre_im002_otp -H "Content-Type: application/json" -d '{"protocols":["http"],"hosts":["172.24.149.151"],"paths":["/trust810/bes_cre_im002_otp"]}'</v>
      </c>
      <c r="U55" t="str">
        <f t="shared" si="1"/>
        <v>curl -X POST http://172.24.148.160:8001/upstreams/ups-v810-bes_cre_im002_otp/targets -d 'target=172.24.148.195:31302'</v>
      </c>
      <c r="V55" t="str">
        <f t="shared" si="2"/>
        <v>curl -X POST http://172.24.148.160:8001/upstreams/ups-v810-bes_cre_im002_otp/targets -d 'target=172.24.148.196:31302'</v>
      </c>
      <c r="W55" t="str">
        <f t="shared" si="3"/>
        <v>curl -X POST http://172.24.148.160:8001/upstreams/ups-v810-bes_cre_im002_otp/targets -d 'target=172.24.148.197:31302'</v>
      </c>
      <c r="X55" t="str">
        <f t="shared" si="4"/>
        <v>curl -X POST http://172.24.148.160:8001/upstreams/ups-v810-bes_cre_im002_otp/targets -d 'target=172.24.148.198:31302'</v>
      </c>
      <c r="Y55" t="str">
        <f t="shared" si="5"/>
        <v>curl -X POST http://172.24.148.160:8001/upstreams/ups-v810-bes_cre_im002_otp/targets -d 'target=172.24.148.199:31302'</v>
      </c>
      <c r="Z55" t="str">
        <f t="shared" si="6"/>
        <v>curl -X POST http://172.24.148.160:8001/upstreams/ups-v810-bes_cre_im002_otp/targets -d 'target=172.24.148.200:31302'</v>
      </c>
    </row>
    <row r="56" spans="1:26">
      <c r="A56">
        <f>IF(ISNUMBER(SEARCH("rest_api",svc!R55)),1,0)</f>
        <v>1</v>
      </c>
      <c r="C56" t="str">
        <f>svc!D55</f>
        <v>trust</v>
      </c>
      <c r="D56" t="str">
        <f>svc!$B55</f>
        <v>v510</v>
      </c>
      <c r="E56">
        <f>svc!G55</f>
        <v>31307</v>
      </c>
      <c r="F56" t="str">
        <f>CONCATENATE("ups-",svc!$B55,"-",svc!I55)</f>
        <v>ups-v510-bes_cre_im007_notification_template_management</v>
      </c>
      <c r="G56" t="str">
        <f>CONCATENATE("svc-",svc!$B55,"-",svc!I55)</f>
        <v>svc-v510-bes_cre_im007_notification_template_management</v>
      </c>
      <c r="H56" t="str">
        <f>CONCATENATE("route-",VLOOKUP($D56,kong_np_var!$B$10:$D$16,2,FALSE),"-",svc!$B55,"-",svc!I55)</f>
        <v>route-v504-v510-bes_cre_im007_notification_template_management</v>
      </c>
      <c r="I56" t="str">
        <f>CONCATENATE(VLOOKUP($D56,kong_np_var!$B$20:$H$26,SUBSTITUTE(I$1,"target_","") + 1,FALSE),":",$E56)</f>
        <v>172.24.148.131:31307</v>
      </c>
      <c r="J56" t="str">
        <f>CONCATENATE(VLOOKUP($D56,kong_np_var!$B$20:$H$26,SUBSTITUTE(J$1,"target_","") + 1,FALSE),":",$E56)</f>
        <v>172.24.148.132:31307</v>
      </c>
      <c r="K56" t="str">
        <f>CONCATENATE(VLOOKUP($D56,kong_np_var!$B$20:$H$26,SUBSTITUTE(K$1,"target_","") + 1,FALSE),":",$E56)</f>
        <v>172.24.148.133:31307</v>
      </c>
      <c r="L56" t="str">
        <f>IF($C56="dmz","",CONCATENATE(VLOOKUP($D56,kong_np_var!$B$20:$H$26,SUBSTITUTE(L$1,"target_","") + 1,FALSE),":",$E56))</f>
        <v>172.24.148.134:31307</v>
      </c>
      <c r="M56" t="str">
        <f>IF($C56="dmz","",CONCATENATE(VLOOKUP($D56,kong_np_var!$B$20:$H$26,SUBSTITUTE(M$1,"target_","") + 1,FALSE),":",$E56))</f>
        <v>172.24.148.135:31307</v>
      </c>
      <c r="N56" t="str">
        <f>IF($C56="dmz","",CONCATENATE(VLOOKUP($D56,kong_np_var!$B$20:$H$26,SUBSTITUTE(N$1,"target_","") + 1,FALSE),":",$E56))</f>
        <v>172.24.148.136:31307</v>
      </c>
      <c r="O56" t="str">
        <f>VLOOKUP($D56,kong_np_var!$B$10:$D$16,3,FALSE)</f>
        <v>172.24.149.183</v>
      </c>
      <c r="P56" t="str">
        <f>CONCATENATE("/",C56,MID(D56,2,15),"/",svc!$I55)</f>
        <v>/trust510/bes_cre_im007_notification_template_management</v>
      </c>
      <c r="Q56" t="str">
        <f>VLOOKUP(C56,kong_np_var!$B$6:$C$7,2,FALSE)</f>
        <v>http://172.24.148.160:8001</v>
      </c>
      <c r="R56" t="str">
        <f>SUBSTITUTE(SUBSTITUTE(kong_np_var!$J$1,"&lt;upstream_name&gt;",$F56),"&lt;kong_api_url&gt;",$Q56)</f>
        <v>curl -X PUT http://172.24.148.160:8001/upstreams/ups-v510-bes_cre_im007_notification_template_management</v>
      </c>
      <c r="S56" t="str">
        <f>SUBSTITUTE(SUBSTITUTE(SUBSTITUTE(SUBSTITUTE(kong_np_var!$J$2,"&lt;kong_api_url&gt;",$Q56),"&lt;upstream_name&gt;",$F56),"&lt;port&gt;",$E56),"&lt;service_name&gt;",$G56)</f>
        <v>curl -X PUT http://172.24.148.160:8001/services/svc-v510-bes_cre_im007_notification_template_management -H "Content-Type: application/json" -d '{"protocol":"http","host":"ups-v510-bes_cre_im007_notification_template_management","port":31307}'</v>
      </c>
      <c r="T56" t="str">
        <f>SUBSTITUTE(SUBSTITUTE(SUBSTITUTE(SUBSTITUTE(SUBSTITUTE(kong_np_var!$J$3,"&lt;kong_api_url&gt;",$Q56),"&lt;route_name&gt;",$H56),"&lt;service_name&gt;",$G56),"&lt;host&gt;",$O56),"&lt;path&gt;",$P56)</f>
        <v>curl -X PUT http://172.24.148.160:8001/services/svc-v510-bes_cre_im007_notification_template_management/routes/route-v504-v510-bes_cre_im007_notification_template_management -H "Content-Type: application/json" -d '{"protocols":["http"],"hosts":["172.24.149.183"],"paths":["/trust510/bes_cre_im007_notification_template_management"]}'</v>
      </c>
      <c r="U56" t="str">
        <f t="shared" si="1"/>
        <v>curl -X POST http://172.24.148.160:8001/upstreams/ups-v510-bes_cre_im007_notification_template_management/targets -d 'target=172.24.148.131:31307'</v>
      </c>
      <c r="V56" t="str">
        <f t="shared" si="2"/>
        <v>curl -X POST http://172.24.148.160:8001/upstreams/ups-v510-bes_cre_im007_notification_template_management/targets -d 'target=172.24.148.132:31307'</v>
      </c>
      <c r="W56" t="str">
        <f t="shared" si="3"/>
        <v>curl -X POST http://172.24.148.160:8001/upstreams/ups-v510-bes_cre_im007_notification_template_management/targets -d 'target=172.24.148.133:31307'</v>
      </c>
      <c r="X56" t="str">
        <f t="shared" si="4"/>
        <v>curl -X POST http://172.24.148.160:8001/upstreams/ups-v510-bes_cre_im007_notification_template_management/targets -d 'target=172.24.148.134:31307'</v>
      </c>
      <c r="Y56" t="str">
        <f t="shared" si="5"/>
        <v>curl -X POST http://172.24.148.160:8001/upstreams/ups-v510-bes_cre_im007_notification_template_management/targets -d 'target=172.24.148.135:31307'</v>
      </c>
      <c r="Z56" t="str">
        <f t="shared" si="6"/>
        <v>curl -X POST http://172.24.148.160:8001/upstreams/ups-v510-bes_cre_im007_notification_template_management/targets -d 'target=172.24.148.136:31307'</v>
      </c>
    </row>
    <row r="57" spans="1:26">
      <c r="A57">
        <f>IF(ISNUMBER(SEARCH("rest_api",svc!R56)),1,0)</f>
        <v>1</v>
      </c>
      <c r="C57" t="str">
        <f>svc!D56</f>
        <v>trust</v>
      </c>
      <c r="D57" t="str">
        <f>svc!$B56</f>
        <v>v810</v>
      </c>
      <c r="E57">
        <f>svc!G56</f>
        <v>31307</v>
      </c>
      <c r="F57" t="str">
        <f>CONCATENATE("ups-",svc!$B56,"-",svc!I56)</f>
        <v>ups-v810-bes_cre_im007_notification_template_management</v>
      </c>
      <c r="G57" t="str">
        <f>CONCATENATE("svc-",svc!$B56,"-",svc!I56)</f>
        <v>svc-v810-bes_cre_im007_notification_template_management</v>
      </c>
      <c r="H57" t="str">
        <f>CONCATENATE("route-",VLOOKUP($D57,kong_np_var!$B$10:$D$16,2,FALSE),"-",svc!$B56,"-",svc!I56)</f>
        <v>route-v804-v810-bes_cre_im007_notification_template_management</v>
      </c>
      <c r="I57" t="str">
        <f>CONCATENATE(VLOOKUP($D57,kong_np_var!$B$20:$H$26,SUBSTITUTE(I$1,"target_","") + 1,FALSE),":",$E57)</f>
        <v>172.24.148.195:31307</v>
      </c>
      <c r="J57" t="str">
        <f>CONCATENATE(VLOOKUP($D57,kong_np_var!$B$20:$H$26,SUBSTITUTE(J$1,"target_","") + 1,FALSE),":",$E57)</f>
        <v>172.24.148.196:31307</v>
      </c>
      <c r="K57" t="str">
        <f>CONCATENATE(VLOOKUP($D57,kong_np_var!$B$20:$H$26,SUBSTITUTE(K$1,"target_","") + 1,FALSE),":",$E57)</f>
        <v>172.24.148.197:31307</v>
      </c>
      <c r="L57" t="str">
        <f>IF($C57="dmz","",CONCATENATE(VLOOKUP($D57,kong_np_var!$B$20:$H$26,SUBSTITUTE(L$1,"target_","") + 1,FALSE),":",$E57))</f>
        <v>172.24.148.198:31307</v>
      </c>
      <c r="M57" t="str">
        <f>IF($C57="dmz","",CONCATENATE(VLOOKUP($D57,kong_np_var!$B$20:$H$26,SUBSTITUTE(M$1,"target_","") + 1,FALSE),":",$E57))</f>
        <v>172.24.148.199:31307</v>
      </c>
      <c r="N57" t="str">
        <f>IF($C57="dmz","",CONCATENATE(VLOOKUP($D57,kong_np_var!$B$20:$H$26,SUBSTITUTE(N$1,"target_","") + 1,FALSE),":",$E57))</f>
        <v>172.24.148.200:31307</v>
      </c>
      <c r="O57" t="str">
        <f>VLOOKUP($D57,kong_np_var!$B$10:$D$16,3,FALSE)</f>
        <v>172.24.149.151</v>
      </c>
      <c r="P57" t="str">
        <f>CONCATENATE("/",C57,MID(D57,2,15),"/",svc!$I56)</f>
        <v>/trust810/bes_cre_im007_notification_template_management</v>
      </c>
      <c r="Q57" t="str">
        <f>VLOOKUP(C57,kong_np_var!$B$6:$C$7,2,FALSE)</f>
        <v>http://172.24.148.160:8001</v>
      </c>
      <c r="R57" t="str">
        <f>SUBSTITUTE(SUBSTITUTE(kong_np_var!$J$1,"&lt;upstream_name&gt;",$F57),"&lt;kong_api_url&gt;",$Q57)</f>
        <v>curl -X PUT http://172.24.148.160:8001/upstreams/ups-v810-bes_cre_im007_notification_template_management</v>
      </c>
      <c r="S57" t="str">
        <f>SUBSTITUTE(SUBSTITUTE(SUBSTITUTE(SUBSTITUTE(kong_np_var!$J$2,"&lt;kong_api_url&gt;",$Q57),"&lt;upstream_name&gt;",$F57),"&lt;port&gt;",$E57),"&lt;service_name&gt;",$G57)</f>
        <v>curl -X PUT http://172.24.148.160:8001/services/svc-v810-bes_cre_im007_notification_template_management -H "Content-Type: application/json" -d '{"protocol":"http","host":"ups-v810-bes_cre_im007_notification_template_management","port":31307}'</v>
      </c>
      <c r="T57" t="str">
        <f>SUBSTITUTE(SUBSTITUTE(SUBSTITUTE(SUBSTITUTE(SUBSTITUTE(kong_np_var!$J$3,"&lt;kong_api_url&gt;",$Q57),"&lt;route_name&gt;",$H57),"&lt;service_name&gt;",$G57),"&lt;host&gt;",$O57),"&lt;path&gt;",$P57)</f>
        <v>curl -X PUT http://172.24.148.160:8001/services/svc-v810-bes_cre_im007_notification_template_management/routes/route-v804-v810-bes_cre_im007_notification_template_management -H "Content-Type: application/json" -d '{"protocols":["http"],"hosts":["172.24.149.151"],"paths":["/trust810/bes_cre_im007_notification_template_management"]}'</v>
      </c>
      <c r="U57" t="str">
        <f t="shared" si="1"/>
        <v>curl -X POST http://172.24.148.160:8001/upstreams/ups-v810-bes_cre_im007_notification_template_management/targets -d 'target=172.24.148.195:31307'</v>
      </c>
      <c r="V57" t="str">
        <f t="shared" si="2"/>
        <v>curl -X POST http://172.24.148.160:8001/upstreams/ups-v810-bes_cre_im007_notification_template_management/targets -d 'target=172.24.148.196:31307'</v>
      </c>
      <c r="W57" t="str">
        <f t="shared" si="3"/>
        <v>curl -X POST http://172.24.148.160:8001/upstreams/ups-v810-bes_cre_im007_notification_template_management/targets -d 'target=172.24.148.197:31307'</v>
      </c>
      <c r="X57" t="str">
        <f t="shared" si="4"/>
        <v>curl -X POST http://172.24.148.160:8001/upstreams/ups-v810-bes_cre_im007_notification_template_management/targets -d 'target=172.24.148.198:31307'</v>
      </c>
      <c r="Y57" t="str">
        <f t="shared" si="5"/>
        <v>curl -X POST http://172.24.148.160:8001/upstreams/ups-v810-bes_cre_im007_notification_template_management/targets -d 'target=172.24.148.199:31307'</v>
      </c>
      <c r="Z57" t="str">
        <f t="shared" si="6"/>
        <v>curl -X POST http://172.24.148.160:8001/upstreams/ups-v810-bes_cre_im007_notification_template_management/targets -d 'target=172.24.148.200:31307'</v>
      </c>
    </row>
    <row r="58" spans="1:26">
      <c r="A58">
        <f>IF(ISNUMBER(SEARCH("rest_api",svc!R57)),1,0)</f>
        <v>1</v>
      </c>
      <c r="C58" t="str">
        <f>svc!D57</f>
        <v>trust</v>
      </c>
      <c r="D58" t="str">
        <f>svc!$B57</f>
        <v>v510</v>
      </c>
      <c r="E58">
        <f>svc!G57</f>
        <v>31308</v>
      </c>
      <c r="F58" t="str">
        <f>CONCATENATE("ups-",svc!$B57,"-",svc!I57)</f>
        <v>ups-v510-bes_cre_im008_notification_message_management</v>
      </c>
      <c r="G58" t="str">
        <f>CONCATENATE("svc-",svc!$B57,"-",svc!I57)</f>
        <v>svc-v510-bes_cre_im008_notification_message_management</v>
      </c>
      <c r="H58" t="str">
        <f>CONCATENATE("route-",VLOOKUP($D58,kong_np_var!$B$10:$D$16,2,FALSE),"-",svc!$B57,"-",svc!I57)</f>
        <v>route-v504-v510-bes_cre_im008_notification_message_management</v>
      </c>
      <c r="I58" t="str">
        <f>CONCATENATE(VLOOKUP($D58,kong_np_var!$B$20:$H$26,SUBSTITUTE(I$1,"target_","") + 1,FALSE),":",$E58)</f>
        <v>172.24.148.131:31308</v>
      </c>
      <c r="J58" t="str">
        <f>CONCATENATE(VLOOKUP($D58,kong_np_var!$B$20:$H$26,SUBSTITUTE(J$1,"target_","") + 1,FALSE),":",$E58)</f>
        <v>172.24.148.132:31308</v>
      </c>
      <c r="K58" t="str">
        <f>CONCATENATE(VLOOKUP($D58,kong_np_var!$B$20:$H$26,SUBSTITUTE(K$1,"target_","") + 1,FALSE),":",$E58)</f>
        <v>172.24.148.133:31308</v>
      </c>
      <c r="L58" t="str">
        <f>IF($C58="dmz","",CONCATENATE(VLOOKUP($D58,kong_np_var!$B$20:$H$26,SUBSTITUTE(L$1,"target_","") + 1,FALSE),":",$E58))</f>
        <v>172.24.148.134:31308</v>
      </c>
      <c r="M58" t="str">
        <f>IF($C58="dmz","",CONCATENATE(VLOOKUP($D58,kong_np_var!$B$20:$H$26,SUBSTITUTE(M$1,"target_","") + 1,FALSE),":",$E58))</f>
        <v>172.24.148.135:31308</v>
      </c>
      <c r="N58" t="str">
        <f>IF($C58="dmz","",CONCATENATE(VLOOKUP($D58,kong_np_var!$B$20:$H$26,SUBSTITUTE(N$1,"target_","") + 1,FALSE),":",$E58))</f>
        <v>172.24.148.136:31308</v>
      </c>
      <c r="O58" t="str">
        <f>VLOOKUP($D58,kong_np_var!$B$10:$D$16,3,FALSE)</f>
        <v>172.24.149.183</v>
      </c>
      <c r="P58" t="str">
        <f>CONCATENATE("/",C58,MID(D58,2,15),"/",svc!$I57)</f>
        <v>/trust510/bes_cre_im008_notification_message_management</v>
      </c>
      <c r="Q58" t="str">
        <f>VLOOKUP(C58,kong_np_var!$B$6:$C$7,2,FALSE)</f>
        <v>http://172.24.148.160:8001</v>
      </c>
      <c r="R58" t="str">
        <f>SUBSTITUTE(SUBSTITUTE(kong_np_var!$J$1,"&lt;upstream_name&gt;",$F58),"&lt;kong_api_url&gt;",$Q58)</f>
        <v>curl -X PUT http://172.24.148.160:8001/upstreams/ups-v510-bes_cre_im008_notification_message_management</v>
      </c>
      <c r="S58" t="str">
        <f>SUBSTITUTE(SUBSTITUTE(SUBSTITUTE(SUBSTITUTE(kong_np_var!$J$2,"&lt;kong_api_url&gt;",$Q58),"&lt;upstream_name&gt;",$F58),"&lt;port&gt;",$E58),"&lt;service_name&gt;",$G58)</f>
        <v>curl -X PUT http://172.24.148.160:8001/services/svc-v510-bes_cre_im008_notification_message_management -H "Content-Type: application/json" -d '{"protocol":"http","host":"ups-v510-bes_cre_im008_notification_message_management","port":31308}'</v>
      </c>
      <c r="T58" t="str">
        <f>SUBSTITUTE(SUBSTITUTE(SUBSTITUTE(SUBSTITUTE(SUBSTITUTE(kong_np_var!$J$3,"&lt;kong_api_url&gt;",$Q58),"&lt;route_name&gt;",$H58),"&lt;service_name&gt;",$G58),"&lt;host&gt;",$O58),"&lt;path&gt;",$P58)</f>
        <v>curl -X PUT http://172.24.148.160:8001/services/svc-v510-bes_cre_im008_notification_message_management/routes/route-v504-v510-bes_cre_im008_notification_message_management -H "Content-Type: application/json" -d '{"protocols":["http"],"hosts":["172.24.149.183"],"paths":["/trust510/bes_cre_im008_notification_message_management"]}'</v>
      </c>
      <c r="U58" t="str">
        <f t="shared" si="1"/>
        <v>curl -X POST http://172.24.148.160:8001/upstreams/ups-v510-bes_cre_im008_notification_message_management/targets -d 'target=172.24.148.131:31308'</v>
      </c>
      <c r="V58" t="str">
        <f t="shared" si="2"/>
        <v>curl -X POST http://172.24.148.160:8001/upstreams/ups-v510-bes_cre_im008_notification_message_management/targets -d 'target=172.24.148.132:31308'</v>
      </c>
      <c r="W58" t="str">
        <f t="shared" si="3"/>
        <v>curl -X POST http://172.24.148.160:8001/upstreams/ups-v510-bes_cre_im008_notification_message_management/targets -d 'target=172.24.148.133:31308'</v>
      </c>
      <c r="X58" t="str">
        <f t="shared" si="4"/>
        <v>curl -X POST http://172.24.148.160:8001/upstreams/ups-v510-bes_cre_im008_notification_message_management/targets -d 'target=172.24.148.134:31308'</v>
      </c>
      <c r="Y58" t="str">
        <f t="shared" si="5"/>
        <v>curl -X POST http://172.24.148.160:8001/upstreams/ups-v510-bes_cre_im008_notification_message_management/targets -d 'target=172.24.148.135:31308'</v>
      </c>
      <c r="Z58" t="str">
        <f t="shared" si="6"/>
        <v>curl -X POST http://172.24.148.160:8001/upstreams/ups-v510-bes_cre_im008_notification_message_management/targets -d 'target=172.24.148.136:31308'</v>
      </c>
    </row>
    <row r="59" spans="1:26">
      <c r="A59">
        <f>IF(ISNUMBER(SEARCH("rest_api",svc!R58)),1,0)</f>
        <v>1</v>
      </c>
      <c r="C59" t="str">
        <f>svc!D58</f>
        <v>trust</v>
      </c>
      <c r="D59" t="str">
        <f>svc!$B58</f>
        <v>v810</v>
      </c>
      <c r="E59">
        <f>svc!G58</f>
        <v>31308</v>
      </c>
      <c r="F59" t="str">
        <f>CONCATENATE("ups-",svc!$B58,"-",svc!I58)</f>
        <v>ups-v810-bes_cre_im008_notification_message_management</v>
      </c>
      <c r="G59" t="str">
        <f>CONCATENATE("svc-",svc!$B58,"-",svc!I58)</f>
        <v>svc-v810-bes_cre_im008_notification_message_management</v>
      </c>
      <c r="H59" t="str">
        <f>CONCATENATE("route-",VLOOKUP($D59,kong_np_var!$B$10:$D$16,2,FALSE),"-",svc!$B58,"-",svc!I58)</f>
        <v>route-v804-v810-bes_cre_im008_notification_message_management</v>
      </c>
      <c r="I59" t="str">
        <f>CONCATENATE(VLOOKUP($D59,kong_np_var!$B$20:$H$26,SUBSTITUTE(I$1,"target_","") + 1,FALSE),":",$E59)</f>
        <v>172.24.148.195:31308</v>
      </c>
      <c r="J59" t="str">
        <f>CONCATENATE(VLOOKUP($D59,kong_np_var!$B$20:$H$26,SUBSTITUTE(J$1,"target_","") + 1,FALSE),":",$E59)</f>
        <v>172.24.148.196:31308</v>
      </c>
      <c r="K59" t="str">
        <f>CONCATENATE(VLOOKUP($D59,kong_np_var!$B$20:$H$26,SUBSTITUTE(K$1,"target_","") + 1,FALSE),":",$E59)</f>
        <v>172.24.148.197:31308</v>
      </c>
      <c r="L59" t="str">
        <f>IF($C59="dmz","",CONCATENATE(VLOOKUP($D59,kong_np_var!$B$20:$H$26,SUBSTITUTE(L$1,"target_","") + 1,FALSE),":",$E59))</f>
        <v>172.24.148.198:31308</v>
      </c>
      <c r="M59" t="str">
        <f>IF($C59="dmz","",CONCATENATE(VLOOKUP($D59,kong_np_var!$B$20:$H$26,SUBSTITUTE(M$1,"target_","") + 1,FALSE),":",$E59))</f>
        <v>172.24.148.199:31308</v>
      </c>
      <c r="N59" t="str">
        <f>IF($C59="dmz","",CONCATENATE(VLOOKUP($D59,kong_np_var!$B$20:$H$26,SUBSTITUTE(N$1,"target_","") + 1,FALSE),":",$E59))</f>
        <v>172.24.148.200:31308</v>
      </c>
      <c r="O59" t="str">
        <f>VLOOKUP($D59,kong_np_var!$B$10:$D$16,3,FALSE)</f>
        <v>172.24.149.151</v>
      </c>
      <c r="P59" t="str">
        <f>CONCATENATE("/",C59,MID(D59,2,15),"/",svc!$I58)</f>
        <v>/trust810/bes_cre_im008_notification_message_management</v>
      </c>
      <c r="Q59" t="str">
        <f>VLOOKUP(C59,kong_np_var!$B$6:$C$7,2,FALSE)</f>
        <v>http://172.24.148.160:8001</v>
      </c>
      <c r="R59" t="str">
        <f>SUBSTITUTE(SUBSTITUTE(kong_np_var!$J$1,"&lt;upstream_name&gt;",$F59),"&lt;kong_api_url&gt;",$Q59)</f>
        <v>curl -X PUT http://172.24.148.160:8001/upstreams/ups-v810-bes_cre_im008_notification_message_management</v>
      </c>
      <c r="S59" t="str">
        <f>SUBSTITUTE(SUBSTITUTE(SUBSTITUTE(SUBSTITUTE(kong_np_var!$J$2,"&lt;kong_api_url&gt;",$Q59),"&lt;upstream_name&gt;",$F59),"&lt;port&gt;",$E59),"&lt;service_name&gt;",$G59)</f>
        <v>curl -X PUT http://172.24.148.160:8001/services/svc-v810-bes_cre_im008_notification_message_management -H "Content-Type: application/json" -d '{"protocol":"http","host":"ups-v810-bes_cre_im008_notification_message_management","port":31308}'</v>
      </c>
      <c r="T59" t="str">
        <f>SUBSTITUTE(SUBSTITUTE(SUBSTITUTE(SUBSTITUTE(SUBSTITUTE(kong_np_var!$J$3,"&lt;kong_api_url&gt;",$Q59),"&lt;route_name&gt;",$H59),"&lt;service_name&gt;",$G59),"&lt;host&gt;",$O59),"&lt;path&gt;",$P59)</f>
        <v>curl -X PUT http://172.24.148.160:8001/services/svc-v810-bes_cre_im008_notification_message_management/routes/route-v804-v810-bes_cre_im008_notification_message_management -H "Content-Type: application/json" -d '{"protocols":["http"],"hosts":["172.24.149.151"],"paths":["/trust810/bes_cre_im008_notification_message_management"]}'</v>
      </c>
      <c r="U59" t="str">
        <f t="shared" si="1"/>
        <v>curl -X POST http://172.24.148.160:8001/upstreams/ups-v810-bes_cre_im008_notification_message_management/targets -d 'target=172.24.148.195:31308'</v>
      </c>
      <c r="V59" t="str">
        <f t="shared" si="2"/>
        <v>curl -X POST http://172.24.148.160:8001/upstreams/ups-v810-bes_cre_im008_notification_message_management/targets -d 'target=172.24.148.196:31308'</v>
      </c>
      <c r="W59" t="str">
        <f t="shared" si="3"/>
        <v>curl -X POST http://172.24.148.160:8001/upstreams/ups-v810-bes_cre_im008_notification_message_management/targets -d 'target=172.24.148.197:31308'</v>
      </c>
      <c r="X59" t="str">
        <f t="shared" si="4"/>
        <v>curl -X POST http://172.24.148.160:8001/upstreams/ups-v810-bes_cre_im008_notification_message_management/targets -d 'target=172.24.148.198:31308'</v>
      </c>
      <c r="Y59" t="str">
        <f t="shared" si="5"/>
        <v>curl -X POST http://172.24.148.160:8001/upstreams/ups-v810-bes_cre_im008_notification_message_management/targets -d 'target=172.24.148.199:31308'</v>
      </c>
      <c r="Z59" t="str">
        <f t="shared" si="6"/>
        <v>curl -X POST http://172.24.148.160:8001/upstreams/ups-v810-bes_cre_im008_notification_message_management/targets -d 'target=172.24.148.200:31308'</v>
      </c>
    </row>
    <row r="60" spans="1:26">
      <c r="A60">
        <f>IF(ISNUMBER(SEARCH("rest_api",svc!R59)),1,0)</f>
        <v>1</v>
      </c>
      <c r="C60" t="str">
        <f>svc!D59</f>
        <v>trust</v>
      </c>
      <c r="D60" t="str">
        <f>svc!$B59</f>
        <v>v510</v>
      </c>
      <c r="E60">
        <f>svc!G59</f>
        <v>31309</v>
      </c>
      <c r="F60" t="str">
        <f>CONCATENATE("ups-",svc!$B59,"-",svc!I59)</f>
        <v>ups-v510-bes_cre_im009_notification_processor</v>
      </c>
      <c r="G60" t="str">
        <f>CONCATENATE("svc-",svc!$B59,"-",svc!I59)</f>
        <v>svc-v510-bes_cre_im009_notification_processor</v>
      </c>
      <c r="H60" t="str">
        <f>CONCATENATE("route-",VLOOKUP($D60,kong_np_var!$B$10:$D$16,2,FALSE),"-",svc!$B59,"-",svc!I59)</f>
        <v>route-v504-v510-bes_cre_im009_notification_processor</v>
      </c>
      <c r="I60" t="str">
        <f>CONCATENATE(VLOOKUP($D60,kong_np_var!$B$20:$H$26,SUBSTITUTE(I$1,"target_","") + 1,FALSE),":",$E60)</f>
        <v>172.24.148.131:31309</v>
      </c>
      <c r="J60" t="str">
        <f>CONCATENATE(VLOOKUP($D60,kong_np_var!$B$20:$H$26,SUBSTITUTE(J$1,"target_","") + 1,FALSE),":",$E60)</f>
        <v>172.24.148.132:31309</v>
      </c>
      <c r="K60" t="str">
        <f>CONCATENATE(VLOOKUP($D60,kong_np_var!$B$20:$H$26,SUBSTITUTE(K$1,"target_","") + 1,FALSE),":",$E60)</f>
        <v>172.24.148.133:31309</v>
      </c>
      <c r="L60" t="str">
        <f>IF($C60="dmz","",CONCATENATE(VLOOKUP($D60,kong_np_var!$B$20:$H$26,SUBSTITUTE(L$1,"target_","") + 1,FALSE),":",$E60))</f>
        <v>172.24.148.134:31309</v>
      </c>
      <c r="M60" t="str">
        <f>IF($C60="dmz","",CONCATENATE(VLOOKUP($D60,kong_np_var!$B$20:$H$26,SUBSTITUTE(M$1,"target_","") + 1,FALSE),":",$E60))</f>
        <v>172.24.148.135:31309</v>
      </c>
      <c r="N60" t="str">
        <f>IF($C60="dmz","",CONCATENATE(VLOOKUP($D60,kong_np_var!$B$20:$H$26,SUBSTITUTE(N$1,"target_","") + 1,FALSE),":",$E60))</f>
        <v>172.24.148.136:31309</v>
      </c>
      <c r="O60" t="str">
        <f>VLOOKUP($D60,kong_np_var!$B$10:$D$16,3,FALSE)</f>
        <v>172.24.149.183</v>
      </c>
      <c r="P60" t="str">
        <f>CONCATENATE("/",C60,MID(D60,2,15),"/",svc!$I59)</f>
        <v>/trust510/bes_cre_im009_notification_processor</v>
      </c>
      <c r="Q60" t="str">
        <f>VLOOKUP(C60,kong_np_var!$B$6:$C$7,2,FALSE)</f>
        <v>http://172.24.148.160:8001</v>
      </c>
      <c r="R60" t="str">
        <f>SUBSTITUTE(SUBSTITUTE(kong_np_var!$J$1,"&lt;upstream_name&gt;",$F60),"&lt;kong_api_url&gt;",$Q60)</f>
        <v>curl -X PUT http://172.24.148.160:8001/upstreams/ups-v510-bes_cre_im009_notification_processor</v>
      </c>
      <c r="S60" t="str">
        <f>SUBSTITUTE(SUBSTITUTE(SUBSTITUTE(SUBSTITUTE(kong_np_var!$J$2,"&lt;kong_api_url&gt;",$Q60),"&lt;upstream_name&gt;",$F60),"&lt;port&gt;",$E60),"&lt;service_name&gt;",$G60)</f>
        <v>curl -X PUT http://172.24.148.160:8001/services/svc-v510-bes_cre_im009_notification_processor -H "Content-Type: application/json" -d '{"protocol":"http","host":"ups-v510-bes_cre_im009_notification_processor","port":31309}'</v>
      </c>
      <c r="T60" t="str">
        <f>SUBSTITUTE(SUBSTITUTE(SUBSTITUTE(SUBSTITUTE(SUBSTITUTE(kong_np_var!$J$3,"&lt;kong_api_url&gt;",$Q60),"&lt;route_name&gt;",$H60),"&lt;service_name&gt;",$G60),"&lt;host&gt;",$O60),"&lt;path&gt;",$P60)</f>
        <v>curl -X PUT http://172.24.148.160:8001/services/svc-v510-bes_cre_im009_notification_processor/routes/route-v504-v510-bes_cre_im009_notification_processor -H "Content-Type: application/json" -d '{"protocols":["http"],"hosts":["172.24.149.183"],"paths":["/trust510/bes_cre_im009_notification_processor"]}'</v>
      </c>
      <c r="U60" t="str">
        <f t="shared" si="1"/>
        <v>curl -X POST http://172.24.148.160:8001/upstreams/ups-v510-bes_cre_im009_notification_processor/targets -d 'target=172.24.148.131:31309'</v>
      </c>
      <c r="V60" t="str">
        <f t="shared" si="2"/>
        <v>curl -X POST http://172.24.148.160:8001/upstreams/ups-v510-bes_cre_im009_notification_processor/targets -d 'target=172.24.148.132:31309'</v>
      </c>
      <c r="W60" t="str">
        <f t="shared" si="3"/>
        <v>curl -X POST http://172.24.148.160:8001/upstreams/ups-v510-bes_cre_im009_notification_processor/targets -d 'target=172.24.148.133:31309'</v>
      </c>
      <c r="X60" t="str">
        <f t="shared" si="4"/>
        <v>curl -X POST http://172.24.148.160:8001/upstreams/ups-v510-bes_cre_im009_notification_processor/targets -d 'target=172.24.148.134:31309'</v>
      </c>
      <c r="Y60" t="str">
        <f t="shared" si="5"/>
        <v>curl -X POST http://172.24.148.160:8001/upstreams/ups-v510-bes_cre_im009_notification_processor/targets -d 'target=172.24.148.135:31309'</v>
      </c>
      <c r="Z60" t="str">
        <f t="shared" si="6"/>
        <v>curl -X POST http://172.24.148.160:8001/upstreams/ups-v510-bes_cre_im009_notification_processor/targets -d 'target=172.24.148.136:31309'</v>
      </c>
    </row>
    <row r="61" spans="1:26">
      <c r="A61">
        <f>IF(ISNUMBER(SEARCH("rest_api",svc!R60)),1,0)</f>
        <v>1</v>
      </c>
      <c r="C61" t="str">
        <f>svc!D60</f>
        <v>trust</v>
      </c>
      <c r="D61" t="str">
        <f>svc!$B60</f>
        <v>v810</v>
      </c>
      <c r="E61">
        <f>svc!G60</f>
        <v>31309</v>
      </c>
      <c r="F61" t="str">
        <f>CONCATENATE("ups-",svc!$B60,"-",svc!I60)</f>
        <v>ups-v810-bes_cre_im009_notification_processor</v>
      </c>
      <c r="G61" t="str">
        <f>CONCATENATE("svc-",svc!$B60,"-",svc!I60)</f>
        <v>svc-v810-bes_cre_im009_notification_processor</v>
      </c>
      <c r="H61" t="str">
        <f>CONCATENATE("route-",VLOOKUP($D61,kong_np_var!$B$10:$D$16,2,FALSE),"-",svc!$B60,"-",svc!I60)</f>
        <v>route-v804-v810-bes_cre_im009_notification_processor</v>
      </c>
      <c r="I61" t="str">
        <f>CONCATENATE(VLOOKUP($D61,kong_np_var!$B$20:$H$26,SUBSTITUTE(I$1,"target_","") + 1,FALSE),":",$E61)</f>
        <v>172.24.148.195:31309</v>
      </c>
      <c r="J61" t="str">
        <f>CONCATENATE(VLOOKUP($D61,kong_np_var!$B$20:$H$26,SUBSTITUTE(J$1,"target_","") + 1,FALSE),":",$E61)</f>
        <v>172.24.148.196:31309</v>
      </c>
      <c r="K61" t="str">
        <f>CONCATENATE(VLOOKUP($D61,kong_np_var!$B$20:$H$26,SUBSTITUTE(K$1,"target_","") + 1,FALSE),":",$E61)</f>
        <v>172.24.148.197:31309</v>
      </c>
      <c r="L61" t="str">
        <f>IF($C61="dmz","",CONCATENATE(VLOOKUP($D61,kong_np_var!$B$20:$H$26,SUBSTITUTE(L$1,"target_","") + 1,FALSE),":",$E61))</f>
        <v>172.24.148.198:31309</v>
      </c>
      <c r="M61" t="str">
        <f>IF($C61="dmz","",CONCATENATE(VLOOKUP($D61,kong_np_var!$B$20:$H$26,SUBSTITUTE(M$1,"target_","") + 1,FALSE),":",$E61))</f>
        <v>172.24.148.199:31309</v>
      </c>
      <c r="N61" t="str">
        <f>IF($C61="dmz","",CONCATENATE(VLOOKUP($D61,kong_np_var!$B$20:$H$26,SUBSTITUTE(N$1,"target_","") + 1,FALSE),":",$E61))</f>
        <v>172.24.148.200:31309</v>
      </c>
      <c r="O61" t="str">
        <f>VLOOKUP($D61,kong_np_var!$B$10:$D$16,3,FALSE)</f>
        <v>172.24.149.151</v>
      </c>
      <c r="P61" t="str">
        <f>CONCATENATE("/",C61,MID(D61,2,15),"/",svc!$I60)</f>
        <v>/trust810/bes_cre_im009_notification_processor</v>
      </c>
      <c r="Q61" t="str">
        <f>VLOOKUP(C61,kong_np_var!$B$6:$C$7,2,FALSE)</f>
        <v>http://172.24.148.160:8001</v>
      </c>
      <c r="R61" t="str">
        <f>SUBSTITUTE(SUBSTITUTE(kong_np_var!$J$1,"&lt;upstream_name&gt;",$F61),"&lt;kong_api_url&gt;",$Q61)</f>
        <v>curl -X PUT http://172.24.148.160:8001/upstreams/ups-v810-bes_cre_im009_notification_processor</v>
      </c>
      <c r="S61" t="str">
        <f>SUBSTITUTE(SUBSTITUTE(SUBSTITUTE(SUBSTITUTE(kong_np_var!$J$2,"&lt;kong_api_url&gt;",$Q61),"&lt;upstream_name&gt;",$F61),"&lt;port&gt;",$E61),"&lt;service_name&gt;",$G61)</f>
        <v>curl -X PUT http://172.24.148.160:8001/services/svc-v810-bes_cre_im009_notification_processor -H "Content-Type: application/json" -d '{"protocol":"http","host":"ups-v810-bes_cre_im009_notification_processor","port":31309}'</v>
      </c>
      <c r="T61" t="str">
        <f>SUBSTITUTE(SUBSTITUTE(SUBSTITUTE(SUBSTITUTE(SUBSTITUTE(kong_np_var!$J$3,"&lt;kong_api_url&gt;",$Q61),"&lt;route_name&gt;",$H61),"&lt;service_name&gt;",$G61),"&lt;host&gt;",$O61),"&lt;path&gt;",$P61)</f>
        <v>curl -X PUT http://172.24.148.160:8001/services/svc-v810-bes_cre_im009_notification_processor/routes/route-v804-v810-bes_cre_im009_notification_processor -H "Content-Type: application/json" -d '{"protocols":["http"],"hosts":["172.24.149.151"],"paths":["/trust810/bes_cre_im009_notification_processor"]}'</v>
      </c>
      <c r="U61" t="str">
        <f t="shared" si="1"/>
        <v>curl -X POST http://172.24.148.160:8001/upstreams/ups-v810-bes_cre_im009_notification_processor/targets -d 'target=172.24.148.195:31309'</v>
      </c>
      <c r="V61" t="str">
        <f t="shared" si="2"/>
        <v>curl -X POST http://172.24.148.160:8001/upstreams/ups-v810-bes_cre_im009_notification_processor/targets -d 'target=172.24.148.196:31309'</v>
      </c>
      <c r="W61" t="str">
        <f t="shared" si="3"/>
        <v>curl -X POST http://172.24.148.160:8001/upstreams/ups-v810-bes_cre_im009_notification_processor/targets -d 'target=172.24.148.197:31309'</v>
      </c>
      <c r="X61" t="str">
        <f t="shared" si="4"/>
        <v>curl -X POST http://172.24.148.160:8001/upstreams/ups-v810-bes_cre_im009_notification_processor/targets -d 'target=172.24.148.198:31309'</v>
      </c>
      <c r="Y61" t="str">
        <f t="shared" si="5"/>
        <v>curl -X POST http://172.24.148.160:8001/upstreams/ups-v810-bes_cre_im009_notification_processor/targets -d 'target=172.24.148.199:31309'</v>
      </c>
      <c r="Z61" t="str">
        <f t="shared" si="6"/>
        <v>curl -X POST http://172.24.148.160:8001/upstreams/ups-v810-bes_cre_im009_notification_processor/targets -d 'target=172.24.148.200:31309'</v>
      </c>
    </row>
    <row r="62" spans="1:26">
      <c r="A62">
        <f>IF(ISNUMBER(SEARCH("rest_api",svc!R61)),1,0)</f>
        <v>1</v>
      </c>
      <c r="C62" t="str">
        <f>svc!D61</f>
        <v>trust</v>
      </c>
      <c r="D62" t="str">
        <f>svc!$B61</f>
        <v>v510</v>
      </c>
      <c r="E62">
        <f>svc!G61</f>
        <v>31310</v>
      </c>
      <c r="F62" t="str">
        <f>CONCATENATE("ups-",svc!$B61,"-",svc!I61)</f>
        <v>ups-v510-bes_cre_im010_shortlink</v>
      </c>
      <c r="G62" t="str">
        <f>CONCATENATE("svc-",svc!$B61,"-",svc!I61)</f>
        <v>svc-v510-bes_cre_im010_shortlink</v>
      </c>
      <c r="H62" t="str">
        <f>CONCATENATE("route-",VLOOKUP($D62,kong_np_var!$B$10:$D$16,2,FALSE),"-",svc!$B61,"-",svc!I61)</f>
        <v>route-v504-v510-bes_cre_im010_shortlink</v>
      </c>
      <c r="I62" t="str">
        <f>CONCATENATE(VLOOKUP($D62,kong_np_var!$B$20:$H$26,SUBSTITUTE(I$1,"target_","") + 1,FALSE),":",$E62)</f>
        <v>172.24.148.131:31310</v>
      </c>
      <c r="J62" t="str">
        <f>CONCATENATE(VLOOKUP($D62,kong_np_var!$B$20:$H$26,SUBSTITUTE(J$1,"target_","") + 1,FALSE),":",$E62)</f>
        <v>172.24.148.132:31310</v>
      </c>
      <c r="K62" t="str">
        <f>CONCATENATE(VLOOKUP($D62,kong_np_var!$B$20:$H$26,SUBSTITUTE(K$1,"target_","") + 1,FALSE),":",$E62)</f>
        <v>172.24.148.133:31310</v>
      </c>
      <c r="L62" t="str">
        <f>IF($C62="dmz","",CONCATENATE(VLOOKUP($D62,kong_np_var!$B$20:$H$26,SUBSTITUTE(L$1,"target_","") + 1,FALSE),":",$E62))</f>
        <v>172.24.148.134:31310</v>
      </c>
      <c r="M62" t="str">
        <f>IF($C62="dmz","",CONCATENATE(VLOOKUP($D62,kong_np_var!$B$20:$H$26,SUBSTITUTE(M$1,"target_","") + 1,FALSE),":",$E62))</f>
        <v>172.24.148.135:31310</v>
      </c>
      <c r="N62" t="str">
        <f>IF($C62="dmz","",CONCATENATE(VLOOKUP($D62,kong_np_var!$B$20:$H$26,SUBSTITUTE(N$1,"target_","") + 1,FALSE),":",$E62))</f>
        <v>172.24.148.136:31310</v>
      </c>
      <c r="O62" t="str">
        <f>VLOOKUP($D62,kong_np_var!$B$10:$D$16,3,FALSE)</f>
        <v>172.24.149.183</v>
      </c>
      <c r="P62" t="str">
        <f>CONCATENATE("/",C62,MID(D62,2,15),"/",svc!$I61)</f>
        <v>/trust510/bes_cre_im010_shortlink</v>
      </c>
      <c r="Q62" t="str">
        <f>VLOOKUP(C62,kong_np_var!$B$6:$C$7,2,FALSE)</f>
        <v>http://172.24.148.160:8001</v>
      </c>
      <c r="R62" t="str">
        <f>SUBSTITUTE(SUBSTITUTE(kong_np_var!$J$1,"&lt;upstream_name&gt;",$F62),"&lt;kong_api_url&gt;",$Q62)</f>
        <v>curl -X PUT http://172.24.148.160:8001/upstreams/ups-v510-bes_cre_im010_shortlink</v>
      </c>
      <c r="S62" t="str">
        <f>SUBSTITUTE(SUBSTITUTE(SUBSTITUTE(SUBSTITUTE(kong_np_var!$J$2,"&lt;kong_api_url&gt;",$Q62),"&lt;upstream_name&gt;",$F62),"&lt;port&gt;",$E62),"&lt;service_name&gt;",$G62)</f>
        <v>curl -X PUT http://172.24.148.160:8001/services/svc-v510-bes_cre_im010_shortlink -H "Content-Type: application/json" -d '{"protocol":"http","host":"ups-v510-bes_cre_im010_shortlink","port":31310}'</v>
      </c>
      <c r="T62" t="str">
        <f>SUBSTITUTE(SUBSTITUTE(SUBSTITUTE(SUBSTITUTE(SUBSTITUTE(kong_np_var!$J$3,"&lt;kong_api_url&gt;",$Q62),"&lt;route_name&gt;",$H62),"&lt;service_name&gt;",$G62),"&lt;host&gt;",$O62),"&lt;path&gt;",$P62)</f>
        <v>curl -X PUT http://172.24.148.160:8001/services/svc-v510-bes_cre_im010_shortlink/routes/route-v504-v510-bes_cre_im010_shortlink -H "Content-Type: application/json" -d '{"protocols":["http"],"hosts":["172.24.149.183"],"paths":["/trust510/bes_cre_im010_shortlink"]}'</v>
      </c>
      <c r="U62" t="str">
        <f t="shared" si="1"/>
        <v>curl -X POST http://172.24.148.160:8001/upstreams/ups-v510-bes_cre_im010_shortlink/targets -d 'target=172.24.148.131:31310'</v>
      </c>
      <c r="V62" t="str">
        <f t="shared" si="2"/>
        <v>curl -X POST http://172.24.148.160:8001/upstreams/ups-v510-bes_cre_im010_shortlink/targets -d 'target=172.24.148.132:31310'</v>
      </c>
      <c r="W62" t="str">
        <f t="shared" si="3"/>
        <v>curl -X POST http://172.24.148.160:8001/upstreams/ups-v510-bes_cre_im010_shortlink/targets -d 'target=172.24.148.133:31310'</v>
      </c>
      <c r="X62" t="str">
        <f t="shared" si="4"/>
        <v>curl -X POST http://172.24.148.160:8001/upstreams/ups-v510-bes_cre_im010_shortlink/targets -d 'target=172.24.148.134:31310'</v>
      </c>
      <c r="Y62" t="str">
        <f t="shared" si="5"/>
        <v>curl -X POST http://172.24.148.160:8001/upstreams/ups-v510-bes_cre_im010_shortlink/targets -d 'target=172.24.148.135:31310'</v>
      </c>
      <c r="Z62" t="str">
        <f t="shared" si="6"/>
        <v>curl -X POST http://172.24.148.160:8001/upstreams/ups-v510-bes_cre_im010_shortlink/targets -d 'target=172.24.148.136:31310'</v>
      </c>
    </row>
    <row r="63" spans="1:26">
      <c r="A63">
        <f>IF(ISNUMBER(SEARCH("rest_api",svc!R62)),1,0)</f>
        <v>1</v>
      </c>
      <c r="C63" t="str">
        <f>svc!D62</f>
        <v>trust</v>
      </c>
      <c r="D63" t="str">
        <f>svc!$B62</f>
        <v>v810</v>
      </c>
      <c r="E63">
        <f>svc!G62</f>
        <v>31310</v>
      </c>
      <c r="F63" t="str">
        <f>CONCATENATE("ups-",svc!$B62,"-",svc!I62)</f>
        <v>ups-v810-bes_cre_im010_shortlink</v>
      </c>
      <c r="G63" t="str">
        <f>CONCATENATE("svc-",svc!$B62,"-",svc!I62)</f>
        <v>svc-v810-bes_cre_im010_shortlink</v>
      </c>
      <c r="H63" t="str">
        <f>CONCATENATE("route-",VLOOKUP($D63,kong_np_var!$B$10:$D$16,2,FALSE),"-",svc!$B62,"-",svc!I62)</f>
        <v>route-v804-v810-bes_cre_im010_shortlink</v>
      </c>
      <c r="I63" t="str">
        <f>CONCATENATE(VLOOKUP($D63,kong_np_var!$B$20:$H$26,SUBSTITUTE(I$1,"target_","") + 1,FALSE),":",$E63)</f>
        <v>172.24.148.195:31310</v>
      </c>
      <c r="J63" t="str">
        <f>CONCATENATE(VLOOKUP($D63,kong_np_var!$B$20:$H$26,SUBSTITUTE(J$1,"target_","") + 1,FALSE),":",$E63)</f>
        <v>172.24.148.196:31310</v>
      </c>
      <c r="K63" t="str">
        <f>CONCATENATE(VLOOKUP($D63,kong_np_var!$B$20:$H$26,SUBSTITUTE(K$1,"target_","") + 1,FALSE),":",$E63)</f>
        <v>172.24.148.197:31310</v>
      </c>
      <c r="L63" t="str">
        <f>IF($C63="dmz","",CONCATENATE(VLOOKUP($D63,kong_np_var!$B$20:$H$26,SUBSTITUTE(L$1,"target_","") + 1,FALSE),":",$E63))</f>
        <v>172.24.148.198:31310</v>
      </c>
      <c r="M63" t="str">
        <f>IF($C63="dmz","",CONCATENATE(VLOOKUP($D63,kong_np_var!$B$20:$H$26,SUBSTITUTE(M$1,"target_","") + 1,FALSE),":",$E63))</f>
        <v>172.24.148.199:31310</v>
      </c>
      <c r="N63" t="str">
        <f>IF($C63="dmz","",CONCATENATE(VLOOKUP($D63,kong_np_var!$B$20:$H$26,SUBSTITUTE(N$1,"target_","") + 1,FALSE),":",$E63))</f>
        <v>172.24.148.200:31310</v>
      </c>
      <c r="O63" t="str">
        <f>VLOOKUP($D63,kong_np_var!$B$10:$D$16,3,FALSE)</f>
        <v>172.24.149.151</v>
      </c>
      <c r="P63" t="str">
        <f>CONCATENATE("/",C63,MID(D63,2,15),"/",svc!$I62)</f>
        <v>/trust810/bes_cre_im010_shortlink</v>
      </c>
      <c r="Q63" t="str">
        <f>VLOOKUP(C63,kong_np_var!$B$6:$C$7,2,FALSE)</f>
        <v>http://172.24.148.160:8001</v>
      </c>
      <c r="R63" t="str">
        <f>SUBSTITUTE(SUBSTITUTE(kong_np_var!$J$1,"&lt;upstream_name&gt;",$F63),"&lt;kong_api_url&gt;",$Q63)</f>
        <v>curl -X PUT http://172.24.148.160:8001/upstreams/ups-v810-bes_cre_im010_shortlink</v>
      </c>
      <c r="S63" t="str">
        <f>SUBSTITUTE(SUBSTITUTE(SUBSTITUTE(SUBSTITUTE(kong_np_var!$J$2,"&lt;kong_api_url&gt;",$Q63),"&lt;upstream_name&gt;",$F63),"&lt;port&gt;",$E63),"&lt;service_name&gt;",$G63)</f>
        <v>curl -X PUT http://172.24.148.160:8001/services/svc-v810-bes_cre_im010_shortlink -H "Content-Type: application/json" -d '{"protocol":"http","host":"ups-v810-bes_cre_im010_shortlink","port":31310}'</v>
      </c>
      <c r="T63" t="str">
        <f>SUBSTITUTE(SUBSTITUTE(SUBSTITUTE(SUBSTITUTE(SUBSTITUTE(kong_np_var!$J$3,"&lt;kong_api_url&gt;",$Q63),"&lt;route_name&gt;",$H63),"&lt;service_name&gt;",$G63),"&lt;host&gt;",$O63),"&lt;path&gt;",$P63)</f>
        <v>curl -X PUT http://172.24.148.160:8001/services/svc-v810-bes_cre_im010_shortlink/routes/route-v804-v810-bes_cre_im010_shortlink -H "Content-Type: application/json" -d '{"protocols":["http"],"hosts":["172.24.149.151"],"paths":["/trust810/bes_cre_im010_shortlink"]}'</v>
      </c>
      <c r="U63" t="str">
        <f t="shared" si="1"/>
        <v>curl -X POST http://172.24.148.160:8001/upstreams/ups-v810-bes_cre_im010_shortlink/targets -d 'target=172.24.148.195:31310'</v>
      </c>
      <c r="V63" t="str">
        <f t="shared" si="2"/>
        <v>curl -X POST http://172.24.148.160:8001/upstreams/ups-v810-bes_cre_im010_shortlink/targets -d 'target=172.24.148.196:31310'</v>
      </c>
      <c r="W63" t="str">
        <f t="shared" si="3"/>
        <v>curl -X POST http://172.24.148.160:8001/upstreams/ups-v810-bes_cre_im010_shortlink/targets -d 'target=172.24.148.197:31310'</v>
      </c>
      <c r="X63" t="str">
        <f t="shared" si="4"/>
        <v>curl -X POST http://172.24.148.160:8001/upstreams/ups-v810-bes_cre_im010_shortlink/targets -d 'target=172.24.148.198:31310'</v>
      </c>
      <c r="Y63" t="str">
        <f t="shared" si="5"/>
        <v>curl -X POST http://172.24.148.160:8001/upstreams/ups-v810-bes_cre_im010_shortlink/targets -d 'target=172.24.148.199:31310'</v>
      </c>
      <c r="Z63" t="str">
        <f t="shared" si="6"/>
        <v>curl -X POST http://172.24.148.160:8001/upstreams/ups-v810-bes_cre_im010_shortlink/targets -d 'target=172.24.148.200:31310'</v>
      </c>
    </row>
    <row r="64" spans="1:26" hidden="1">
      <c r="A64">
        <f>IF(ISNUMBER(SEARCH("rest_api",svc!R63)),1,0)</f>
        <v>0</v>
      </c>
      <c r="C64" t="str">
        <f>svc!D63</f>
        <v>trust</v>
      </c>
      <c r="D64" t="str">
        <f>svc!$B63</f>
        <v>v510</v>
      </c>
      <c r="E64" t="str">
        <f>svc!G63</f>
        <v>N/A</v>
      </c>
      <c r="F64" t="str">
        <f>CONCATENATE("ups-",svc!$B63,"-",svc!I63)</f>
        <v>ups-v510-bes_notification_pulsar_consumer_services</v>
      </c>
      <c r="G64" t="str">
        <f>CONCATENATE("svc-",svc!$B63,"-",svc!I63)</f>
        <v>svc-v510-bes_notification_pulsar_consumer_services</v>
      </c>
      <c r="H64" t="str">
        <f>CONCATENATE("route-",VLOOKUP($D64,kong_np_var!$B$10:$D$16,2,FALSE),"-",svc!$B63,"-",svc!I63)</f>
        <v>route-v504-v510-bes_notification_pulsar_consumer_services</v>
      </c>
      <c r="I64" t="str">
        <f>CONCATENATE(VLOOKUP($D64,kong_np_var!$B$20:$H$26,SUBSTITUTE(I$1,"target_","") + 1,FALSE),":",$E64)</f>
        <v>172.24.148.131:N/A</v>
      </c>
      <c r="J64" t="str">
        <f>CONCATENATE(VLOOKUP($D64,kong_np_var!$B$20:$H$26,SUBSTITUTE(J$1,"target_","") + 1,FALSE),":",$E64)</f>
        <v>172.24.148.132:N/A</v>
      </c>
      <c r="K64" t="str">
        <f>CONCATENATE(VLOOKUP($D64,kong_np_var!$B$20:$H$26,SUBSTITUTE(K$1,"target_","") + 1,FALSE),":",$E64)</f>
        <v>172.24.148.133:N/A</v>
      </c>
      <c r="L64" t="str">
        <f>IF($C64="dmz","",CONCATENATE(VLOOKUP($D64,kong_np_var!$B$20:$H$26,SUBSTITUTE(L$1,"target_","") + 1,FALSE),":",$E64))</f>
        <v>172.24.148.134:N/A</v>
      </c>
      <c r="M64" t="str">
        <f>IF($C64="dmz","",CONCATENATE(VLOOKUP($D64,kong_np_var!$B$20:$H$26,SUBSTITUTE(M$1,"target_","") + 1,FALSE),":",$E64))</f>
        <v>172.24.148.135:N/A</v>
      </c>
      <c r="N64" t="str">
        <f>IF($C64="dmz","",CONCATENATE(VLOOKUP($D64,kong_np_var!$B$20:$H$26,SUBSTITUTE(N$1,"target_","") + 1,FALSE),":",$E64))</f>
        <v>172.24.148.136:N/A</v>
      </c>
      <c r="O64" t="str">
        <f>VLOOKUP($D64,kong_np_var!$B$10:$D$16,3,FALSE)</f>
        <v>172.24.149.183</v>
      </c>
      <c r="P64" t="str">
        <f>CONCATENATE("/",C64,MID(D64,2,15),"/",svc!$I63)</f>
        <v>/trust510/bes_notification_pulsar_consumer_services</v>
      </c>
      <c r="Q64" t="str">
        <f>VLOOKUP(C64,kong_np_var!$B$6:$C$7,2,FALSE)</f>
        <v>http://172.24.148.160:8001</v>
      </c>
      <c r="R64" t="str">
        <f>SUBSTITUTE(SUBSTITUTE(kong_np_var!$J$1,"&lt;upstream_name&gt;",$F64),"&lt;kong_api_url&gt;",$Q64)</f>
        <v>curl -X PUT http://172.24.148.160:8001/upstreams/ups-v510-bes_notification_pulsar_consumer_services</v>
      </c>
      <c r="S64" t="str">
        <f>SUBSTITUTE(SUBSTITUTE(SUBSTITUTE(SUBSTITUTE(kong_np_var!$J$2,"&lt;kong_api_url&gt;",$Q64),"&lt;upstream_name&gt;",$F64),"&lt;port&gt;",$E64),"&lt;service_name&gt;",$G64)</f>
        <v>curl -X PUT http://172.24.148.160:8001/services/svc-v510-bes_notification_pulsar_consumer_services -H "Content-Type: application/json" -d '{"protocol":"http","host":"ups-v510-bes_notification_pulsar_consumer_services","port":N/A}'</v>
      </c>
      <c r="T64" t="str">
        <f>SUBSTITUTE(SUBSTITUTE(SUBSTITUTE(SUBSTITUTE(SUBSTITUTE(kong_np_var!$J$3,"&lt;kong_api_url&gt;",$Q64),"&lt;route_name&gt;",$H64),"&lt;service_name&gt;",$G64),"&lt;host&gt;",$O64),"&lt;path&gt;",$P64)</f>
        <v>curl -X PUT http://172.24.148.160:8001/services/svc-v510-bes_notification_pulsar_consumer_services/routes/route-v504-v510-bes_notification_pulsar_consumer_services -H "Content-Type: application/json" -d '{"protocols":["http"],"hosts":["172.24.149.183"],"paths":["/trust510/bes_notification_pulsar_consumer_services"]}'</v>
      </c>
      <c r="U64" t="str">
        <f t="shared" si="1"/>
        <v>curl -X POST http://172.24.148.160:8001/upstreams/ups-v510-bes_notification_pulsar_consumer_services/targets -d 'target=172.24.148.131:N/A'</v>
      </c>
      <c r="V64" t="str">
        <f t="shared" si="2"/>
        <v>curl -X POST http://172.24.148.160:8001/upstreams/ups-v510-bes_notification_pulsar_consumer_services/targets -d 'target=172.24.148.132:N/A'</v>
      </c>
      <c r="W64" t="str">
        <f t="shared" si="3"/>
        <v>curl -X POST http://172.24.148.160:8001/upstreams/ups-v510-bes_notification_pulsar_consumer_services/targets -d 'target=172.24.148.133:N/A'</v>
      </c>
      <c r="X64" t="str">
        <f t="shared" si="4"/>
        <v>curl -X POST http://172.24.148.160:8001/upstreams/ups-v510-bes_notification_pulsar_consumer_services/targets -d 'target=172.24.148.134:N/A'</v>
      </c>
      <c r="Y64" t="str">
        <f t="shared" si="5"/>
        <v>curl -X POST http://172.24.148.160:8001/upstreams/ups-v510-bes_notification_pulsar_consumer_services/targets -d 'target=172.24.148.135:N/A'</v>
      </c>
      <c r="Z64" t="str">
        <f t="shared" si="6"/>
        <v>curl -X POST http://172.24.148.160:8001/upstreams/ups-v510-bes_notification_pulsar_consumer_services/targets -d 'target=172.24.148.136:N/A'</v>
      </c>
    </row>
    <row r="65" spans="1:26" hidden="1">
      <c r="A65">
        <f>IF(ISNUMBER(SEARCH("rest_api",svc!R64)),1,0)</f>
        <v>0</v>
      </c>
      <c r="C65" t="str">
        <f>svc!D64</f>
        <v>trust</v>
      </c>
      <c r="D65" t="str">
        <f>svc!$B64</f>
        <v>v510</v>
      </c>
      <c r="E65" t="str">
        <f>svc!G64</f>
        <v>N/A</v>
      </c>
      <c r="F65" t="str">
        <f>CONCATENATE("ups-",svc!$B64,"-",svc!I64)</f>
        <v>ups-v510-bes_notification_push_app_services</v>
      </c>
      <c r="G65" t="str">
        <f>CONCATENATE("svc-",svc!$B64,"-",svc!I64)</f>
        <v>svc-v510-bes_notification_push_app_services</v>
      </c>
      <c r="H65" t="str">
        <f>CONCATENATE("route-",VLOOKUP($D65,kong_np_var!$B$10:$D$16,2,FALSE),"-",svc!$B64,"-",svc!I64)</f>
        <v>route-v504-v510-bes_notification_push_app_services</v>
      </c>
      <c r="I65" t="str">
        <f>CONCATENATE(VLOOKUP($D65,kong_np_var!$B$20:$H$26,SUBSTITUTE(I$1,"target_","") + 1,FALSE),":",$E65)</f>
        <v>172.24.148.131:N/A</v>
      </c>
      <c r="J65" t="str">
        <f>CONCATENATE(VLOOKUP($D65,kong_np_var!$B$20:$H$26,SUBSTITUTE(J$1,"target_","") + 1,FALSE),":",$E65)</f>
        <v>172.24.148.132:N/A</v>
      </c>
      <c r="K65" t="str">
        <f>CONCATENATE(VLOOKUP($D65,kong_np_var!$B$20:$H$26,SUBSTITUTE(K$1,"target_","") + 1,FALSE),":",$E65)</f>
        <v>172.24.148.133:N/A</v>
      </c>
      <c r="L65" t="str">
        <f>IF($C65="dmz","",CONCATENATE(VLOOKUP($D65,kong_np_var!$B$20:$H$26,SUBSTITUTE(L$1,"target_","") + 1,FALSE),":",$E65))</f>
        <v>172.24.148.134:N/A</v>
      </c>
      <c r="M65" t="str">
        <f>IF($C65="dmz","",CONCATENATE(VLOOKUP($D65,kong_np_var!$B$20:$H$26,SUBSTITUTE(M$1,"target_","") + 1,FALSE),":",$E65))</f>
        <v>172.24.148.135:N/A</v>
      </c>
      <c r="N65" t="str">
        <f>IF($C65="dmz","",CONCATENATE(VLOOKUP($D65,kong_np_var!$B$20:$H$26,SUBSTITUTE(N$1,"target_","") + 1,FALSE),":",$E65))</f>
        <v>172.24.148.136:N/A</v>
      </c>
      <c r="O65" t="str">
        <f>VLOOKUP($D65,kong_np_var!$B$10:$D$16,3,FALSE)</f>
        <v>172.24.149.183</v>
      </c>
      <c r="P65" t="str">
        <f>CONCATENATE("/",C65,MID(D65,2,15),"/",svc!$I64)</f>
        <v>/trust510/bes_notification_push_app_services</v>
      </c>
      <c r="Q65" t="str">
        <f>VLOOKUP(C65,kong_np_var!$B$6:$C$7,2,FALSE)</f>
        <v>http://172.24.148.160:8001</v>
      </c>
      <c r="R65" t="str">
        <f>SUBSTITUTE(SUBSTITUTE(kong_np_var!$J$1,"&lt;upstream_name&gt;",$F65),"&lt;kong_api_url&gt;",$Q65)</f>
        <v>curl -X PUT http://172.24.148.160:8001/upstreams/ups-v510-bes_notification_push_app_services</v>
      </c>
      <c r="S65" t="str">
        <f>SUBSTITUTE(SUBSTITUTE(SUBSTITUTE(SUBSTITUTE(kong_np_var!$J$2,"&lt;kong_api_url&gt;",$Q65),"&lt;upstream_name&gt;",$F65),"&lt;port&gt;",$E65),"&lt;service_name&gt;",$G65)</f>
        <v>curl -X PUT http://172.24.148.160:8001/services/svc-v510-bes_notification_push_app_services -H "Content-Type: application/json" -d '{"protocol":"http","host":"ups-v510-bes_notification_push_app_services","port":N/A}'</v>
      </c>
      <c r="T65" t="str">
        <f>SUBSTITUTE(SUBSTITUTE(SUBSTITUTE(SUBSTITUTE(SUBSTITUTE(kong_np_var!$J$3,"&lt;kong_api_url&gt;",$Q65),"&lt;route_name&gt;",$H65),"&lt;service_name&gt;",$G65),"&lt;host&gt;",$O65),"&lt;path&gt;",$P65)</f>
        <v>curl -X PUT http://172.24.148.160:8001/services/svc-v510-bes_notification_push_app_services/routes/route-v504-v510-bes_notification_push_app_services -H "Content-Type: application/json" -d '{"protocols":["http"],"hosts":["172.24.149.183"],"paths":["/trust510/bes_notification_push_app_services"]}'</v>
      </c>
      <c r="U65" t="str">
        <f t="shared" si="1"/>
        <v>curl -X POST http://172.24.148.160:8001/upstreams/ups-v510-bes_notification_push_app_services/targets -d 'target=172.24.148.131:N/A'</v>
      </c>
      <c r="V65" t="str">
        <f t="shared" si="2"/>
        <v>curl -X POST http://172.24.148.160:8001/upstreams/ups-v510-bes_notification_push_app_services/targets -d 'target=172.24.148.132:N/A'</v>
      </c>
      <c r="W65" t="str">
        <f t="shared" si="3"/>
        <v>curl -X POST http://172.24.148.160:8001/upstreams/ups-v510-bes_notification_push_app_services/targets -d 'target=172.24.148.133:N/A'</v>
      </c>
      <c r="X65" t="str">
        <f t="shared" si="4"/>
        <v>curl -X POST http://172.24.148.160:8001/upstreams/ups-v510-bes_notification_push_app_services/targets -d 'target=172.24.148.134:N/A'</v>
      </c>
      <c r="Y65" t="str">
        <f t="shared" si="5"/>
        <v>curl -X POST http://172.24.148.160:8001/upstreams/ups-v510-bes_notification_push_app_services/targets -d 'target=172.24.148.135:N/A'</v>
      </c>
      <c r="Z65" t="str">
        <f t="shared" si="6"/>
        <v>curl -X POST http://172.24.148.160:8001/upstreams/ups-v510-bes_notification_push_app_services/targets -d 'target=172.24.148.136:N/A'</v>
      </c>
    </row>
    <row r="66" spans="1:26" hidden="1">
      <c r="A66">
        <f>IF(ISNUMBER(SEARCH("rest_api",svc!R65)),1,0)</f>
        <v>0</v>
      </c>
      <c r="C66" t="str">
        <f>svc!D65</f>
        <v>trust</v>
      </c>
      <c r="D66" t="str">
        <f>svc!$B65</f>
        <v>v510</v>
      </c>
      <c r="E66" t="str">
        <f>svc!G65</f>
        <v>N/A</v>
      </c>
      <c r="F66" t="str">
        <f>CONCATENATE("ups-",svc!$B65,"-",svc!I65)</f>
        <v>ups-v510-bes_notification_push_email_services</v>
      </c>
      <c r="G66" t="str">
        <f>CONCATENATE("svc-",svc!$B65,"-",svc!I65)</f>
        <v>svc-v510-bes_notification_push_email_services</v>
      </c>
      <c r="H66" t="str">
        <f>CONCATENATE("route-",VLOOKUP($D66,kong_np_var!$B$10:$D$16,2,FALSE),"-",svc!$B65,"-",svc!I65)</f>
        <v>route-v504-v510-bes_notification_push_email_services</v>
      </c>
      <c r="I66" t="str">
        <f>CONCATENATE(VLOOKUP($D66,kong_np_var!$B$20:$H$26,SUBSTITUTE(I$1,"target_","") + 1,FALSE),":",$E66)</f>
        <v>172.24.148.131:N/A</v>
      </c>
      <c r="J66" t="str">
        <f>CONCATENATE(VLOOKUP($D66,kong_np_var!$B$20:$H$26,SUBSTITUTE(J$1,"target_","") + 1,FALSE),":",$E66)</f>
        <v>172.24.148.132:N/A</v>
      </c>
      <c r="K66" t="str">
        <f>CONCATENATE(VLOOKUP($D66,kong_np_var!$B$20:$H$26,SUBSTITUTE(K$1,"target_","") + 1,FALSE),":",$E66)</f>
        <v>172.24.148.133:N/A</v>
      </c>
      <c r="L66" t="str">
        <f>IF($C66="dmz","",CONCATENATE(VLOOKUP($D66,kong_np_var!$B$20:$H$26,SUBSTITUTE(L$1,"target_","") + 1,FALSE),":",$E66))</f>
        <v>172.24.148.134:N/A</v>
      </c>
      <c r="M66" t="str">
        <f>IF($C66="dmz","",CONCATENATE(VLOOKUP($D66,kong_np_var!$B$20:$H$26,SUBSTITUTE(M$1,"target_","") + 1,FALSE),":",$E66))</f>
        <v>172.24.148.135:N/A</v>
      </c>
      <c r="N66" t="str">
        <f>IF($C66="dmz","",CONCATENATE(VLOOKUP($D66,kong_np_var!$B$20:$H$26,SUBSTITUTE(N$1,"target_","") + 1,FALSE),":",$E66))</f>
        <v>172.24.148.136:N/A</v>
      </c>
      <c r="O66" t="str">
        <f>VLOOKUP($D66,kong_np_var!$B$10:$D$16,3,FALSE)</f>
        <v>172.24.149.183</v>
      </c>
      <c r="P66" t="str">
        <f>CONCATENATE("/",C66,MID(D66,2,15),"/",svc!$I65)</f>
        <v>/trust510/bes_notification_push_email_services</v>
      </c>
      <c r="Q66" t="str">
        <f>VLOOKUP(C66,kong_np_var!$B$6:$C$7,2,FALSE)</f>
        <v>http://172.24.148.160:8001</v>
      </c>
      <c r="R66" t="str">
        <f>SUBSTITUTE(SUBSTITUTE(kong_np_var!$J$1,"&lt;upstream_name&gt;",$F66),"&lt;kong_api_url&gt;",$Q66)</f>
        <v>curl -X PUT http://172.24.148.160:8001/upstreams/ups-v510-bes_notification_push_email_services</v>
      </c>
      <c r="S66" t="str">
        <f>SUBSTITUTE(SUBSTITUTE(SUBSTITUTE(SUBSTITUTE(kong_np_var!$J$2,"&lt;kong_api_url&gt;",$Q66),"&lt;upstream_name&gt;",$F66),"&lt;port&gt;",$E66),"&lt;service_name&gt;",$G66)</f>
        <v>curl -X PUT http://172.24.148.160:8001/services/svc-v510-bes_notification_push_email_services -H "Content-Type: application/json" -d '{"protocol":"http","host":"ups-v510-bes_notification_push_email_services","port":N/A}'</v>
      </c>
      <c r="T66" t="str">
        <f>SUBSTITUTE(SUBSTITUTE(SUBSTITUTE(SUBSTITUTE(SUBSTITUTE(kong_np_var!$J$3,"&lt;kong_api_url&gt;",$Q66),"&lt;route_name&gt;",$H66),"&lt;service_name&gt;",$G66),"&lt;host&gt;",$O66),"&lt;path&gt;",$P66)</f>
        <v>curl -X PUT http://172.24.148.160:8001/services/svc-v510-bes_notification_push_email_services/routes/route-v504-v510-bes_notification_push_email_services -H "Content-Type: application/json" -d '{"protocols":["http"],"hosts":["172.24.149.183"],"paths":["/trust510/bes_notification_push_email_services"]}'</v>
      </c>
      <c r="U66" t="str">
        <f t="shared" si="1"/>
        <v>curl -X POST http://172.24.148.160:8001/upstreams/ups-v510-bes_notification_push_email_services/targets -d 'target=172.24.148.131:N/A'</v>
      </c>
      <c r="V66" t="str">
        <f t="shared" si="2"/>
        <v>curl -X POST http://172.24.148.160:8001/upstreams/ups-v510-bes_notification_push_email_services/targets -d 'target=172.24.148.132:N/A'</v>
      </c>
      <c r="W66" t="str">
        <f t="shared" si="3"/>
        <v>curl -X POST http://172.24.148.160:8001/upstreams/ups-v510-bes_notification_push_email_services/targets -d 'target=172.24.148.133:N/A'</v>
      </c>
      <c r="X66" t="str">
        <f t="shared" si="4"/>
        <v>curl -X POST http://172.24.148.160:8001/upstreams/ups-v510-bes_notification_push_email_services/targets -d 'target=172.24.148.134:N/A'</v>
      </c>
      <c r="Y66" t="str">
        <f t="shared" si="5"/>
        <v>curl -X POST http://172.24.148.160:8001/upstreams/ups-v510-bes_notification_push_email_services/targets -d 'target=172.24.148.135:N/A'</v>
      </c>
      <c r="Z66" t="str">
        <f t="shared" si="6"/>
        <v>curl -X POST http://172.24.148.160:8001/upstreams/ups-v510-bes_notification_push_email_services/targets -d 'target=172.24.148.136:N/A'</v>
      </c>
    </row>
    <row r="67" spans="1:26" hidden="1">
      <c r="A67">
        <f>IF(ISNUMBER(SEARCH("rest_api",svc!R66)),1,0)</f>
        <v>0</v>
      </c>
      <c r="C67" t="str">
        <f>svc!D66</f>
        <v>trust</v>
      </c>
      <c r="D67" t="str">
        <f>svc!$B66</f>
        <v>v510</v>
      </c>
      <c r="E67" t="str">
        <f>svc!G66</f>
        <v>N/A</v>
      </c>
      <c r="F67" t="str">
        <f>CONCATENATE("ups-",svc!$B66,"-",svc!I66)</f>
        <v>ups-v510-bes_notification_push_sms_services</v>
      </c>
      <c r="G67" t="str">
        <f>CONCATENATE("svc-",svc!$B66,"-",svc!I66)</f>
        <v>svc-v510-bes_notification_push_sms_services</v>
      </c>
      <c r="H67" t="str">
        <f>CONCATENATE("route-",VLOOKUP($D67,kong_np_var!$B$10:$D$16,2,FALSE),"-",svc!$B66,"-",svc!I66)</f>
        <v>route-v504-v510-bes_notification_push_sms_services</v>
      </c>
      <c r="I67" t="str">
        <f>CONCATENATE(VLOOKUP($D67,kong_np_var!$B$20:$H$26,SUBSTITUTE(I$1,"target_","") + 1,FALSE),":",$E67)</f>
        <v>172.24.148.131:N/A</v>
      </c>
      <c r="J67" t="str">
        <f>CONCATENATE(VLOOKUP($D67,kong_np_var!$B$20:$H$26,SUBSTITUTE(J$1,"target_","") + 1,FALSE),":",$E67)</f>
        <v>172.24.148.132:N/A</v>
      </c>
      <c r="K67" t="str">
        <f>CONCATENATE(VLOOKUP($D67,kong_np_var!$B$20:$H$26,SUBSTITUTE(K$1,"target_","") + 1,FALSE),":",$E67)</f>
        <v>172.24.148.133:N/A</v>
      </c>
      <c r="L67" t="str">
        <f>IF($C67="dmz","",CONCATENATE(VLOOKUP($D67,kong_np_var!$B$20:$H$26,SUBSTITUTE(L$1,"target_","") + 1,FALSE),":",$E67))</f>
        <v>172.24.148.134:N/A</v>
      </c>
      <c r="M67" t="str">
        <f>IF($C67="dmz","",CONCATENATE(VLOOKUP($D67,kong_np_var!$B$20:$H$26,SUBSTITUTE(M$1,"target_","") + 1,FALSE),":",$E67))</f>
        <v>172.24.148.135:N/A</v>
      </c>
      <c r="N67" t="str">
        <f>IF($C67="dmz","",CONCATENATE(VLOOKUP($D67,kong_np_var!$B$20:$H$26,SUBSTITUTE(N$1,"target_","") + 1,FALSE),":",$E67))</f>
        <v>172.24.148.136:N/A</v>
      </c>
      <c r="O67" t="str">
        <f>VLOOKUP($D67,kong_np_var!$B$10:$D$16,3,FALSE)</f>
        <v>172.24.149.183</v>
      </c>
      <c r="P67" t="str">
        <f>CONCATENATE("/",C67,MID(D67,2,15),"/",svc!$I66)</f>
        <v>/trust510/bes_notification_push_sms_services</v>
      </c>
      <c r="Q67" t="str">
        <f>VLOOKUP(C67,kong_np_var!$B$6:$C$7,2,FALSE)</f>
        <v>http://172.24.148.160:8001</v>
      </c>
      <c r="R67" t="str">
        <f>SUBSTITUTE(SUBSTITUTE(kong_np_var!$J$1,"&lt;upstream_name&gt;",$F67),"&lt;kong_api_url&gt;",$Q67)</f>
        <v>curl -X PUT http://172.24.148.160:8001/upstreams/ups-v510-bes_notification_push_sms_services</v>
      </c>
      <c r="S67" t="str">
        <f>SUBSTITUTE(SUBSTITUTE(SUBSTITUTE(SUBSTITUTE(kong_np_var!$J$2,"&lt;kong_api_url&gt;",$Q67),"&lt;upstream_name&gt;",$F67),"&lt;port&gt;",$E67),"&lt;service_name&gt;",$G67)</f>
        <v>curl -X PUT http://172.24.148.160:8001/services/svc-v510-bes_notification_push_sms_services -H "Content-Type: application/json" -d '{"protocol":"http","host":"ups-v510-bes_notification_push_sms_services","port":N/A}'</v>
      </c>
      <c r="T67" t="str">
        <f>SUBSTITUTE(SUBSTITUTE(SUBSTITUTE(SUBSTITUTE(SUBSTITUTE(kong_np_var!$J$3,"&lt;kong_api_url&gt;",$Q67),"&lt;route_name&gt;",$H67),"&lt;service_name&gt;",$G67),"&lt;host&gt;",$O67),"&lt;path&gt;",$P67)</f>
        <v>curl -X PUT http://172.24.148.160:8001/services/svc-v510-bes_notification_push_sms_services/routes/route-v504-v510-bes_notification_push_sms_services -H "Content-Type: application/json" -d '{"protocols":["http"],"hosts":["172.24.149.183"],"paths":["/trust510/bes_notification_push_sms_services"]}'</v>
      </c>
      <c r="U67" t="str">
        <f t="shared" ref="U67:U109" si="7">IF(I67="","","curl -X POST " &amp; $Q67 &amp; "/upstreams/"&amp; $F67 &amp;"/targets -d 'target="&amp; I67 &amp; "'")</f>
        <v>curl -X POST http://172.24.148.160:8001/upstreams/ups-v510-bes_notification_push_sms_services/targets -d 'target=172.24.148.131:N/A'</v>
      </c>
      <c r="V67" t="str">
        <f t="shared" ref="V67:V109" si="8">IF(J67="","","curl -X POST " &amp; $Q67 &amp; "/upstreams/"&amp; $F67 &amp;"/targets -d 'target="&amp; J67 &amp; "'")</f>
        <v>curl -X POST http://172.24.148.160:8001/upstreams/ups-v510-bes_notification_push_sms_services/targets -d 'target=172.24.148.132:N/A'</v>
      </c>
      <c r="W67" t="str">
        <f t="shared" ref="W67:W109" si="9">IF(K67="","","curl -X POST " &amp; $Q67 &amp; "/upstreams/"&amp; $F67 &amp;"/targets -d 'target="&amp; K67 &amp; "'")</f>
        <v>curl -X POST http://172.24.148.160:8001/upstreams/ups-v510-bes_notification_push_sms_services/targets -d 'target=172.24.148.133:N/A'</v>
      </c>
      <c r="X67" t="str">
        <f t="shared" ref="X67:X109" si="10">IF(L67="","","curl -X POST " &amp; $Q67 &amp; "/upstreams/"&amp; $F67 &amp;"/targets -d 'target="&amp; L67 &amp; "'")</f>
        <v>curl -X POST http://172.24.148.160:8001/upstreams/ups-v510-bes_notification_push_sms_services/targets -d 'target=172.24.148.134:N/A'</v>
      </c>
      <c r="Y67" t="str">
        <f t="shared" ref="Y67:Y109" si="11">IF(M67="","","curl -X POST " &amp; $Q67 &amp; "/upstreams/"&amp; $F67 &amp;"/targets -d 'target="&amp; M67 &amp; "'")</f>
        <v>curl -X POST http://172.24.148.160:8001/upstreams/ups-v510-bes_notification_push_sms_services/targets -d 'target=172.24.148.135:N/A'</v>
      </c>
      <c r="Z67" t="str">
        <f t="shared" ref="Z67:Z109" si="12">IF(N67="","","curl -X POST " &amp; $Q67 &amp; "/upstreams/"&amp; $F67 &amp;"/targets -d 'target="&amp; N67 &amp; "'")</f>
        <v>curl -X POST http://172.24.148.160:8001/upstreams/ups-v510-bes_notification_push_sms_services/targets -d 'target=172.24.148.136:N/A'</v>
      </c>
    </row>
    <row r="68" spans="1:26" hidden="1">
      <c r="A68">
        <f>IF(ISNUMBER(SEARCH("rest_api",svc!R67)),1,0)</f>
        <v>0</v>
      </c>
      <c r="C68" t="str">
        <f>svc!D67</f>
        <v>trust</v>
      </c>
      <c r="D68" t="str">
        <f>svc!$B67</f>
        <v>v510</v>
      </c>
      <c r="E68" t="str">
        <f>svc!G67</f>
        <v>N/A</v>
      </c>
      <c r="F68" t="str">
        <f>CONCATENATE("ups-",svc!$B67,"-",svc!I67)</f>
        <v>ups-v510-bes_send_schedule_notification_services</v>
      </c>
      <c r="G68" t="str">
        <f>CONCATENATE("svc-",svc!$B67,"-",svc!I67)</f>
        <v>svc-v510-bes_send_schedule_notification_services</v>
      </c>
      <c r="H68" t="str">
        <f>CONCATENATE("route-",VLOOKUP($D68,kong_np_var!$B$10:$D$16,2,FALSE),"-",svc!$B67,"-",svc!I67)</f>
        <v>route-v504-v510-bes_send_schedule_notification_services</v>
      </c>
      <c r="I68" t="str">
        <f>CONCATENATE(VLOOKUP($D68,kong_np_var!$B$20:$H$26,SUBSTITUTE(I$1,"target_","") + 1,FALSE),":",$E68)</f>
        <v>172.24.148.131:N/A</v>
      </c>
      <c r="J68" t="str">
        <f>CONCATENATE(VLOOKUP($D68,kong_np_var!$B$20:$H$26,SUBSTITUTE(J$1,"target_","") + 1,FALSE),":",$E68)</f>
        <v>172.24.148.132:N/A</v>
      </c>
      <c r="K68" t="str">
        <f>CONCATENATE(VLOOKUP($D68,kong_np_var!$B$20:$H$26,SUBSTITUTE(K$1,"target_","") + 1,FALSE),":",$E68)</f>
        <v>172.24.148.133:N/A</v>
      </c>
      <c r="L68" t="str">
        <f>IF($C68="dmz","",CONCATENATE(VLOOKUP($D68,kong_np_var!$B$20:$H$26,SUBSTITUTE(L$1,"target_","") + 1,FALSE),":",$E68))</f>
        <v>172.24.148.134:N/A</v>
      </c>
      <c r="M68" t="str">
        <f>IF($C68="dmz","",CONCATENATE(VLOOKUP($D68,kong_np_var!$B$20:$H$26,SUBSTITUTE(M$1,"target_","") + 1,FALSE),":",$E68))</f>
        <v>172.24.148.135:N/A</v>
      </c>
      <c r="N68" t="str">
        <f>IF($C68="dmz","",CONCATENATE(VLOOKUP($D68,kong_np_var!$B$20:$H$26,SUBSTITUTE(N$1,"target_","") + 1,FALSE),":",$E68))</f>
        <v>172.24.148.136:N/A</v>
      </c>
      <c r="O68" t="str">
        <f>VLOOKUP($D68,kong_np_var!$B$10:$D$16,3,FALSE)</f>
        <v>172.24.149.183</v>
      </c>
      <c r="P68" t="str">
        <f>CONCATENATE("/",C68,MID(D68,2,15),"/",svc!$I67)</f>
        <v>/trust510/bes_send_schedule_notification_services</v>
      </c>
      <c r="Q68" t="str">
        <f>VLOOKUP(C68,kong_np_var!$B$6:$C$7,2,FALSE)</f>
        <v>http://172.24.148.160:8001</v>
      </c>
      <c r="R68" t="str">
        <f>SUBSTITUTE(SUBSTITUTE(kong_np_var!$J$1,"&lt;upstream_name&gt;",$F68),"&lt;kong_api_url&gt;",$Q68)</f>
        <v>curl -X PUT http://172.24.148.160:8001/upstreams/ups-v510-bes_send_schedule_notification_services</v>
      </c>
      <c r="S68" t="str">
        <f>SUBSTITUTE(SUBSTITUTE(SUBSTITUTE(SUBSTITUTE(kong_np_var!$J$2,"&lt;kong_api_url&gt;",$Q68),"&lt;upstream_name&gt;",$F68),"&lt;port&gt;",$E68),"&lt;service_name&gt;",$G68)</f>
        <v>curl -X PUT http://172.24.148.160:8001/services/svc-v510-bes_send_schedule_notification_services -H "Content-Type: application/json" -d '{"protocol":"http","host":"ups-v510-bes_send_schedule_notification_services","port":N/A}'</v>
      </c>
      <c r="T68" t="str">
        <f>SUBSTITUTE(SUBSTITUTE(SUBSTITUTE(SUBSTITUTE(SUBSTITUTE(kong_np_var!$J$3,"&lt;kong_api_url&gt;",$Q68),"&lt;route_name&gt;",$H68),"&lt;service_name&gt;",$G68),"&lt;host&gt;",$O68),"&lt;path&gt;",$P68)</f>
        <v>curl -X PUT http://172.24.148.160:8001/services/svc-v510-bes_send_schedule_notification_services/routes/route-v504-v510-bes_send_schedule_notification_services -H "Content-Type: application/json" -d '{"protocols":["http"],"hosts":["172.24.149.183"],"paths":["/trust510/bes_send_schedule_notification_services"]}'</v>
      </c>
      <c r="U68" t="str">
        <f t="shared" si="7"/>
        <v>curl -X POST http://172.24.148.160:8001/upstreams/ups-v510-bes_send_schedule_notification_services/targets -d 'target=172.24.148.131:N/A'</v>
      </c>
      <c r="V68" t="str">
        <f t="shared" si="8"/>
        <v>curl -X POST http://172.24.148.160:8001/upstreams/ups-v510-bes_send_schedule_notification_services/targets -d 'target=172.24.148.132:N/A'</v>
      </c>
      <c r="W68" t="str">
        <f t="shared" si="9"/>
        <v>curl -X POST http://172.24.148.160:8001/upstreams/ups-v510-bes_send_schedule_notification_services/targets -d 'target=172.24.148.133:N/A'</v>
      </c>
      <c r="X68" t="str">
        <f t="shared" si="10"/>
        <v>curl -X POST http://172.24.148.160:8001/upstreams/ups-v510-bes_send_schedule_notification_services/targets -d 'target=172.24.148.134:N/A'</v>
      </c>
      <c r="Y68" t="str">
        <f t="shared" si="11"/>
        <v>curl -X POST http://172.24.148.160:8001/upstreams/ups-v510-bes_send_schedule_notification_services/targets -d 'target=172.24.148.135:N/A'</v>
      </c>
      <c r="Z68" t="str">
        <f t="shared" si="12"/>
        <v>curl -X POST http://172.24.148.160:8001/upstreams/ups-v510-bes_send_schedule_notification_services/targets -d 'target=172.24.148.136:N/A'</v>
      </c>
    </row>
    <row r="69" spans="1:26">
      <c r="A69">
        <f>IF(ISNUMBER(SEARCH("rest_api",svc!R68)),1,0)</f>
        <v>1</v>
      </c>
      <c r="C69" t="str">
        <f>svc!D68</f>
        <v>trust</v>
      </c>
      <c r="D69" t="str">
        <f>svc!$B68</f>
        <v>v510</v>
      </c>
      <c r="E69">
        <f>svc!G68</f>
        <v>31312</v>
      </c>
      <c r="F69" t="str">
        <f>CONCATENATE("ups-",svc!$B68,"-",svc!I68)</f>
        <v>ups-v510-bes_das_im001_general</v>
      </c>
      <c r="G69" t="str">
        <f>CONCATENATE("svc-",svc!$B68,"-",svc!I68)</f>
        <v>svc-v510-bes_das_im001_general</v>
      </c>
      <c r="H69" t="str">
        <f>CONCATENATE("route-",VLOOKUP($D69,kong_np_var!$B$10:$D$16,2,FALSE),"-",svc!$B68,"-",svc!I68)</f>
        <v>route-v504-v510-bes_das_im001_general</v>
      </c>
      <c r="I69" t="str">
        <f>CONCATENATE(VLOOKUP($D69,kong_np_var!$B$20:$H$26,SUBSTITUTE(I$1,"target_","") + 1,FALSE),":",$E69)</f>
        <v>172.24.148.131:31312</v>
      </c>
      <c r="J69" t="str">
        <f>CONCATENATE(VLOOKUP($D69,kong_np_var!$B$20:$H$26,SUBSTITUTE(J$1,"target_","") + 1,FALSE),":",$E69)</f>
        <v>172.24.148.132:31312</v>
      </c>
      <c r="K69" t="str">
        <f>CONCATENATE(VLOOKUP($D69,kong_np_var!$B$20:$H$26,SUBSTITUTE(K$1,"target_","") + 1,FALSE),":",$E69)</f>
        <v>172.24.148.133:31312</v>
      </c>
      <c r="L69" t="str">
        <f>IF($C69="dmz","",CONCATENATE(VLOOKUP($D69,kong_np_var!$B$20:$H$26,SUBSTITUTE(L$1,"target_","") + 1,FALSE),":",$E69))</f>
        <v>172.24.148.134:31312</v>
      </c>
      <c r="M69" t="str">
        <f>IF($C69="dmz","",CONCATENATE(VLOOKUP($D69,kong_np_var!$B$20:$H$26,SUBSTITUTE(M$1,"target_","") + 1,FALSE),":",$E69))</f>
        <v>172.24.148.135:31312</v>
      </c>
      <c r="N69" t="str">
        <f>IF($C69="dmz","",CONCATENATE(VLOOKUP($D69,kong_np_var!$B$20:$H$26,SUBSTITUTE(N$1,"target_","") + 1,FALSE),":",$E69))</f>
        <v>172.24.148.136:31312</v>
      </c>
      <c r="O69" t="str">
        <f>VLOOKUP($D69,kong_np_var!$B$10:$D$16,3,FALSE)</f>
        <v>172.24.149.183</v>
      </c>
      <c r="P69" t="str">
        <f>CONCATENATE("/",C69,MID(D69,2,15),"/",svc!$I68)</f>
        <v>/trust510/bes_das_im001_general</v>
      </c>
      <c r="Q69" t="str">
        <f>VLOOKUP(C69,kong_np_var!$B$6:$C$7,2,FALSE)</f>
        <v>http://172.24.148.160:8001</v>
      </c>
      <c r="R69" t="str">
        <f>SUBSTITUTE(SUBSTITUTE(kong_np_var!$J$1,"&lt;upstream_name&gt;",$F69),"&lt;kong_api_url&gt;",$Q69)</f>
        <v>curl -X PUT http://172.24.148.160:8001/upstreams/ups-v510-bes_das_im001_general</v>
      </c>
      <c r="S69" t="str">
        <f>SUBSTITUTE(SUBSTITUTE(SUBSTITUTE(SUBSTITUTE(kong_np_var!$J$2,"&lt;kong_api_url&gt;",$Q69),"&lt;upstream_name&gt;",$F69),"&lt;port&gt;",$E69),"&lt;service_name&gt;",$G69)</f>
        <v>curl -X PUT http://172.24.148.160:8001/services/svc-v510-bes_das_im001_general -H "Content-Type: application/json" -d '{"protocol":"http","host":"ups-v510-bes_das_im001_general","port":31312}'</v>
      </c>
      <c r="T69" t="str">
        <f>SUBSTITUTE(SUBSTITUTE(SUBSTITUTE(SUBSTITUTE(SUBSTITUTE(kong_np_var!$J$3,"&lt;kong_api_url&gt;",$Q69),"&lt;route_name&gt;",$H69),"&lt;service_name&gt;",$G69),"&lt;host&gt;",$O69),"&lt;path&gt;",$P69)</f>
        <v>curl -X PUT http://172.24.148.160:8001/services/svc-v510-bes_das_im001_general/routes/route-v504-v510-bes_das_im001_general -H "Content-Type: application/json" -d '{"protocols":["http"],"hosts":["172.24.149.183"],"paths":["/trust510/bes_das_im001_general"]}'</v>
      </c>
      <c r="U69" t="str">
        <f t="shared" si="7"/>
        <v>curl -X POST http://172.24.148.160:8001/upstreams/ups-v510-bes_das_im001_general/targets -d 'target=172.24.148.131:31312'</v>
      </c>
      <c r="V69" t="str">
        <f t="shared" si="8"/>
        <v>curl -X POST http://172.24.148.160:8001/upstreams/ups-v510-bes_das_im001_general/targets -d 'target=172.24.148.132:31312'</v>
      </c>
      <c r="W69" t="str">
        <f t="shared" si="9"/>
        <v>curl -X POST http://172.24.148.160:8001/upstreams/ups-v510-bes_das_im001_general/targets -d 'target=172.24.148.133:31312'</v>
      </c>
      <c r="X69" t="str">
        <f t="shared" si="10"/>
        <v>curl -X POST http://172.24.148.160:8001/upstreams/ups-v510-bes_das_im001_general/targets -d 'target=172.24.148.134:31312'</v>
      </c>
      <c r="Y69" t="str">
        <f t="shared" si="11"/>
        <v>curl -X POST http://172.24.148.160:8001/upstreams/ups-v510-bes_das_im001_general/targets -d 'target=172.24.148.135:31312'</v>
      </c>
      <c r="Z69" t="str">
        <f t="shared" si="12"/>
        <v>curl -X POST http://172.24.148.160:8001/upstreams/ups-v510-bes_das_im001_general/targets -d 'target=172.24.148.136:31312'</v>
      </c>
    </row>
    <row r="70" spans="1:26">
      <c r="A70">
        <f>IF(ISNUMBER(SEARCH("rest_api",svc!R69)),1,0)</f>
        <v>1</v>
      </c>
      <c r="C70" t="str">
        <f>svc!D69</f>
        <v>trust</v>
      </c>
      <c r="D70" t="str">
        <f>svc!$B69</f>
        <v>v510</v>
      </c>
      <c r="E70">
        <f>svc!G69</f>
        <v>31313</v>
      </c>
      <c r="F70" t="str">
        <f>CONCATENATE("ups-",svc!$B69,"-",svc!I69)</f>
        <v>ups-v510-bes_tsp_misc</v>
      </c>
      <c r="G70" t="str">
        <f>CONCATENATE("svc-",svc!$B69,"-",svc!I69)</f>
        <v>svc-v510-bes_tsp_misc</v>
      </c>
      <c r="H70" t="str">
        <f>CONCATENATE("route-",VLOOKUP($D70,kong_np_var!$B$10:$D$16,2,FALSE),"-",svc!$B69,"-",svc!I69)</f>
        <v>route-v504-v510-bes_tsp_misc</v>
      </c>
      <c r="I70" t="str">
        <f>CONCATENATE(VLOOKUP($D70,kong_np_var!$B$20:$H$26,SUBSTITUTE(I$1,"target_","") + 1,FALSE),":",$E70)</f>
        <v>172.24.148.131:31313</v>
      </c>
      <c r="J70" t="str">
        <f>CONCATENATE(VLOOKUP($D70,kong_np_var!$B$20:$H$26,SUBSTITUTE(J$1,"target_","") + 1,FALSE),":",$E70)</f>
        <v>172.24.148.132:31313</v>
      </c>
      <c r="K70" t="str">
        <f>CONCATENATE(VLOOKUP($D70,kong_np_var!$B$20:$H$26,SUBSTITUTE(K$1,"target_","") + 1,FALSE),":",$E70)</f>
        <v>172.24.148.133:31313</v>
      </c>
      <c r="L70" t="str">
        <f>IF($C70="dmz","",CONCATENATE(VLOOKUP($D70,kong_np_var!$B$20:$H$26,SUBSTITUTE(L$1,"target_","") + 1,FALSE),":",$E70))</f>
        <v>172.24.148.134:31313</v>
      </c>
      <c r="M70" t="str">
        <f>IF($C70="dmz","",CONCATENATE(VLOOKUP($D70,kong_np_var!$B$20:$H$26,SUBSTITUTE(M$1,"target_","") + 1,FALSE),":",$E70))</f>
        <v>172.24.148.135:31313</v>
      </c>
      <c r="N70" t="str">
        <f>IF($C70="dmz","",CONCATENATE(VLOOKUP($D70,kong_np_var!$B$20:$H$26,SUBSTITUTE(N$1,"target_","") + 1,FALSE),":",$E70))</f>
        <v>172.24.148.136:31313</v>
      </c>
      <c r="O70" t="str">
        <f>VLOOKUP($D70,kong_np_var!$B$10:$D$16,3,FALSE)</f>
        <v>172.24.149.183</v>
      </c>
      <c r="P70" t="str">
        <f>CONCATENATE("/",C70,MID(D70,2,15),"/",svc!$I69)</f>
        <v>/trust510/bes_tsp_misc</v>
      </c>
      <c r="Q70" t="str">
        <f>VLOOKUP(C70,kong_np_var!$B$6:$C$7,2,FALSE)</f>
        <v>http://172.24.148.160:8001</v>
      </c>
      <c r="R70" t="str">
        <f>SUBSTITUTE(SUBSTITUTE(kong_np_var!$J$1,"&lt;upstream_name&gt;",$F70),"&lt;kong_api_url&gt;",$Q70)</f>
        <v>curl -X PUT http://172.24.148.160:8001/upstreams/ups-v510-bes_tsp_misc</v>
      </c>
      <c r="S70" t="str">
        <f>SUBSTITUTE(SUBSTITUTE(SUBSTITUTE(SUBSTITUTE(kong_np_var!$J$2,"&lt;kong_api_url&gt;",$Q70),"&lt;upstream_name&gt;",$F70),"&lt;port&gt;",$E70),"&lt;service_name&gt;",$G70)</f>
        <v>curl -X PUT http://172.24.148.160:8001/services/svc-v510-bes_tsp_misc -H "Content-Type: application/json" -d '{"protocol":"http","host":"ups-v510-bes_tsp_misc","port":31313}'</v>
      </c>
      <c r="T70" t="str">
        <f>SUBSTITUTE(SUBSTITUTE(SUBSTITUTE(SUBSTITUTE(SUBSTITUTE(kong_np_var!$J$3,"&lt;kong_api_url&gt;",$Q70),"&lt;route_name&gt;",$H70),"&lt;service_name&gt;",$G70),"&lt;host&gt;",$O70),"&lt;path&gt;",$P70)</f>
        <v>curl -X PUT http://172.24.148.160:8001/services/svc-v510-bes_tsp_misc/routes/route-v504-v510-bes_tsp_misc -H "Content-Type: application/json" -d '{"protocols":["http"],"hosts":["172.24.149.183"],"paths":["/trust510/bes_tsp_misc"]}'</v>
      </c>
      <c r="U70" t="str">
        <f t="shared" si="7"/>
        <v>curl -X POST http://172.24.148.160:8001/upstreams/ups-v510-bes_tsp_misc/targets -d 'target=172.24.148.131:31313'</v>
      </c>
      <c r="V70" t="str">
        <f t="shared" si="8"/>
        <v>curl -X POST http://172.24.148.160:8001/upstreams/ups-v510-bes_tsp_misc/targets -d 'target=172.24.148.132:31313'</v>
      </c>
      <c r="W70" t="str">
        <f t="shared" si="9"/>
        <v>curl -X POST http://172.24.148.160:8001/upstreams/ups-v510-bes_tsp_misc/targets -d 'target=172.24.148.133:31313'</v>
      </c>
      <c r="X70" t="str">
        <f t="shared" si="10"/>
        <v>curl -X POST http://172.24.148.160:8001/upstreams/ups-v510-bes_tsp_misc/targets -d 'target=172.24.148.134:31313'</v>
      </c>
      <c r="Y70" t="str">
        <f t="shared" si="11"/>
        <v>curl -X POST http://172.24.148.160:8001/upstreams/ups-v510-bes_tsp_misc/targets -d 'target=172.24.148.135:31313'</v>
      </c>
      <c r="Z70" t="str">
        <f t="shared" si="12"/>
        <v>curl -X POST http://172.24.148.160:8001/upstreams/ups-v510-bes_tsp_misc/targets -d 'target=172.24.148.136:31313'</v>
      </c>
    </row>
    <row r="71" spans="1:26">
      <c r="A71">
        <f>IF(ISNUMBER(SEARCH("rest_api",svc!R70)),1,0)</f>
        <v>1</v>
      </c>
      <c r="C71" t="str">
        <f>svc!D70</f>
        <v>trust</v>
      </c>
      <c r="D71" t="str">
        <f>svc!$B70</f>
        <v>v510</v>
      </c>
      <c r="E71">
        <f>svc!G70</f>
        <v>31315</v>
      </c>
      <c r="F71" t="str">
        <f>CONCATENATE("ups-",svc!$B70,"-",svc!I70)</f>
        <v>ups-v510-bes_validv</v>
      </c>
      <c r="G71" t="str">
        <f>CONCATENATE("svc-",svc!$B70,"-",svc!I70)</f>
        <v>svc-v510-bes_validv</v>
      </c>
      <c r="H71" t="str">
        <f>CONCATENATE("route-",VLOOKUP($D71,kong_np_var!$B$10:$D$16,2,FALSE),"-",svc!$B70,"-",svc!I70)</f>
        <v>route-v504-v510-bes_validv</v>
      </c>
      <c r="I71" t="str">
        <f>CONCATENATE(VLOOKUP($D71,kong_np_var!$B$20:$H$26,SUBSTITUTE(I$1,"target_","") + 1,FALSE),":",$E71)</f>
        <v>172.24.148.131:31315</v>
      </c>
      <c r="J71" t="str">
        <f>CONCATENATE(VLOOKUP($D71,kong_np_var!$B$20:$H$26,SUBSTITUTE(J$1,"target_","") + 1,FALSE),":",$E71)</f>
        <v>172.24.148.132:31315</v>
      </c>
      <c r="K71" t="str">
        <f>CONCATENATE(VLOOKUP($D71,kong_np_var!$B$20:$H$26,SUBSTITUTE(K$1,"target_","") + 1,FALSE),":",$E71)</f>
        <v>172.24.148.133:31315</v>
      </c>
      <c r="L71" t="str">
        <f>IF($C71="dmz","",CONCATENATE(VLOOKUP($D71,kong_np_var!$B$20:$H$26,SUBSTITUTE(L$1,"target_","") + 1,FALSE),":",$E71))</f>
        <v>172.24.148.134:31315</v>
      </c>
      <c r="M71" t="str">
        <f>IF($C71="dmz","",CONCATENATE(VLOOKUP($D71,kong_np_var!$B$20:$H$26,SUBSTITUTE(M$1,"target_","") + 1,FALSE),":",$E71))</f>
        <v>172.24.148.135:31315</v>
      </c>
      <c r="N71" t="str">
        <f>IF($C71="dmz","",CONCATENATE(VLOOKUP($D71,kong_np_var!$B$20:$H$26,SUBSTITUTE(N$1,"target_","") + 1,FALSE),":",$E71))</f>
        <v>172.24.148.136:31315</v>
      </c>
      <c r="O71" t="str">
        <f>VLOOKUP($D71,kong_np_var!$B$10:$D$16,3,FALSE)</f>
        <v>172.24.149.183</v>
      </c>
      <c r="P71" t="str">
        <f>CONCATENATE("/",C71,MID(D71,2,15),"/",svc!$I70)</f>
        <v>/trust510/bes_validv</v>
      </c>
      <c r="Q71" t="str">
        <f>VLOOKUP(C71,kong_np_var!$B$6:$C$7,2,FALSE)</f>
        <v>http://172.24.148.160:8001</v>
      </c>
      <c r="R71" t="str">
        <f>SUBSTITUTE(SUBSTITUTE(kong_np_var!$J$1,"&lt;upstream_name&gt;",$F71),"&lt;kong_api_url&gt;",$Q71)</f>
        <v>curl -X PUT http://172.24.148.160:8001/upstreams/ups-v510-bes_validv</v>
      </c>
      <c r="S71" t="str">
        <f>SUBSTITUTE(SUBSTITUTE(SUBSTITUTE(SUBSTITUTE(kong_np_var!$J$2,"&lt;kong_api_url&gt;",$Q71),"&lt;upstream_name&gt;",$F71),"&lt;port&gt;",$E71),"&lt;service_name&gt;",$G71)</f>
        <v>curl -X PUT http://172.24.148.160:8001/services/svc-v510-bes_validv -H "Content-Type: application/json" -d '{"protocol":"http","host":"ups-v510-bes_validv","port":31315}'</v>
      </c>
      <c r="T71" t="str">
        <f>SUBSTITUTE(SUBSTITUTE(SUBSTITUTE(SUBSTITUTE(SUBSTITUTE(kong_np_var!$J$3,"&lt;kong_api_url&gt;",$Q71),"&lt;route_name&gt;",$H71),"&lt;service_name&gt;",$G71),"&lt;host&gt;",$O71),"&lt;path&gt;",$P71)</f>
        <v>curl -X PUT http://172.24.148.160:8001/services/svc-v510-bes_validv/routes/route-v504-v510-bes_validv -H "Content-Type: application/json" -d '{"protocols":["http"],"hosts":["172.24.149.183"],"paths":["/trust510/bes_validv"]}'</v>
      </c>
      <c r="U71" t="str">
        <f t="shared" si="7"/>
        <v>curl -X POST http://172.24.148.160:8001/upstreams/ups-v510-bes_validv/targets -d 'target=172.24.148.131:31315'</v>
      </c>
      <c r="V71" t="str">
        <f t="shared" si="8"/>
        <v>curl -X POST http://172.24.148.160:8001/upstreams/ups-v510-bes_validv/targets -d 'target=172.24.148.132:31315'</v>
      </c>
      <c r="W71" t="str">
        <f t="shared" si="9"/>
        <v>curl -X POST http://172.24.148.160:8001/upstreams/ups-v510-bes_validv/targets -d 'target=172.24.148.133:31315'</v>
      </c>
      <c r="X71" t="str">
        <f t="shared" si="10"/>
        <v>curl -X POST http://172.24.148.160:8001/upstreams/ups-v510-bes_validv/targets -d 'target=172.24.148.134:31315'</v>
      </c>
      <c r="Y71" t="str">
        <f t="shared" si="11"/>
        <v>curl -X POST http://172.24.148.160:8001/upstreams/ups-v510-bes_validv/targets -d 'target=172.24.148.135:31315'</v>
      </c>
      <c r="Z71" t="str">
        <f t="shared" si="12"/>
        <v>curl -X POST http://172.24.148.160:8001/upstreams/ups-v510-bes_validv/targets -d 'target=172.24.148.136:31315'</v>
      </c>
    </row>
    <row r="72" spans="1:26">
      <c r="A72">
        <f>IF(ISNUMBER(SEARCH("rest_api",svc!R71)),1,0)</f>
        <v>1</v>
      </c>
      <c r="C72" t="str">
        <f>svc!D71</f>
        <v>trust</v>
      </c>
      <c r="D72" t="str">
        <f>svc!$B71</f>
        <v>v510</v>
      </c>
      <c r="E72">
        <f>svc!G71</f>
        <v>31316</v>
      </c>
      <c r="F72" t="str">
        <f>CONCATENATE("ups-",svc!$B71,"-",svc!I71)</f>
        <v>ups-v510-bes_vssd</v>
      </c>
      <c r="G72" t="str">
        <f>CONCATENATE("svc-",svc!$B71,"-",svc!I71)</f>
        <v>svc-v510-bes_vssd</v>
      </c>
      <c r="H72" t="str">
        <f>CONCATENATE("route-",VLOOKUP($D72,kong_np_var!$B$10:$D$16,2,FALSE),"-",svc!$B71,"-",svc!I71)</f>
        <v>route-v504-v510-bes_vssd</v>
      </c>
      <c r="I72" t="str">
        <f>CONCATENATE(VLOOKUP($D72,kong_np_var!$B$20:$H$26,SUBSTITUTE(I$1,"target_","") + 1,FALSE),":",$E72)</f>
        <v>172.24.148.131:31316</v>
      </c>
      <c r="J72" t="str">
        <f>CONCATENATE(VLOOKUP($D72,kong_np_var!$B$20:$H$26,SUBSTITUTE(J$1,"target_","") + 1,FALSE),":",$E72)</f>
        <v>172.24.148.132:31316</v>
      </c>
      <c r="K72" t="str">
        <f>CONCATENATE(VLOOKUP($D72,kong_np_var!$B$20:$H$26,SUBSTITUTE(K$1,"target_","") + 1,FALSE),":",$E72)</f>
        <v>172.24.148.133:31316</v>
      </c>
      <c r="L72" t="str">
        <f>IF($C72="dmz","",CONCATENATE(VLOOKUP($D72,kong_np_var!$B$20:$H$26,SUBSTITUTE(L$1,"target_","") + 1,FALSE),":",$E72))</f>
        <v>172.24.148.134:31316</v>
      </c>
      <c r="M72" t="str">
        <f>IF($C72="dmz","",CONCATENATE(VLOOKUP($D72,kong_np_var!$B$20:$H$26,SUBSTITUTE(M$1,"target_","") + 1,FALSE),":",$E72))</f>
        <v>172.24.148.135:31316</v>
      </c>
      <c r="N72" t="str">
        <f>IF($C72="dmz","",CONCATENATE(VLOOKUP($D72,kong_np_var!$B$20:$H$26,SUBSTITUTE(N$1,"target_","") + 1,FALSE),":",$E72))</f>
        <v>172.24.148.136:31316</v>
      </c>
      <c r="O72" t="str">
        <f>VLOOKUP($D72,kong_np_var!$B$10:$D$16,3,FALSE)</f>
        <v>172.24.149.183</v>
      </c>
      <c r="P72" t="str">
        <f>CONCATENATE("/",C72,MID(D72,2,15),"/",svc!$I71)</f>
        <v>/trust510/bes_vssd</v>
      </c>
      <c r="Q72" t="str">
        <f>VLOOKUP(C72,kong_np_var!$B$6:$C$7,2,FALSE)</f>
        <v>http://172.24.148.160:8001</v>
      </c>
      <c r="R72" t="str">
        <f>SUBSTITUTE(SUBSTITUTE(kong_np_var!$J$1,"&lt;upstream_name&gt;",$F72),"&lt;kong_api_url&gt;",$Q72)</f>
        <v>curl -X PUT http://172.24.148.160:8001/upstreams/ups-v510-bes_vssd</v>
      </c>
      <c r="S72" t="str">
        <f>SUBSTITUTE(SUBSTITUTE(SUBSTITUTE(SUBSTITUTE(kong_np_var!$J$2,"&lt;kong_api_url&gt;",$Q72),"&lt;upstream_name&gt;",$F72),"&lt;port&gt;",$E72),"&lt;service_name&gt;",$G72)</f>
        <v>curl -X PUT http://172.24.148.160:8001/services/svc-v510-bes_vssd -H "Content-Type: application/json" -d '{"protocol":"http","host":"ups-v510-bes_vssd","port":31316}'</v>
      </c>
      <c r="T72" t="str">
        <f>SUBSTITUTE(SUBSTITUTE(SUBSTITUTE(SUBSTITUTE(SUBSTITUTE(kong_np_var!$J$3,"&lt;kong_api_url&gt;",$Q72),"&lt;route_name&gt;",$H72),"&lt;service_name&gt;",$G72),"&lt;host&gt;",$O72),"&lt;path&gt;",$P72)</f>
        <v>curl -X PUT http://172.24.148.160:8001/services/svc-v510-bes_vssd/routes/route-v504-v510-bes_vssd -H "Content-Type: application/json" -d '{"protocols":["http"],"hosts":["172.24.149.183"],"paths":["/trust510/bes_vssd"]}'</v>
      </c>
      <c r="U72" t="str">
        <f t="shared" si="7"/>
        <v>curl -X POST http://172.24.148.160:8001/upstreams/ups-v510-bes_vssd/targets -d 'target=172.24.148.131:31316'</v>
      </c>
      <c r="V72" t="str">
        <f t="shared" si="8"/>
        <v>curl -X POST http://172.24.148.160:8001/upstreams/ups-v510-bes_vssd/targets -d 'target=172.24.148.132:31316'</v>
      </c>
      <c r="W72" t="str">
        <f t="shared" si="9"/>
        <v>curl -X POST http://172.24.148.160:8001/upstreams/ups-v510-bes_vssd/targets -d 'target=172.24.148.133:31316'</v>
      </c>
      <c r="X72" t="str">
        <f t="shared" si="10"/>
        <v>curl -X POST http://172.24.148.160:8001/upstreams/ups-v510-bes_vssd/targets -d 'target=172.24.148.134:31316'</v>
      </c>
      <c r="Y72" t="str">
        <f t="shared" si="11"/>
        <v>curl -X POST http://172.24.148.160:8001/upstreams/ups-v510-bes_vssd/targets -d 'target=172.24.148.135:31316'</v>
      </c>
      <c r="Z72" t="str">
        <f t="shared" si="12"/>
        <v>curl -X POST http://172.24.148.160:8001/upstreams/ups-v510-bes_vssd/targets -d 'target=172.24.148.136:31316'</v>
      </c>
    </row>
    <row r="73" spans="1:26">
      <c r="A73">
        <f>IF(ISNUMBER(SEARCH("rest_api",svc!R72)),1,0)</f>
        <v>1</v>
      </c>
      <c r="C73" t="str">
        <f>svc!D72</f>
        <v>trust</v>
      </c>
      <c r="D73" t="str">
        <f>svc!$B72</f>
        <v>v510</v>
      </c>
      <c r="E73">
        <f>svc!G72</f>
        <v>31027</v>
      </c>
      <c r="F73" t="str">
        <f>CONCATENATE("ups-",svc!$B72,"-",svc!I72)</f>
        <v>ups-v510-ccms_api</v>
      </c>
      <c r="G73" t="str">
        <f>CONCATENATE("svc-",svc!$B72,"-",svc!I72)</f>
        <v>svc-v510-ccms_api</v>
      </c>
      <c r="H73" t="str">
        <f>CONCATENATE("route-",VLOOKUP($D73,kong_np_var!$B$10:$D$16,2,FALSE),"-",svc!$B72,"-",svc!I72)</f>
        <v>route-v504-v510-ccms_api</v>
      </c>
      <c r="I73" t="str">
        <f>CONCATENATE(VLOOKUP($D73,kong_np_var!$B$20:$H$26,SUBSTITUTE(I$1,"target_","") + 1,FALSE),":",$E73)</f>
        <v>172.24.148.131:31027</v>
      </c>
      <c r="J73" t="str">
        <f>CONCATENATE(VLOOKUP($D73,kong_np_var!$B$20:$H$26,SUBSTITUTE(J$1,"target_","") + 1,FALSE),":",$E73)</f>
        <v>172.24.148.132:31027</v>
      </c>
      <c r="K73" t="str">
        <f>CONCATENATE(VLOOKUP($D73,kong_np_var!$B$20:$H$26,SUBSTITUTE(K$1,"target_","") + 1,FALSE),":",$E73)</f>
        <v>172.24.148.133:31027</v>
      </c>
      <c r="L73" t="str">
        <f>IF($C73="dmz","",CONCATENATE(VLOOKUP($D73,kong_np_var!$B$20:$H$26,SUBSTITUTE(L$1,"target_","") + 1,FALSE),":",$E73))</f>
        <v>172.24.148.134:31027</v>
      </c>
      <c r="M73" t="str">
        <f>IF($C73="dmz","",CONCATENATE(VLOOKUP($D73,kong_np_var!$B$20:$H$26,SUBSTITUTE(M$1,"target_","") + 1,FALSE),":",$E73))</f>
        <v>172.24.148.135:31027</v>
      </c>
      <c r="N73" t="str">
        <f>IF($C73="dmz","",CONCATENATE(VLOOKUP($D73,kong_np_var!$B$20:$H$26,SUBSTITUTE(N$1,"target_","") + 1,FALSE),":",$E73))</f>
        <v>172.24.148.136:31027</v>
      </c>
      <c r="O73" t="str">
        <f>VLOOKUP($D73,kong_np_var!$B$10:$D$16,3,FALSE)</f>
        <v>172.24.149.183</v>
      </c>
      <c r="P73" t="str">
        <f>CONCATENATE("/",C73,MID(D73,2,15),"/",svc!$I72)</f>
        <v>/trust510/ccms_api</v>
      </c>
      <c r="Q73" t="str">
        <f>VLOOKUP(C73,kong_np_var!$B$6:$C$7,2,FALSE)</f>
        <v>http://172.24.148.160:8001</v>
      </c>
      <c r="R73" t="str">
        <f>SUBSTITUTE(SUBSTITUTE(kong_np_var!$J$1,"&lt;upstream_name&gt;",$F73),"&lt;kong_api_url&gt;",$Q73)</f>
        <v>curl -X PUT http://172.24.148.160:8001/upstreams/ups-v510-ccms_api</v>
      </c>
      <c r="S73" t="str">
        <f>SUBSTITUTE(SUBSTITUTE(SUBSTITUTE(SUBSTITUTE(kong_np_var!$J$2,"&lt;kong_api_url&gt;",$Q73),"&lt;upstream_name&gt;",$F73),"&lt;port&gt;",$E73),"&lt;service_name&gt;",$G73)</f>
        <v>curl -X PUT http://172.24.148.160:8001/services/svc-v510-ccms_api -H "Content-Type: application/json" -d '{"protocol":"http","host":"ups-v510-ccms_api","port":31027}'</v>
      </c>
      <c r="T73" t="str">
        <f>SUBSTITUTE(SUBSTITUTE(SUBSTITUTE(SUBSTITUTE(SUBSTITUTE(kong_np_var!$J$3,"&lt;kong_api_url&gt;",$Q73),"&lt;route_name&gt;",$H73),"&lt;service_name&gt;",$G73),"&lt;host&gt;",$O73),"&lt;path&gt;",$P73)</f>
        <v>curl -X PUT http://172.24.148.160:8001/services/svc-v510-ccms_api/routes/route-v504-v510-ccms_api -H "Content-Type: application/json" -d '{"protocols":["http"],"hosts":["172.24.149.183"],"paths":["/trust510/ccms_api"]}'</v>
      </c>
      <c r="U73" t="str">
        <f t="shared" si="7"/>
        <v>curl -X POST http://172.24.148.160:8001/upstreams/ups-v510-ccms_api/targets -d 'target=172.24.148.131:31027'</v>
      </c>
      <c r="V73" t="str">
        <f t="shared" si="8"/>
        <v>curl -X POST http://172.24.148.160:8001/upstreams/ups-v510-ccms_api/targets -d 'target=172.24.148.132:31027'</v>
      </c>
      <c r="W73" t="str">
        <f t="shared" si="9"/>
        <v>curl -X POST http://172.24.148.160:8001/upstreams/ups-v510-ccms_api/targets -d 'target=172.24.148.133:31027'</v>
      </c>
      <c r="X73" t="str">
        <f t="shared" si="10"/>
        <v>curl -X POST http://172.24.148.160:8001/upstreams/ups-v510-ccms_api/targets -d 'target=172.24.148.134:31027'</v>
      </c>
      <c r="Y73" t="str">
        <f t="shared" si="11"/>
        <v>curl -X POST http://172.24.148.160:8001/upstreams/ups-v510-ccms_api/targets -d 'target=172.24.148.135:31027'</v>
      </c>
      <c r="Z73" t="str">
        <f t="shared" si="12"/>
        <v>curl -X POST http://172.24.148.160:8001/upstreams/ups-v510-ccms_api/targets -d 'target=172.24.148.136:31027'</v>
      </c>
    </row>
    <row r="74" spans="1:26">
      <c r="A74">
        <f>IF(ISNUMBER(SEARCH("rest_api",svc!R73)),1,0)</f>
        <v>1</v>
      </c>
      <c r="C74" t="str">
        <f>svc!D73</f>
        <v>trust</v>
      </c>
      <c r="D74" t="str">
        <f>svc!$B73</f>
        <v>v510</v>
      </c>
      <c r="E74">
        <f>svc!G73</f>
        <v>31015</v>
      </c>
      <c r="F74" t="str">
        <f>CONCATENATE("ups-",svc!$B73,"-",svc!I73)</f>
        <v>ups-v510-central_db_services_accmgt</v>
      </c>
      <c r="G74" t="str">
        <f>CONCATENATE("svc-",svc!$B73,"-",svc!I73)</f>
        <v>svc-v510-central_db_services_accmgt</v>
      </c>
      <c r="H74" t="str">
        <f>CONCATENATE("route-",VLOOKUP($D74,kong_np_var!$B$10:$D$16,2,FALSE),"-",svc!$B73,"-",svc!I73)</f>
        <v>route-v504-v510-central_db_services_accmgt</v>
      </c>
      <c r="I74" t="str">
        <f>CONCATENATE(VLOOKUP($D74,kong_np_var!$B$20:$H$26,SUBSTITUTE(I$1,"target_","") + 1,FALSE),":",$E74)</f>
        <v>172.24.148.131:31015</v>
      </c>
      <c r="J74" t="str">
        <f>CONCATENATE(VLOOKUP($D74,kong_np_var!$B$20:$H$26,SUBSTITUTE(J$1,"target_","") + 1,FALSE),":",$E74)</f>
        <v>172.24.148.132:31015</v>
      </c>
      <c r="K74" t="str">
        <f>CONCATENATE(VLOOKUP($D74,kong_np_var!$B$20:$H$26,SUBSTITUTE(K$1,"target_","") + 1,FALSE),":",$E74)</f>
        <v>172.24.148.133:31015</v>
      </c>
      <c r="L74" t="str">
        <f>IF($C74="dmz","",CONCATENATE(VLOOKUP($D74,kong_np_var!$B$20:$H$26,SUBSTITUTE(L$1,"target_","") + 1,FALSE),":",$E74))</f>
        <v>172.24.148.134:31015</v>
      </c>
      <c r="M74" t="str">
        <f>IF($C74="dmz","",CONCATENATE(VLOOKUP($D74,kong_np_var!$B$20:$H$26,SUBSTITUTE(M$1,"target_","") + 1,FALSE),":",$E74))</f>
        <v>172.24.148.135:31015</v>
      </c>
      <c r="N74" t="str">
        <f>IF($C74="dmz","",CONCATENATE(VLOOKUP($D74,kong_np_var!$B$20:$H$26,SUBSTITUTE(N$1,"target_","") + 1,FALSE),":",$E74))</f>
        <v>172.24.148.136:31015</v>
      </c>
      <c r="O74" t="str">
        <f>VLOOKUP($D74,kong_np_var!$B$10:$D$16,3,FALSE)</f>
        <v>172.24.149.183</v>
      </c>
      <c r="P74" t="str">
        <f>CONCATENATE("/",C74,MID(D74,2,15),"/",svc!$I73)</f>
        <v>/trust510/central_db_services_accmgt</v>
      </c>
      <c r="Q74" t="str">
        <f>VLOOKUP(C74,kong_np_var!$B$6:$C$7,2,FALSE)</f>
        <v>http://172.24.148.160:8001</v>
      </c>
      <c r="R74" t="str">
        <f>SUBSTITUTE(SUBSTITUTE(kong_np_var!$J$1,"&lt;upstream_name&gt;",$F74),"&lt;kong_api_url&gt;",$Q74)</f>
        <v>curl -X PUT http://172.24.148.160:8001/upstreams/ups-v510-central_db_services_accmgt</v>
      </c>
      <c r="S74" t="str">
        <f>SUBSTITUTE(SUBSTITUTE(SUBSTITUTE(SUBSTITUTE(kong_np_var!$J$2,"&lt;kong_api_url&gt;",$Q74),"&lt;upstream_name&gt;",$F74),"&lt;port&gt;",$E74),"&lt;service_name&gt;",$G74)</f>
        <v>curl -X PUT http://172.24.148.160:8001/services/svc-v510-central_db_services_accmgt -H "Content-Type: application/json" -d '{"protocol":"http","host":"ups-v510-central_db_services_accmgt","port":31015}'</v>
      </c>
      <c r="T74" t="str">
        <f>SUBSTITUTE(SUBSTITUTE(SUBSTITUTE(SUBSTITUTE(SUBSTITUTE(kong_np_var!$J$3,"&lt;kong_api_url&gt;",$Q74),"&lt;route_name&gt;",$H74),"&lt;service_name&gt;",$G74),"&lt;host&gt;",$O74),"&lt;path&gt;",$P74)</f>
        <v>curl -X PUT http://172.24.148.160:8001/services/svc-v510-central_db_services_accmgt/routes/route-v504-v510-central_db_services_accmgt -H "Content-Type: application/json" -d '{"protocols":["http"],"hosts":["172.24.149.183"],"paths":["/trust510/central_db_services_accmgt"]}'</v>
      </c>
      <c r="U74" t="str">
        <f t="shared" si="7"/>
        <v>curl -X POST http://172.24.148.160:8001/upstreams/ups-v510-central_db_services_accmgt/targets -d 'target=172.24.148.131:31015'</v>
      </c>
      <c r="V74" t="str">
        <f t="shared" si="8"/>
        <v>curl -X POST http://172.24.148.160:8001/upstreams/ups-v510-central_db_services_accmgt/targets -d 'target=172.24.148.132:31015'</v>
      </c>
      <c r="W74" t="str">
        <f t="shared" si="9"/>
        <v>curl -X POST http://172.24.148.160:8001/upstreams/ups-v510-central_db_services_accmgt/targets -d 'target=172.24.148.133:31015'</v>
      </c>
      <c r="X74" t="str">
        <f t="shared" si="10"/>
        <v>curl -X POST http://172.24.148.160:8001/upstreams/ups-v510-central_db_services_accmgt/targets -d 'target=172.24.148.134:31015'</v>
      </c>
      <c r="Y74" t="str">
        <f t="shared" si="11"/>
        <v>curl -X POST http://172.24.148.160:8001/upstreams/ups-v510-central_db_services_accmgt/targets -d 'target=172.24.148.135:31015'</v>
      </c>
      <c r="Z74" t="str">
        <f t="shared" si="12"/>
        <v>curl -X POST http://172.24.148.160:8001/upstreams/ups-v510-central_db_services_accmgt/targets -d 'target=172.24.148.136:31015'</v>
      </c>
    </row>
    <row r="75" spans="1:26">
      <c r="A75">
        <f>IF(ISNUMBER(SEARCH("rest_api",svc!R74)),1,0)</f>
        <v>1</v>
      </c>
      <c r="C75" t="str">
        <f>svc!D74</f>
        <v>trust</v>
      </c>
      <c r="D75" t="str">
        <f>svc!$B74</f>
        <v>v510</v>
      </c>
      <c r="E75">
        <f>svc!G74</f>
        <v>31017</v>
      </c>
      <c r="F75" t="str">
        <f>CONCATENATE("ups-",svc!$B74,"-",svc!I74)</f>
        <v>ups-v510-central_db_services_ccms</v>
      </c>
      <c r="G75" t="str">
        <f>CONCATENATE("svc-",svc!$B74,"-",svc!I74)</f>
        <v>svc-v510-central_db_services_ccms</v>
      </c>
      <c r="H75" t="str">
        <f>CONCATENATE("route-",VLOOKUP($D75,kong_np_var!$B$10:$D$16,2,FALSE),"-",svc!$B74,"-",svc!I74)</f>
        <v>route-v504-v510-central_db_services_ccms</v>
      </c>
      <c r="I75" t="str">
        <f>CONCATENATE(VLOOKUP($D75,kong_np_var!$B$20:$H$26,SUBSTITUTE(I$1,"target_","") + 1,FALSE),":",$E75)</f>
        <v>172.24.148.131:31017</v>
      </c>
      <c r="J75" t="str">
        <f>CONCATENATE(VLOOKUP($D75,kong_np_var!$B$20:$H$26,SUBSTITUTE(J$1,"target_","") + 1,FALSE),":",$E75)</f>
        <v>172.24.148.132:31017</v>
      </c>
      <c r="K75" t="str">
        <f>CONCATENATE(VLOOKUP($D75,kong_np_var!$B$20:$H$26,SUBSTITUTE(K$1,"target_","") + 1,FALSE),":",$E75)</f>
        <v>172.24.148.133:31017</v>
      </c>
      <c r="L75" t="str">
        <f>IF($C75="dmz","",CONCATENATE(VLOOKUP($D75,kong_np_var!$B$20:$H$26,SUBSTITUTE(L$1,"target_","") + 1,FALSE),":",$E75))</f>
        <v>172.24.148.134:31017</v>
      </c>
      <c r="M75" t="str">
        <f>IF($C75="dmz","",CONCATENATE(VLOOKUP($D75,kong_np_var!$B$20:$H$26,SUBSTITUTE(M$1,"target_","") + 1,FALSE),":",$E75))</f>
        <v>172.24.148.135:31017</v>
      </c>
      <c r="N75" t="str">
        <f>IF($C75="dmz","",CONCATENATE(VLOOKUP($D75,kong_np_var!$B$20:$H$26,SUBSTITUTE(N$1,"target_","") + 1,FALSE),":",$E75))</f>
        <v>172.24.148.136:31017</v>
      </c>
      <c r="O75" t="str">
        <f>VLOOKUP($D75,kong_np_var!$B$10:$D$16,3,FALSE)</f>
        <v>172.24.149.183</v>
      </c>
      <c r="P75" t="str">
        <f>CONCATENATE("/",C75,MID(D75,2,15),"/",svc!$I74)</f>
        <v>/trust510/central_db_services_ccms</v>
      </c>
      <c r="Q75" t="str">
        <f>VLOOKUP(C75,kong_np_var!$B$6:$C$7,2,FALSE)</f>
        <v>http://172.24.148.160:8001</v>
      </c>
      <c r="R75" t="str">
        <f>SUBSTITUTE(SUBSTITUTE(kong_np_var!$J$1,"&lt;upstream_name&gt;",$F75),"&lt;kong_api_url&gt;",$Q75)</f>
        <v>curl -X PUT http://172.24.148.160:8001/upstreams/ups-v510-central_db_services_ccms</v>
      </c>
      <c r="S75" t="str">
        <f>SUBSTITUTE(SUBSTITUTE(SUBSTITUTE(SUBSTITUTE(kong_np_var!$J$2,"&lt;kong_api_url&gt;",$Q75),"&lt;upstream_name&gt;",$F75),"&lt;port&gt;",$E75),"&lt;service_name&gt;",$G75)</f>
        <v>curl -X PUT http://172.24.148.160:8001/services/svc-v510-central_db_services_ccms -H "Content-Type: application/json" -d '{"protocol":"http","host":"ups-v510-central_db_services_ccms","port":31017}'</v>
      </c>
      <c r="T75" t="str">
        <f>SUBSTITUTE(SUBSTITUTE(SUBSTITUTE(SUBSTITUTE(SUBSTITUTE(kong_np_var!$J$3,"&lt;kong_api_url&gt;",$Q75),"&lt;route_name&gt;",$H75),"&lt;service_name&gt;",$G75),"&lt;host&gt;",$O75),"&lt;path&gt;",$P75)</f>
        <v>curl -X PUT http://172.24.148.160:8001/services/svc-v510-central_db_services_ccms/routes/route-v504-v510-central_db_services_ccms -H "Content-Type: application/json" -d '{"protocols":["http"],"hosts":["172.24.149.183"],"paths":["/trust510/central_db_services_ccms"]}'</v>
      </c>
      <c r="U75" t="str">
        <f t="shared" si="7"/>
        <v>curl -X POST http://172.24.148.160:8001/upstreams/ups-v510-central_db_services_ccms/targets -d 'target=172.24.148.131:31017'</v>
      </c>
      <c r="V75" t="str">
        <f t="shared" si="8"/>
        <v>curl -X POST http://172.24.148.160:8001/upstreams/ups-v510-central_db_services_ccms/targets -d 'target=172.24.148.132:31017'</v>
      </c>
      <c r="W75" t="str">
        <f t="shared" si="9"/>
        <v>curl -X POST http://172.24.148.160:8001/upstreams/ups-v510-central_db_services_ccms/targets -d 'target=172.24.148.133:31017'</v>
      </c>
      <c r="X75" t="str">
        <f t="shared" si="10"/>
        <v>curl -X POST http://172.24.148.160:8001/upstreams/ups-v510-central_db_services_ccms/targets -d 'target=172.24.148.134:31017'</v>
      </c>
      <c r="Y75" t="str">
        <f t="shared" si="11"/>
        <v>curl -X POST http://172.24.148.160:8001/upstreams/ups-v510-central_db_services_ccms/targets -d 'target=172.24.148.135:31017'</v>
      </c>
      <c r="Z75" t="str">
        <f t="shared" si="12"/>
        <v>curl -X POST http://172.24.148.160:8001/upstreams/ups-v510-central_db_services_ccms/targets -d 'target=172.24.148.136:31017'</v>
      </c>
    </row>
    <row r="76" spans="1:26">
      <c r="A76">
        <f>IF(ISNUMBER(SEARCH("rest_api",svc!R75)),1,0)</f>
        <v>1</v>
      </c>
      <c r="C76" t="str">
        <f>svc!D75</f>
        <v>trust</v>
      </c>
      <c r="D76" t="str">
        <f>svc!$B75</f>
        <v>v510</v>
      </c>
      <c r="E76">
        <f>svc!G75</f>
        <v>31016</v>
      </c>
      <c r="F76" t="str">
        <f>CONCATENATE("ups-",svc!$B75,"-",svc!I75)</f>
        <v>ups-v510-central_db_services_core</v>
      </c>
      <c r="G76" t="str">
        <f>CONCATENATE("svc-",svc!$B75,"-",svc!I75)</f>
        <v>svc-v510-central_db_services_core</v>
      </c>
      <c r="H76" t="str">
        <f>CONCATENATE("route-",VLOOKUP($D76,kong_np_var!$B$10:$D$16,2,FALSE),"-",svc!$B75,"-",svc!I75)</f>
        <v>route-v504-v510-central_db_services_core</v>
      </c>
      <c r="I76" t="str">
        <f>CONCATENATE(VLOOKUP($D76,kong_np_var!$B$20:$H$26,SUBSTITUTE(I$1,"target_","") + 1,FALSE),":",$E76)</f>
        <v>172.24.148.131:31016</v>
      </c>
      <c r="J76" t="str">
        <f>CONCATENATE(VLOOKUP($D76,kong_np_var!$B$20:$H$26,SUBSTITUTE(J$1,"target_","") + 1,FALSE),":",$E76)</f>
        <v>172.24.148.132:31016</v>
      </c>
      <c r="K76" t="str">
        <f>CONCATENATE(VLOOKUP($D76,kong_np_var!$B$20:$H$26,SUBSTITUTE(K$1,"target_","") + 1,FALSE),":",$E76)</f>
        <v>172.24.148.133:31016</v>
      </c>
      <c r="L76" t="str">
        <f>IF($C76="dmz","",CONCATENATE(VLOOKUP($D76,kong_np_var!$B$20:$H$26,SUBSTITUTE(L$1,"target_","") + 1,FALSE),":",$E76))</f>
        <v>172.24.148.134:31016</v>
      </c>
      <c r="M76" t="str">
        <f>IF($C76="dmz","",CONCATENATE(VLOOKUP($D76,kong_np_var!$B$20:$H$26,SUBSTITUTE(M$1,"target_","") + 1,FALSE),":",$E76))</f>
        <v>172.24.148.135:31016</v>
      </c>
      <c r="N76" t="str">
        <f>IF($C76="dmz","",CONCATENATE(VLOOKUP($D76,kong_np_var!$B$20:$H$26,SUBSTITUTE(N$1,"target_","") + 1,FALSE),":",$E76))</f>
        <v>172.24.148.136:31016</v>
      </c>
      <c r="O76" t="str">
        <f>VLOOKUP($D76,kong_np_var!$B$10:$D$16,3,FALSE)</f>
        <v>172.24.149.183</v>
      </c>
      <c r="P76" t="str">
        <f>CONCATENATE("/",C76,MID(D76,2,15),"/",svc!$I75)</f>
        <v>/trust510/central_db_services_core</v>
      </c>
      <c r="Q76" t="str">
        <f>VLOOKUP(C76,kong_np_var!$B$6:$C$7,2,FALSE)</f>
        <v>http://172.24.148.160:8001</v>
      </c>
      <c r="R76" t="str">
        <f>SUBSTITUTE(SUBSTITUTE(kong_np_var!$J$1,"&lt;upstream_name&gt;",$F76),"&lt;kong_api_url&gt;",$Q76)</f>
        <v>curl -X PUT http://172.24.148.160:8001/upstreams/ups-v510-central_db_services_core</v>
      </c>
      <c r="S76" t="str">
        <f>SUBSTITUTE(SUBSTITUTE(SUBSTITUTE(SUBSTITUTE(kong_np_var!$J$2,"&lt;kong_api_url&gt;",$Q76),"&lt;upstream_name&gt;",$F76),"&lt;port&gt;",$E76),"&lt;service_name&gt;",$G76)</f>
        <v>curl -X PUT http://172.24.148.160:8001/services/svc-v510-central_db_services_core -H "Content-Type: application/json" -d '{"protocol":"http","host":"ups-v510-central_db_services_core","port":31016}'</v>
      </c>
      <c r="T76" t="str">
        <f>SUBSTITUTE(SUBSTITUTE(SUBSTITUTE(SUBSTITUTE(SUBSTITUTE(kong_np_var!$J$3,"&lt;kong_api_url&gt;",$Q76),"&lt;route_name&gt;",$H76),"&lt;service_name&gt;",$G76),"&lt;host&gt;",$O76),"&lt;path&gt;",$P76)</f>
        <v>curl -X PUT http://172.24.148.160:8001/services/svc-v510-central_db_services_core/routes/route-v504-v510-central_db_services_core -H "Content-Type: application/json" -d '{"protocols":["http"],"hosts":["172.24.149.183"],"paths":["/trust510/central_db_services_core"]}'</v>
      </c>
      <c r="U76" t="str">
        <f t="shared" si="7"/>
        <v>curl -X POST http://172.24.148.160:8001/upstreams/ups-v510-central_db_services_core/targets -d 'target=172.24.148.131:31016'</v>
      </c>
      <c r="V76" t="str">
        <f t="shared" si="8"/>
        <v>curl -X POST http://172.24.148.160:8001/upstreams/ups-v510-central_db_services_core/targets -d 'target=172.24.148.132:31016'</v>
      </c>
      <c r="W76" t="str">
        <f t="shared" si="9"/>
        <v>curl -X POST http://172.24.148.160:8001/upstreams/ups-v510-central_db_services_core/targets -d 'target=172.24.148.133:31016'</v>
      </c>
      <c r="X76" t="str">
        <f t="shared" si="10"/>
        <v>curl -X POST http://172.24.148.160:8001/upstreams/ups-v510-central_db_services_core/targets -d 'target=172.24.148.134:31016'</v>
      </c>
      <c r="Y76" t="str">
        <f t="shared" si="11"/>
        <v>curl -X POST http://172.24.148.160:8001/upstreams/ups-v510-central_db_services_core/targets -d 'target=172.24.148.135:31016'</v>
      </c>
      <c r="Z76" t="str">
        <f t="shared" si="12"/>
        <v>curl -X POST http://172.24.148.160:8001/upstreams/ups-v510-central_db_services_core/targets -d 'target=172.24.148.136:31016'</v>
      </c>
    </row>
    <row r="77" spans="1:26">
      <c r="A77">
        <f>IF(ISNUMBER(SEARCH("rest_api",svc!R76)),1,0)</f>
        <v>1</v>
      </c>
      <c r="C77" t="str">
        <f>svc!D76</f>
        <v>trust</v>
      </c>
      <c r="D77" t="str">
        <f>svc!$B76</f>
        <v>v810</v>
      </c>
      <c r="E77">
        <f>svc!G76</f>
        <v>31016</v>
      </c>
      <c r="F77" t="str">
        <f>CONCATENATE("ups-",svc!$B76,"-",svc!I76)</f>
        <v>ups-v810-central_db_services_core</v>
      </c>
      <c r="G77" t="str">
        <f>CONCATENATE("svc-",svc!$B76,"-",svc!I76)</f>
        <v>svc-v810-central_db_services_core</v>
      </c>
      <c r="H77" t="str">
        <f>CONCATENATE("route-",VLOOKUP($D77,kong_np_var!$B$10:$D$16,2,FALSE),"-",svc!$B76,"-",svc!I76)</f>
        <v>route-v804-v810-central_db_services_core</v>
      </c>
      <c r="I77" t="str">
        <f>CONCATENATE(VLOOKUP($D77,kong_np_var!$B$20:$H$26,SUBSTITUTE(I$1,"target_","") + 1,FALSE),":",$E77)</f>
        <v>172.24.148.195:31016</v>
      </c>
      <c r="J77" t="str">
        <f>CONCATENATE(VLOOKUP($D77,kong_np_var!$B$20:$H$26,SUBSTITUTE(J$1,"target_","") + 1,FALSE),":",$E77)</f>
        <v>172.24.148.196:31016</v>
      </c>
      <c r="K77" t="str">
        <f>CONCATENATE(VLOOKUP($D77,kong_np_var!$B$20:$H$26,SUBSTITUTE(K$1,"target_","") + 1,FALSE),":",$E77)</f>
        <v>172.24.148.197:31016</v>
      </c>
      <c r="L77" t="str">
        <f>IF($C77="dmz","",CONCATENATE(VLOOKUP($D77,kong_np_var!$B$20:$H$26,SUBSTITUTE(L$1,"target_","") + 1,FALSE),":",$E77))</f>
        <v>172.24.148.198:31016</v>
      </c>
      <c r="M77" t="str">
        <f>IF($C77="dmz","",CONCATENATE(VLOOKUP($D77,kong_np_var!$B$20:$H$26,SUBSTITUTE(M$1,"target_","") + 1,FALSE),":",$E77))</f>
        <v>172.24.148.199:31016</v>
      </c>
      <c r="N77" t="str">
        <f>IF($C77="dmz","",CONCATENATE(VLOOKUP($D77,kong_np_var!$B$20:$H$26,SUBSTITUTE(N$1,"target_","") + 1,FALSE),":",$E77))</f>
        <v>172.24.148.200:31016</v>
      </c>
      <c r="O77" t="str">
        <f>VLOOKUP($D77,kong_np_var!$B$10:$D$16,3,FALSE)</f>
        <v>172.24.149.151</v>
      </c>
      <c r="P77" t="str">
        <f>CONCATENATE("/",C77,MID(D77,2,15),"/",svc!$I76)</f>
        <v>/trust810/central_db_services_core</v>
      </c>
      <c r="Q77" t="str">
        <f>VLOOKUP(C77,kong_np_var!$B$6:$C$7,2,FALSE)</f>
        <v>http://172.24.148.160:8001</v>
      </c>
      <c r="R77" t="str">
        <f>SUBSTITUTE(SUBSTITUTE(kong_np_var!$J$1,"&lt;upstream_name&gt;",$F77),"&lt;kong_api_url&gt;",$Q77)</f>
        <v>curl -X PUT http://172.24.148.160:8001/upstreams/ups-v810-central_db_services_core</v>
      </c>
      <c r="S77" t="str">
        <f>SUBSTITUTE(SUBSTITUTE(SUBSTITUTE(SUBSTITUTE(kong_np_var!$J$2,"&lt;kong_api_url&gt;",$Q77),"&lt;upstream_name&gt;",$F77),"&lt;port&gt;",$E77),"&lt;service_name&gt;",$G77)</f>
        <v>curl -X PUT http://172.24.148.160:8001/services/svc-v810-central_db_services_core -H "Content-Type: application/json" -d '{"protocol":"http","host":"ups-v810-central_db_services_core","port":31016}'</v>
      </c>
      <c r="T77" t="str">
        <f>SUBSTITUTE(SUBSTITUTE(SUBSTITUTE(SUBSTITUTE(SUBSTITUTE(kong_np_var!$J$3,"&lt;kong_api_url&gt;",$Q77),"&lt;route_name&gt;",$H77),"&lt;service_name&gt;",$G77),"&lt;host&gt;",$O77),"&lt;path&gt;",$P77)</f>
        <v>curl -X PUT http://172.24.148.160:8001/services/svc-v810-central_db_services_core/routes/route-v804-v810-central_db_services_core -H "Content-Type: application/json" -d '{"protocols":["http"],"hosts":["172.24.149.151"],"paths":["/trust810/central_db_services_core"]}'</v>
      </c>
      <c r="U77" t="str">
        <f t="shared" si="7"/>
        <v>curl -X POST http://172.24.148.160:8001/upstreams/ups-v810-central_db_services_core/targets -d 'target=172.24.148.195:31016'</v>
      </c>
      <c r="V77" t="str">
        <f t="shared" si="8"/>
        <v>curl -X POST http://172.24.148.160:8001/upstreams/ups-v810-central_db_services_core/targets -d 'target=172.24.148.196:31016'</v>
      </c>
      <c r="W77" t="str">
        <f t="shared" si="9"/>
        <v>curl -X POST http://172.24.148.160:8001/upstreams/ups-v810-central_db_services_core/targets -d 'target=172.24.148.197:31016'</v>
      </c>
      <c r="X77" t="str">
        <f t="shared" si="10"/>
        <v>curl -X POST http://172.24.148.160:8001/upstreams/ups-v810-central_db_services_core/targets -d 'target=172.24.148.198:31016'</v>
      </c>
      <c r="Y77" t="str">
        <f t="shared" si="11"/>
        <v>curl -X POST http://172.24.148.160:8001/upstreams/ups-v810-central_db_services_core/targets -d 'target=172.24.148.199:31016'</v>
      </c>
      <c r="Z77" t="str">
        <f t="shared" si="12"/>
        <v>curl -X POST http://172.24.148.160:8001/upstreams/ups-v810-central_db_services_core/targets -d 'target=172.24.148.200:31016'</v>
      </c>
    </row>
    <row r="78" spans="1:26">
      <c r="A78">
        <f>IF(ISNUMBER(SEARCH("rest_api",svc!R77)),1,0)</f>
        <v>1</v>
      </c>
      <c r="C78" t="str">
        <f>svc!D77</f>
        <v>trust</v>
      </c>
      <c r="D78" t="str">
        <f>svc!$B77</f>
        <v>v510</v>
      </c>
      <c r="E78">
        <f>svc!G77</f>
        <v>31018</v>
      </c>
      <c r="F78" t="str">
        <f>CONCATENATE("ups-",svc!$B77,"-",svc!I77)</f>
        <v>ups-v510-central_db_services_ecms</v>
      </c>
      <c r="G78" t="str">
        <f>CONCATENATE("svc-",svc!$B77,"-",svc!I77)</f>
        <v>svc-v510-central_db_services_ecms</v>
      </c>
      <c r="H78" t="str">
        <f>CONCATENATE("route-",VLOOKUP($D78,kong_np_var!$B$10:$D$16,2,FALSE),"-",svc!$B77,"-",svc!I77)</f>
        <v>route-v504-v510-central_db_services_ecms</v>
      </c>
      <c r="I78" t="str">
        <f>CONCATENATE(VLOOKUP($D78,kong_np_var!$B$20:$H$26,SUBSTITUTE(I$1,"target_","") + 1,FALSE),":",$E78)</f>
        <v>172.24.148.131:31018</v>
      </c>
      <c r="J78" t="str">
        <f>CONCATENATE(VLOOKUP($D78,kong_np_var!$B$20:$H$26,SUBSTITUTE(J$1,"target_","") + 1,FALSE),":",$E78)</f>
        <v>172.24.148.132:31018</v>
      </c>
      <c r="K78" t="str">
        <f>CONCATENATE(VLOOKUP($D78,kong_np_var!$B$20:$H$26,SUBSTITUTE(K$1,"target_","") + 1,FALSE),":",$E78)</f>
        <v>172.24.148.133:31018</v>
      </c>
      <c r="L78" t="str">
        <f>IF($C78="dmz","",CONCATENATE(VLOOKUP($D78,kong_np_var!$B$20:$H$26,SUBSTITUTE(L$1,"target_","") + 1,FALSE),":",$E78))</f>
        <v>172.24.148.134:31018</v>
      </c>
      <c r="M78" t="str">
        <f>IF($C78="dmz","",CONCATENATE(VLOOKUP($D78,kong_np_var!$B$20:$H$26,SUBSTITUTE(M$1,"target_","") + 1,FALSE),":",$E78))</f>
        <v>172.24.148.135:31018</v>
      </c>
      <c r="N78" t="str">
        <f>IF($C78="dmz","",CONCATENATE(VLOOKUP($D78,kong_np_var!$B$20:$H$26,SUBSTITUTE(N$1,"target_","") + 1,FALSE),":",$E78))</f>
        <v>172.24.148.136:31018</v>
      </c>
      <c r="O78" t="str">
        <f>VLOOKUP($D78,kong_np_var!$B$10:$D$16,3,FALSE)</f>
        <v>172.24.149.183</v>
      </c>
      <c r="P78" t="str">
        <f>CONCATENATE("/",C78,MID(D78,2,15),"/",svc!$I77)</f>
        <v>/trust510/central_db_services_ecms</v>
      </c>
      <c r="Q78" t="str">
        <f>VLOOKUP(C78,kong_np_var!$B$6:$C$7,2,FALSE)</f>
        <v>http://172.24.148.160:8001</v>
      </c>
      <c r="R78" t="str">
        <f>SUBSTITUTE(SUBSTITUTE(kong_np_var!$J$1,"&lt;upstream_name&gt;",$F78),"&lt;kong_api_url&gt;",$Q78)</f>
        <v>curl -X PUT http://172.24.148.160:8001/upstreams/ups-v510-central_db_services_ecms</v>
      </c>
      <c r="S78" t="str">
        <f>SUBSTITUTE(SUBSTITUTE(SUBSTITUTE(SUBSTITUTE(kong_np_var!$J$2,"&lt;kong_api_url&gt;",$Q78),"&lt;upstream_name&gt;",$F78),"&lt;port&gt;",$E78),"&lt;service_name&gt;",$G78)</f>
        <v>curl -X PUT http://172.24.148.160:8001/services/svc-v510-central_db_services_ecms -H "Content-Type: application/json" -d '{"protocol":"http","host":"ups-v510-central_db_services_ecms","port":31018}'</v>
      </c>
      <c r="T78" t="str">
        <f>SUBSTITUTE(SUBSTITUTE(SUBSTITUTE(SUBSTITUTE(SUBSTITUTE(kong_np_var!$J$3,"&lt;kong_api_url&gt;",$Q78),"&lt;route_name&gt;",$H78),"&lt;service_name&gt;",$G78),"&lt;host&gt;",$O78),"&lt;path&gt;",$P78)</f>
        <v>curl -X PUT http://172.24.148.160:8001/services/svc-v510-central_db_services_ecms/routes/route-v504-v510-central_db_services_ecms -H "Content-Type: application/json" -d '{"protocols":["http"],"hosts":["172.24.149.183"],"paths":["/trust510/central_db_services_ecms"]}'</v>
      </c>
      <c r="U78" t="str">
        <f t="shared" si="7"/>
        <v>curl -X POST http://172.24.148.160:8001/upstreams/ups-v510-central_db_services_ecms/targets -d 'target=172.24.148.131:31018'</v>
      </c>
      <c r="V78" t="str">
        <f t="shared" si="8"/>
        <v>curl -X POST http://172.24.148.160:8001/upstreams/ups-v510-central_db_services_ecms/targets -d 'target=172.24.148.132:31018'</v>
      </c>
      <c r="W78" t="str">
        <f t="shared" si="9"/>
        <v>curl -X POST http://172.24.148.160:8001/upstreams/ups-v510-central_db_services_ecms/targets -d 'target=172.24.148.133:31018'</v>
      </c>
      <c r="X78" t="str">
        <f t="shared" si="10"/>
        <v>curl -X POST http://172.24.148.160:8001/upstreams/ups-v510-central_db_services_ecms/targets -d 'target=172.24.148.134:31018'</v>
      </c>
      <c r="Y78" t="str">
        <f t="shared" si="11"/>
        <v>curl -X POST http://172.24.148.160:8001/upstreams/ups-v510-central_db_services_ecms/targets -d 'target=172.24.148.135:31018'</v>
      </c>
      <c r="Z78" t="str">
        <f t="shared" si="12"/>
        <v>curl -X POST http://172.24.148.160:8001/upstreams/ups-v510-central_db_services_ecms/targets -d 'target=172.24.148.136:31018'</v>
      </c>
    </row>
    <row r="79" spans="1:26">
      <c r="A79">
        <f>IF(ISNUMBER(SEARCH("rest_api",svc!R78)),1,0)</f>
        <v>1</v>
      </c>
      <c r="C79" t="str">
        <f>svc!D78</f>
        <v>trust</v>
      </c>
      <c r="D79" t="str">
        <f>svc!$B78</f>
        <v>v510</v>
      </c>
      <c r="E79">
        <f>svc!G78</f>
        <v>31219</v>
      </c>
      <c r="F79" t="str">
        <f>CONCATENATE("ups-",svc!$B78,"-",svc!I78)</f>
        <v>ups-v510-central_db_services_das</v>
      </c>
      <c r="G79" t="str">
        <f>CONCATENATE("svc-",svc!$B78,"-",svc!I78)</f>
        <v>svc-v510-central_db_services_das</v>
      </c>
      <c r="H79" t="str">
        <f>CONCATENATE("route-",VLOOKUP($D79,kong_np_var!$B$10:$D$16,2,FALSE),"-",svc!$B78,"-",svc!I78)</f>
        <v>route-v504-v510-central_db_services_das</v>
      </c>
      <c r="I79" t="str">
        <f>CONCATENATE(VLOOKUP($D79,kong_np_var!$B$20:$H$26,SUBSTITUTE(I$1,"target_","") + 1,FALSE),":",$E79)</f>
        <v>172.24.148.131:31219</v>
      </c>
      <c r="J79" t="str">
        <f>CONCATENATE(VLOOKUP($D79,kong_np_var!$B$20:$H$26,SUBSTITUTE(J$1,"target_","") + 1,FALSE),":",$E79)</f>
        <v>172.24.148.132:31219</v>
      </c>
      <c r="K79" t="str">
        <f>CONCATENATE(VLOOKUP($D79,kong_np_var!$B$20:$H$26,SUBSTITUTE(K$1,"target_","") + 1,FALSE),":",$E79)</f>
        <v>172.24.148.133:31219</v>
      </c>
      <c r="L79" t="str">
        <f>IF($C79="dmz","",CONCATENATE(VLOOKUP($D79,kong_np_var!$B$20:$H$26,SUBSTITUTE(L$1,"target_","") + 1,FALSE),":",$E79))</f>
        <v>172.24.148.134:31219</v>
      </c>
      <c r="M79" t="str">
        <f>IF($C79="dmz","",CONCATENATE(VLOOKUP($D79,kong_np_var!$B$20:$H$26,SUBSTITUTE(M$1,"target_","") + 1,FALSE),":",$E79))</f>
        <v>172.24.148.135:31219</v>
      </c>
      <c r="N79" t="str">
        <f>IF($C79="dmz","",CONCATENATE(VLOOKUP($D79,kong_np_var!$B$20:$H$26,SUBSTITUTE(N$1,"target_","") + 1,FALSE),":",$E79))</f>
        <v>172.24.148.136:31219</v>
      </c>
      <c r="O79" t="str">
        <f>VLOOKUP($D79,kong_np_var!$B$10:$D$16,3,FALSE)</f>
        <v>172.24.149.183</v>
      </c>
      <c r="P79" t="str">
        <f>CONCATENATE("/",C79,MID(D79,2,15),"/",svc!$I78)</f>
        <v>/trust510/central_db_services_das</v>
      </c>
      <c r="Q79" t="str">
        <f>VLOOKUP(C79,kong_np_var!$B$6:$C$7,2,FALSE)</f>
        <v>http://172.24.148.160:8001</v>
      </c>
      <c r="R79" t="str">
        <f>SUBSTITUTE(SUBSTITUTE(kong_np_var!$J$1,"&lt;upstream_name&gt;",$F79),"&lt;kong_api_url&gt;",$Q79)</f>
        <v>curl -X PUT http://172.24.148.160:8001/upstreams/ups-v510-central_db_services_das</v>
      </c>
      <c r="S79" t="str">
        <f>SUBSTITUTE(SUBSTITUTE(SUBSTITUTE(SUBSTITUTE(kong_np_var!$J$2,"&lt;kong_api_url&gt;",$Q79),"&lt;upstream_name&gt;",$F79),"&lt;port&gt;",$E79),"&lt;service_name&gt;",$G79)</f>
        <v>curl -X PUT http://172.24.148.160:8001/services/svc-v510-central_db_services_das -H "Content-Type: application/json" -d '{"protocol":"http","host":"ups-v510-central_db_services_das","port":31219}'</v>
      </c>
      <c r="T79" t="str">
        <f>SUBSTITUTE(SUBSTITUTE(SUBSTITUTE(SUBSTITUTE(SUBSTITUTE(kong_np_var!$J$3,"&lt;kong_api_url&gt;",$Q79),"&lt;route_name&gt;",$H79),"&lt;service_name&gt;",$G79),"&lt;host&gt;",$O79),"&lt;path&gt;",$P79)</f>
        <v>curl -X PUT http://172.24.148.160:8001/services/svc-v510-central_db_services_das/routes/route-v504-v510-central_db_services_das -H "Content-Type: application/json" -d '{"protocols":["http"],"hosts":["172.24.149.183"],"paths":["/trust510/central_db_services_das"]}'</v>
      </c>
      <c r="U79" t="str">
        <f t="shared" si="7"/>
        <v>curl -X POST http://172.24.148.160:8001/upstreams/ups-v510-central_db_services_das/targets -d 'target=172.24.148.131:31219'</v>
      </c>
      <c r="V79" t="str">
        <f t="shared" si="8"/>
        <v>curl -X POST http://172.24.148.160:8001/upstreams/ups-v510-central_db_services_das/targets -d 'target=172.24.148.132:31219'</v>
      </c>
      <c r="W79" t="str">
        <f t="shared" si="9"/>
        <v>curl -X POST http://172.24.148.160:8001/upstreams/ups-v510-central_db_services_das/targets -d 'target=172.24.148.133:31219'</v>
      </c>
      <c r="X79" t="str">
        <f t="shared" si="10"/>
        <v>curl -X POST http://172.24.148.160:8001/upstreams/ups-v510-central_db_services_das/targets -d 'target=172.24.148.134:31219'</v>
      </c>
      <c r="Y79" t="str">
        <f t="shared" si="11"/>
        <v>curl -X POST http://172.24.148.160:8001/upstreams/ups-v510-central_db_services_das/targets -d 'target=172.24.148.135:31219'</v>
      </c>
      <c r="Z79" t="str">
        <f t="shared" si="12"/>
        <v>curl -X POST http://172.24.148.160:8001/upstreams/ups-v510-central_db_services_das/targets -d 'target=172.24.148.136:31219'</v>
      </c>
    </row>
    <row r="80" spans="1:26">
      <c r="A80">
        <f>IF(ISNUMBER(SEARCH("rest_api",svc!R79)),1,0)</f>
        <v>1</v>
      </c>
      <c r="C80" t="str">
        <f>svc!D79</f>
        <v>trust</v>
      </c>
      <c r="D80" t="str">
        <f>svc!$B79</f>
        <v>v510</v>
      </c>
      <c r="E80">
        <f>svc!G79</f>
        <v>31317</v>
      </c>
      <c r="F80" t="str">
        <f>CONCATENATE("ups-",svc!$B79,"-",svc!I79)</f>
        <v>ups-v510-conf_setting</v>
      </c>
      <c r="G80" t="str">
        <f>CONCATENATE("svc-",svc!$B79,"-",svc!I79)</f>
        <v>svc-v510-conf_setting</v>
      </c>
      <c r="H80" t="str">
        <f>CONCATENATE("route-",VLOOKUP($D80,kong_np_var!$B$10:$D$16,2,FALSE),"-",svc!$B79,"-",svc!I79)</f>
        <v>route-v504-v510-conf_setting</v>
      </c>
      <c r="I80" t="str">
        <f>CONCATENATE(VLOOKUP($D80,kong_np_var!$B$20:$H$26,SUBSTITUTE(I$1,"target_","") + 1,FALSE),":",$E80)</f>
        <v>172.24.148.131:31317</v>
      </c>
      <c r="J80" t="str">
        <f>CONCATENATE(VLOOKUP($D80,kong_np_var!$B$20:$H$26,SUBSTITUTE(J$1,"target_","") + 1,FALSE),":",$E80)</f>
        <v>172.24.148.132:31317</v>
      </c>
      <c r="K80" t="str">
        <f>CONCATENATE(VLOOKUP($D80,kong_np_var!$B$20:$H$26,SUBSTITUTE(K$1,"target_","") + 1,FALSE),":",$E80)</f>
        <v>172.24.148.133:31317</v>
      </c>
      <c r="L80" t="str">
        <f>IF($C80="dmz","",CONCATENATE(VLOOKUP($D80,kong_np_var!$B$20:$H$26,SUBSTITUTE(L$1,"target_","") + 1,FALSE),":",$E80))</f>
        <v>172.24.148.134:31317</v>
      </c>
      <c r="M80" t="str">
        <f>IF($C80="dmz","",CONCATENATE(VLOOKUP($D80,kong_np_var!$B$20:$H$26,SUBSTITUTE(M$1,"target_","") + 1,FALSE),":",$E80))</f>
        <v>172.24.148.135:31317</v>
      </c>
      <c r="N80" t="str">
        <f>IF($C80="dmz","",CONCATENATE(VLOOKUP($D80,kong_np_var!$B$20:$H$26,SUBSTITUTE(N$1,"target_","") + 1,FALSE),":",$E80))</f>
        <v>172.24.148.136:31317</v>
      </c>
      <c r="O80" t="str">
        <f>VLOOKUP($D80,kong_np_var!$B$10:$D$16,3,FALSE)</f>
        <v>172.24.149.183</v>
      </c>
      <c r="P80" t="str">
        <f>CONCATENATE("/",C80,MID(D80,2,15),"/",svc!$I79)</f>
        <v>/trust510/conf_setting</v>
      </c>
      <c r="Q80" t="str">
        <f>VLOOKUP(C80,kong_np_var!$B$6:$C$7,2,FALSE)</f>
        <v>http://172.24.148.160:8001</v>
      </c>
      <c r="R80" t="str">
        <f>SUBSTITUTE(SUBSTITUTE(kong_np_var!$J$1,"&lt;upstream_name&gt;",$F80),"&lt;kong_api_url&gt;",$Q80)</f>
        <v>curl -X PUT http://172.24.148.160:8001/upstreams/ups-v510-conf_setting</v>
      </c>
      <c r="S80" t="str">
        <f>SUBSTITUTE(SUBSTITUTE(SUBSTITUTE(SUBSTITUTE(kong_np_var!$J$2,"&lt;kong_api_url&gt;",$Q80),"&lt;upstream_name&gt;",$F80),"&lt;port&gt;",$E80),"&lt;service_name&gt;",$G80)</f>
        <v>curl -X PUT http://172.24.148.160:8001/services/svc-v510-conf_setting -H "Content-Type: application/json" -d '{"protocol":"http","host":"ups-v510-conf_setting","port":31317}'</v>
      </c>
      <c r="T80" t="str">
        <f>SUBSTITUTE(SUBSTITUTE(SUBSTITUTE(SUBSTITUTE(SUBSTITUTE(kong_np_var!$J$3,"&lt;kong_api_url&gt;",$Q80),"&lt;route_name&gt;",$H80),"&lt;service_name&gt;",$G80),"&lt;host&gt;",$O80),"&lt;path&gt;",$P80)</f>
        <v>curl -X PUT http://172.24.148.160:8001/services/svc-v510-conf_setting/routes/route-v504-v510-conf_setting -H "Content-Type: application/json" -d '{"protocols":["http"],"hosts":["172.24.149.183"],"paths":["/trust510/conf_setting"]}'</v>
      </c>
      <c r="U80" t="str">
        <f t="shared" si="7"/>
        <v>curl -X POST http://172.24.148.160:8001/upstreams/ups-v510-conf_setting/targets -d 'target=172.24.148.131:31317'</v>
      </c>
      <c r="V80" t="str">
        <f t="shared" si="8"/>
        <v>curl -X POST http://172.24.148.160:8001/upstreams/ups-v510-conf_setting/targets -d 'target=172.24.148.132:31317'</v>
      </c>
      <c r="W80" t="str">
        <f t="shared" si="9"/>
        <v>curl -X POST http://172.24.148.160:8001/upstreams/ups-v510-conf_setting/targets -d 'target=172.24.148.133:31317'</v>
      </c>
      <c r="X80" t="str">
        <f t="shared" si="10"/>
        <v>curl -X POST http://172.24.148.160:8001/upstreams/ups-v510-conf_setting/targets -d 'target=172.24.148.134:31317'</v>
      </c>
      <c r="Y80" t="str">
        <f t="shared" si="11"/>
        <v>curl -X POST http://172.24.148.160:8001/upstreams/ups-v510-conf_setting/targets -d 'target=172.24.148.135:31317'</v>
      </c>
      <c r="Z80" t="str">
        <f t="shared" si="12"/>
        <v>curl -X POST http://172.24.148.160:8001/upstreams/ups-v510-conf_setting/targets -d 'target=172.24.148.136:31317'</v>
      </c>
    </row>
    <row r="81" spans="1:26" hidden="1">
      <c r="A81">
        <f>IF(ISNUMBER(SEARCH("rest_api",svc!R80)),1,0)</f>
        <v>0</v>
      </c>
      <c r="C81" t="str">
        <f>svc!D80</f>
        <v>trust</v>
      </c>
      <c r="D81" t="str">
        <f>svc!$B80</f>
        <v>v510</v>
      </c>
      <c r="E81" t="str">
        <f>svc!G80</f>
        <v>N/A</v>
      </c>
      <c r="F81" t="str">
        <f>CONCATENATE("ups-",svc!$B80,"-",svc!I80)</f>
        <v>ups-v510-das_data_consumer</v>
      </c>
      <c r="G81" t="str">
        <f>CONCATENATE("svc-",svc!$B80,"-",svc!I80)</f>
        <v>svc-v510-das_data_consumer</v>
      </c>
      <c r="H81" t="str">
        <f>CONCATENATE("route-",VLOOKUP($D81,kong_np_var!$B$10:$D$16,2,FALSE),"-",svc!$B80,"-",svc!I80)</f>
        <v>route-v504-v510-das_data_consumer</v>
      </c>
      <c r="I81" t="str">
        <f>CONCATENATE(VLOOKUP($D81,kong_np_var!$B$20:$H$26,SUBSTITUTE(I$1,"target_","") + 1,FALSE),":",$E81)</f>
        <v>172.24.148.131:N/A</v>
      </c>
      <c r="J81" t="str">
        <f>CONCATENATE(VLOOKUP($D81,kong_np_var!$B$20:$H$26,SUBSTITUTE(J$1,"target_","") + 1,FALSE),":",$E81)</f>
        <v>172.24.148.132:N/A</v>
      </c>
      <c r="K81" t="str">
        <f>CONCATENATE(VLOOKUP($D81,kong_np_var!$B$20:$H$26,SUBSTITUTE(K$1,"target_","") + 1,FALSE),":",$E81)</f>
        <v>172.24.148.133:N/A</v>
      </c>
      <c r="L81" t="str">
        <f>IF($C81="dmz","",CONCATENATE(VLOOKUP($D81,kong_np_var!$B$20:$H$26,SUBSTITUTE(L$1,"target_","") + 1,FALSE),":",$E81))</f>
        <v>172.24.148.134:N/A</v>
      </c>
      <c r="M81" t="str">
        <f>IF($C81="dmz","",CONCATENATE(VLOOKUP($D81,kong_np_var!$B$20:$H$26,SUBSTITUTE(M$1,"target_","") + 1,FALSE),":",$E81))</f>
        <v>172.24.148.135:N/A</v>
      </c>
      <c r="N81" t="str">
        <f>IF($C81="dmz","",CONCATENATE(VLOOKUP($D81,kong_np_var!$B$20:$H$26,SUBSTITUTE(N$1,"target_","") + 1,FALSE),":",$E81))</f>
        <v>172.24.148.136:N/A</v>
      </c>
      <c r="O81" t="str">
        <f>VLOOKUP($D81,kong_np_var!$B$10:$D$16,3,FALSE)</f>
        <v>172.24.149.183</v>
      </c>
      <c r="P81" t="str">
        <f>CONCATENATE("/",C81,MID(D81,2,15),"/",svc!$I80)</f>
        <v>/trust510/das_data_consumer</v>
      </c>
      <c r="Q81" t="str">
        <f>VLOOKUP(C81,kong_np_var!$B$6:$C$7,2,FALSE)</f>
        <v>http://172.24.148.160:8001</v>
      </c>
      <c r="R81" t="str">
        <f>SUBSTITUTE(SUBSTITUTE(kong_np_var!$J$1,"&lt;upstream_name&gt;",$F81),"&lt;kong_api_url&gt;",$Q81)</f>
        <v>curl -X PUT http://172.24.148.160:8001/upstreams/ups-v510-das_data_consumer</v>
      </c>
      <c r="S81" t="str">
        <f>SUBSTITUTE(SUBSTITUTE(SUBSTITUTE(SUBSTITUTE(kong_np_var!$J$2,"&lt;kong_api_url&gt;",$Q81),"&lt;upstream_name&gt;",$F81),"&lt;port&gt;",$E81),"&lt;service_name&gt;",$G81)</f>
        <v>curl -X PUT http://172.24.148.160:8001/services/svc-v510-das_data_consumer -H "Content-Type: application/json" -d '{"protocol":"http","host":"ups-v510-das_data_consumer","port":N/A}'</v>
      </c>
      <c r="T81" t="str">
        <f>SUBSTITUTE(SUBSTITUTE(SUBSTITUTE(SUBSTITUTE(SUBSTITUTE(kong_np_var!$J$3,"&lt;kong_api_url&gt;",$Q81),"&lt;route_name&gt;",$H81),"&lt;service_name&gt;",$G81),"&lt;host&gt;",$O81),"&lt;path&gt;",$P81)</f>
        <v>curl -X PUT http://172.24.148.160:8001/services/svc-v510-das_data_consumer/routes/route-v504-v510-das_data_consumer -H "Content-Type: application/json" -d '{"protocols":["http"],"hosts":["172.24.149.183"],"paths":["/trust510/das_data_consumer"]}'</v>
      </c>
      <c r="U81" t="str">
        <f t="shared" si="7"/>
        <v>curl -X POST http://172.24.148.160:8001/upstreams/ups-v510-das_data_consumer/targets -d 'target=172.24.148.131:N/A'</v>
      </c>
      <c r="V81" t="str">
        <f t="shared" si="8"/>
        <v>curl -X POST http://172.24.148.160:8001/upstreams/ups-v510-das_data_consumer/targets -d 'target=172.24.148.132:N/A'</v>
      </c>
      <c r="W81" t="str">
        <f t="shared" si="9"/>
        <v>curl -X POST http://172.24.148.160:8001/upstreams/ups-v510-das_data_consumer/targets -d 'target=172.24.148.133:N/A'</v>
      </c>
      <c r="X81" t="str">
        <f t="shared" si="10"/>
        <v>curl -X POST http://172.24.148.160:8001/upstreams/ups-v510-das_data_consumer/targets -d 'target=172.24.148.134:N/A'</v>
      </c>
      <c r="Y81" t="str">
        <f t="shared" si="11"/>
        <v>curl -X POST http://172.24.148.160:8001/upstreams/ups-v510-das_data_consumer/targets -d 'target=172.24.148.135:N/A'</v>
      </c>
      <c r="Z81" t="str">
        <f t="shared" si="12"/>
        <v>curl -X POST http://172.24.148.160:8001/upstreams/ups-v510-das_data_consumer/targets -d 'target=172.24.148.136:N/A'</v>
      </c>
    </row>
    <row r="82" spans="1:26" hidden="1">
      <c r="A82">
        <f>IF(ISNUMBER(SEARCH("rest_api",svc!R81)),1,0)</f>
        <v>0</v>
      </c>
      <c r="C82" t="str">
        <f>svc!D81</f>
        <v>trust</v>
      </c>
      <c r="D82" t="str">
        <f>svc!$B81</f>
        <v>v510</v>
      </c>
      <c r="E82" t="str">
        <f>svc!G81</f>
        <v>N/A</v>
      </c>
      <c r="F82" t="str">
        <f>CONCATENATE("ups-",svc!$B81,"-",svc!I81)</f>
        <v>ups-v510-das_evidence_record_consumer</v>
      </c>
      <c r="G82" t="str">
        <f>CONCATENATE("svc-",svc!$B81,"-",svc!I81)</f>
        <v>svc-v510-das_evidence_record_consumer</v>
      </c>
      <c r="H82" t="str">
        <f>CONCATENATE("route-",VLOOKUP($D82,kong_np_var!$B$10:$D$16,2,FALSE),"-",svc!$B81,"-",svc!I81)</f>
        <v>route-v504-v510-das_evidence_record_consumer</v>
      </c>
      <c r="I82" t="str">
        <f>CONCATENATE(VLOOKUP($D82,kong_np_var!$B$20:$H$26,SUBSTITUTE(I$1,"target_","") + 1,FALSE),":",$E82)</f>
        <v>172.24.148.131:N/A</v>
      </c>
      <c r="J82" t="str">
        <f>CONCATENATE(VLOOKUP($D82,kong_np_var!$B$20:$H$26,SUBSTITUTE(J$1,"target_","") + 1,FALSE),":",$E82)</f>
        <v>172.24.148.132:N/A</v>
      </c>
      <c r="K82" t="str">
        <f>CONCATENATE(VLOOKUP($D82,kong_np_var!$B$20:$H$26,SUBSTITUTE(K$1,"target_","") + 1,FALSE),":",$E82)</f>
        <v>172.24.148.133:N/A</v>
      </c>
      <c r="L82" t="str">
        <f>IF($C82="dmz","",CONCATENATE(VLOOKUP($D82,kong_np_var!$B$20:$H$26,SUBSTITUTE(L$1,"target_","") + 1,FALSE),":",$E82))</f>
        <v>172.24.148.134:N/A</v>
      </c>
      <c r="M82" t="str">
        <f>IF($C82="dmz","",CONCATENATE(VLOOKUP($D82,kong_np_var!$B$20:$H$26,SUBSTITUTE(M$1,"target_","") + 1,FALSE),":",$E82))</f>
        <v>172.24.148.135:N/A</v>
      </c>
      <c r="N82" t="str">
        <f>IF($C82="dmz","",CONCATENATE(VLOOKUP($D82,kong_np_var!$B$20:$H$26,SUBSTITUTE(N$1,"target_","") + 1,FALSE),":",$E82))</f>
        <v>172.24.148.136:N/A</v>
      </c>
      <c r="O82" t="str">
        <f>VLOOKUP($D82,kong_np_var!$B$10:$D$16,3,FALSE)</f>
        <v>172.24.149.183</v>
      </c>
      <c r="P82" t="str">
        <f>CONCATENATE("/",C82,MID(D82,2,15),"/",svc!$I81)</f>
        <v>/trust510/das_evidence_record_consumer</v>
      </c>
      <c r="Q82" t="str">
        <f>VLOOKUP(C82,kong_np_var!$B$6:$C$7,2,FALSE)</f>
        <v>http://172.24.148.160:8001</v>
      </c>
      <c r="R82" t="str">
        <f>SUBSTITUTE(SUBSTITUTE(kong_np_var!$J$1,"&lt;upstream_name&gt;",$F82),"&lt;kong_api_url&gt;",$Q82)</f>
        <v>curl -X PUT http://172.24.148.160:8001/upstreams/ups-v510-das_evidence_record_consumer</v>
      </c>
      <c r="S82" t="str">
        <f>SUBSTITUTE(SUBSTITUTE(SUBSTITUTE(SUBSTITUTE(kong_np_var!$J$2,"&lt;kong_api_url&gt;",$Q82),"&lt;upstream_name&gt;",$F82),"&lt;port&gt;",$E82),"&lt;service_name&gt;",$G82)</f>
        <v>curl -X PUT http://172.24.148.160:8001/services/svc-v510-das_evidence_record_consumer -H "Content-Type: application/json" -d '{"protocol":"http","host":"ups-v510-das_evidence_record_consumer","port":N/A}'</v>
      </c>
      <c r="T82" t="str">
        <f>SUBSTITUTE(SUBSTITUTE(SUBSTITUTE(SUBSTITUTE(SUBSTITUTE(kong_np_var!$J$3,"&lt;kong_api_url&gt;",$Q82),"&lt;route_name&gt;",$H82),"&lt;service_name&gt;",$G82),"&lt;host&gt;",$O82),"&lt;path&gt;",$P82)</f>
        <v>curl -X PUT http://172.24.148.160:8001/services/svc-v510-das_evidence_record_consumer/routes/route-v504-v510-das_evidence_record_consumer -H "Content-Type: application/json" -d '{"protocols":["http"],"hosts":["172.24.149.183"],"paths":["/trust510/das_evidence_record_consumer"]}'</v>
      </c>
      <c r="U82" t="str">
        <f t="shared" si="7"/>
        <v>curl -X POST http://172.24.148.160:8001/upstreams/ups-v510-das_evidence_record_consumer/targets -d 'target=172.24.148.131:N/A'</v>
      </c>
      <c r="V82" t="str">
        <f t="shared" si="8"/>
        <v>curl -X POST http://172.24.148.160:8001/upstreams/ups-v510-das_evidence_record_consumer/targets -d 'target=172.24.148.132:N/A'</v>
      </c>
      <c r="W82" t="str">
        <f t="shared" si="9"/>
        <v>curl -X POST http://172.24.148.160:8001/upstreams/ups-v510-das_evidence_record_consumer/targets -d 'target=172.24.148.133:N/A'</v>
      </c>
      <c r="X82" t="str">
        <f t="shared" si="10"/>
        <v>curl -X POST http://172.24.148.160:8001/upstreams/ups-v510-das_evidence_record_consumer/targets -d 'target=172.24.148.134:N/A'</v>
      </c>
      <c r="Y82" t="str">
        <f t="shared" si="11"/>
        <v>curl -X POST http://172.24.148.160:8001/upstreams/ups-v510-das_evidence_record_consumer/targets -d 'target=172.24.148.135:N/A'</v>
      </c>
      <c r="Z82" t="str">
        <f t="shared" si="12"/>
        <v>curl -X POST http://172.24.148.160:8001/upstreams/ups-v510-das_evidence_record_consumer/targets -d 'target=172.24.148.136:N/A'</v>
      </c>
    </row>
    <row r="83" spans="1:26" hidden="1">
      <c r="A83">
        <f>IF(ISNUMBER(SEARCH("rest_api",svc!R82)),1,0)</f>
        <v>0</v>
      </c>
      <c r="C83" t="str">
        <f>svc!D82</f>
        <v>trust</v>
      </c>
      <c r="D83" t="str">
        <f>svc!$B82</f>
        <v>v510</v>
      </c>
      <c r="E83" t="str">
        <f>svc!G82</f>
        <v>N/A</v>
      </c>
      <c r="F83" t="str">
        <f>CONCATENATE("ups-",svc!$B82,"-",svc!I82)</f>
        <v>ups-v510-das_transaction_record_consumer</v>
      </c>
      <c r="G83" t="str">
        <f>CONCATENATE("svc-",svc!$B82,"-",svc!I82)</f>
        <v>svc-v510-das_transaction_record_consumer</v>
      </c>
      <c r="H83" t="str">
        <f>CONCATENATE("route-",VLOOKUP($D83,kong_np_var!$B$10:$D$16,2,FALSE),"-",svc!$B82,"-",svc!I82)</f>
        <v>route-v504-v510-das_transaction_record_consumer</v>
      </c>
      <c r="I83" t="str">
        <f>CONCATENATE(VLOOKUP($D83,kong_np_var!$B$20:$H$26,SUBSTITUTE(I$1,"target_","") + 1,FALSE),":",$E83)</f>
        <v>172.24.148.131:N/A</v>
      </c>
      <c r="J83" t="str">
        <f>CONCATENATE(VLOOKUP($D83,kong_np_var!$B$20:$H$26,SUBSTITUTE(J$1,"target_","") + 1,FALSE),":",$E83)</f>
        <v>172.24.148.132:N/A</v>
      </c>
      <c r="K83" t="str">
        <f>CONCATENATE(VLOOKUP($D83,kong_np_var!$B$20:$H$26,SUBSTITUTE(K$1,"target_","") + 1,FALSE),":",$E83)</f>
        <v>172.24.148.133:N/A</v>
      </c>
      <c r="L83" t="str">
        <f>IF($C83="dmz","",CONCATENATE(VLOOKUP($D83,kong_np_var!$B$20:$H$26,SUBSTITUTE(L$1,"target_","") + 1,FALSE),":",$E83))</f>
        <v>172.24.148.134:N/A</v>
      </c>
      <c r="M83" t="str">
        <f>IF($C83="dmz","",CONCATENATE(VLOOKUP($D83,kong_np_var!$B$20:$H$26,SUBSTITUTE(M$1,"target_","") + 1,FALSE),":",$E83))</f>
        <v>172.24.148.135:N/A</v>
      </c>
      <c r="N83" t="str">
        <f>IF($C83="dmz","",CONCATENATE(VLOOKUP($D83,kong_np_var!$B$20:$H$26,SUBSTITUTE(N$1,"target_","") + 1,FALSE),":",$E83))</f>
        <v>172.24.148.136:N/A</v>
      </c>
      <c r="O83" t="str">
        <f>VLOOKUP($D83,kong_np_var!$B$10:$D$16,3,FALSE)</f>
        <v>172.24.149.183</v>
      </c>
      <c r="P83" t="str">
        <f>CONCATENATE("/",C83,MID(D83,2,15),"/",svc!$I82)</f>
        <v>/trust510/das_transaction_record_consumer</v>
      </c>
      <c r="Q83" t="str">
        <f>VLOOKUP(C83,kong_np_var!$B$6:$C$7,2,FALSE)</f>
        <v>http://172.24.148.160:8001</v>
      </c>
      <c r="R83" t="str">
        <f>SUBSTITUTE(SUBSTITUTE(kong_np_var!$J$1,"&lt;upstream_name&gt;",$F83),"&lt;kong_api_url&gt;",$Q83)</f>
        <v>curl -X PUT http://172.24.148.160:8001/upstreams/ups-v510-das_transaction_record_consumer</v>
      </c>
      <c r="S83" t="str">
        <f>SUBSTITUTE(SUBSTITUTE(SUBSTITUTE(SUBSTITUTE(kong_np_var!$J$2,"&lt;kong_api_url&gt;",$Q83),"&lt;upstream_name&gt;",$F83),"&lt;port&gt;",$E83),"&lt;service_name&gt;",$G83)</f>
        <v>curl -X PUT http://172.24.148.160:8001/services/svc-v510-das_transaction_record_consumer -H "Content-Type: application/json" -d '{"protocol":"http","host":"ups-v510-das_transaction_record_consumer","port":N/A}'</v>
      </c>
      <c r="T83" t="str">
        <f>SUBSTITUTE(SUBSTITUTE(SUBSTITUTE(SUBSTITUTE(SUBSTITUTE(kong_np_var!$J$3,"&lt;kong_api_url&gt;",$Q83),"&lt;route_name&gt;",$H83),"&lt;service_name&gt;",$G83),"&lt;host&gt;",$O83),"&lt;path&gt;",$P83)</f>
        <v>curl -X PUT http://172.24.148.160:8001/services/svc-v510-das_transaction_record_consumer/routes/route-v504-v510-das_transaction_record_consumer -H "Content-Type: application/json" -d '{"protocols":["http"],"hosts":["172.24.149.183"],"paths":["/trust510/das_transaction_record_consumer"]}'</v>
      </c>
      <c r="U83" t="str">
        <f t="shared" si="7"/>
        <v>curl -X POST http://172.24.148.160:8001/upstreams/ups-v510-das_transaction_record_consumer/targets -d 'target=172.24.148.131:N/A'</v>
      </c>
      <c r="V83" t="str">
        <f t="shared" si="8"/>
        <v>curl -X POST http://172.24.148.160:8001/upstreams/ups-v510-das_transaction_record_consumer/targets -d 'target=172.24.148.132:N/A'</v>
      </c>
      <c r="W83" t="str">
        <f t="shared" si="9"/>
        <v>curl -X POST http://172.24.148.160:8001/upstreams/ups-v510-das_transaction_record_consumer/targets -d 'target=172.24.148.133:N/A'</v>
      </c>
      <c r="X83" t="str">
        <f t="shared" si="10"/>
        <v>curl -X POST http://172.24.148.160:8001/upstreams/ups-v510-das_transaction_record_consumer/targets -d 'target=172.24.148.134:N/A'</v>
      </c>
      <c r="Y83" t="str">
        <f t="shared" si="11"/>
        <v>curl -X POST http://172.24.148.160:8001/upstreams/ups-v510-das_transaction_record_consumer/targets -d 'target=172.24.148.135:N/A'</v>
      </c>
      <c r="Z83" t="str">
        <f t="shared" si="12"/>
        <v>curl -X POST http://172.24.148.160:8001/upstreams/ups-v510-das_transaction_record_consumer/targets -d 'target=172.24.148.136:N/A'</v>
      </c>
    </row>
    <row r="84" spans="1:26">
      <c r="A84">
        <f>IF(ISNUMBER(SEARCH("rest_api",svc!R83)),1,0)</f>
        <v>1</v>
      </c>
      <c r="C84" t="str">
        <f>svc!D83</f>
        <v>trust</v>
      </c>
      <c r="D84" t="str">
        <f>svc!$B83</f>
        <v>v510</v>
      </c>
      <c r="E84">
        <f>svc!G83</f>
        <v>31218</v>
      </c>
      <c r="F84" t="str">
        <f>CONCATENATE("ups-",svc!$B83,"-",svc!I83)</f>
        <v>ups-v510-das_evid_api</v>
      </c>
      <c r="G84" t="str">
        <f>CONCATENATE("svc-",svc!$B83,"-",svc!I83)</f>
        <v>svc-v510-das_evid_api</v>
      </c>
      <c r="H84" t="str">
        <f>CONCATENATE("route-",VLOOKUP($D84,kong_np_var!$B$10:$D$16,2,FALSE),"-",svc!$B83,"-",svc!I83)</f>
        <v>route-v504-v510-das_evid_api</v>
      </c>
      <c r="I84" t="str">
        <f>CONCATENATE(VLOOKUP($D84,kong_np_var!$B$20:$H$26,SUBSTITUTE(I$1,"target_","") + 1,FALSE),":",$E84)</f>
        <v>172.24.148.131:31218</v>
      </c>
      <c r="J84" t="str">
        <f>CONCATENATE(VLOOKUP($D84,kong_np_var!$B$20:$H$26,SUBSTITUTE(J$1,"target_","") + 1,FALSE),":",$E84)</f>
        <v>172.24.148.132:31218</v>
      </c>
      <c r="K84" t="str">
        <f>CONCATENATE(VLOOKUP($D84,kong_np_var!$B$20:$H$26,SUBSTITUTE(K$1,"target_","") + 1,FALSE),":",$E84)</f>
        <v>172.24.148.133:31218</v>
      </c>
      <c r="L84" t="str">
        <f>IF($C84="dmz","",CONCATENATE(VLOOKUP($D84,kong_np_var!$B$20:$H$26,SUBSTITUTE(L$1,"target_","") + 1,FALSE),":",$E84))</f>
        <v>172.24.148.134:31218</v>
      </c>
      <c r="M84" t="str">
        <f>IF($C84="dmz","",CONCATENATE(VLOOKUP($D84,kong_np_var!$B$20:$H$26,SUBSTITUTE(M$1,"target_","") + 1,FALSE),":",$E84))</f>
        <v>172.24.148.135:31218</v>
      </c>
      <c r="N84" t="str">
        <f>IF($C84="dmz","",CONCATENATE(VLOOKUP($D84,kong_np_var!$B$20:$H$26,SUBSTITUTE(N$1,"target_","") + 1,FALSE),":",$E84))</f>
        <v>172.24.148.136:31218</v>
      </c>
      <c r="O84" t="str">
        <f>VLOOKUP($D84,kong_np_var!$B$10:$D$16,3,FALSE)</f>
        <v>172.24.149.183</v>
      </c>
      <c r="P84" t="str">
        <f>CONCATENATE("/",C84,MID(D84,2,15),"/",svc!$I83)</f>
        <v>/trust510/das_evid_api</v>
      </c>
      <c r="Q84" t="str">
        <f>VLOOKUP(C84,kong_np_var!$B$6:$C$7,2,FALSE)</f>
        <v>http://172.24.148.160:8001</v>
      </c>
      <c r="R84" t="str">
        <f>SUBSTITUTE(SUBSTITUTE(kong_np_var!$J$1,"&lt;upstream_name&gt;",$F84),"&lt;kong_api_url&gt;",$Q84)</f>
        <v>curl -X PUT http://172.24.148.160:8001/upstreams/ups-v510-das_evid_api</v>
      </c>
      <c r="S84" t="str">
        <f>SUBSTITUTE(SUBSTITUTE(SUBSTITUTE(SUBSTITUTE(kong_np_var!$J$2,"&lt;kong_api_url&gt;",$Q84),"&lt;upstream_name&gt;",$F84),"&lt;port&gt;",$E84),"&lt;service_name&gt;",$G84)</f>
        <v>curl -X PUT http://172.24.148.160:8001/services/svc-v510-das_evid_api -H "Content-Type: application/json" -d '{"protocol":"http","host":"ups-v510-das_evid_api","port":31218}'</v>
      </c>
      <c r="T84" t="str">
        <f>SUBSTITUTE(SUBSTITUTE(SUBSTITUTE(SUBSTITUTE(SUBSTITUTE(kong_np_var!$J$3,"&lt;kong_api_url&gt;",$Q84),"&lt;route_name&gt;",$H84),"&lt;service_name&gt;",$G84),"&lt;host&gt;",$O84),"&lt;path&gt;",$P84)</f>
        <v>curl -X PUT http://172.24.148.160:8001/services/svc-v510-das_evid_api/routes/route-v504-v510-das_evid_api -H "Content-Type: application/json" -d '{"protocols":["http"],"hosts":["172.24.149.183"],"paths":["/trust510/das_evid_api"]}'</v>
      </c>
      <c r="U84" t="str">
        <f t="shared" si="7"/>
        <v>curl -X POST http://172.24.148.160:8001/upstreams/ups-v510-das_evid_api/targets -d 'target=172.24.148.131:31218'</v>
      </c>
      <c r="V84" t="str">
        <f t="shared" si="8"/>
        <v>curl -X POST http://172.24.148.160:8001/upstreams/ups-v510-das_evid_api/targets -d 'target=172.24.148.132:31218'</v>
      </c>
      <c r="W84" t="str">
        <f t="shared" si="9"/>
        <v>curl -X POST http://172.24.148.160:8001/upstreams/ups-v510-das_evid_api/targets -d 'target=172.24.148.133:31218'</v>
      </c>
      <c r="X84" t="str">
        <f t="shared" si="10"/>
        <v>curl -X POST http://172.24.148.160:8001/upstreams/ups-v510-das_evid_api/targets -d 'target=172.24.148.134:31218'</v>
      </c>
      <c r="Y84" t="str">
        <f t="shared" si="11"/>
        <v>curl -X POST http://172.24.148.160:8001/upstreams/ups-v510-das_evid_api/targets -d 'target=172.24.148.135:31218'</v>
      </c>
      <c r="Z84" t="str">
        <f t="shared" si="12"/>
        <v>curl -X POST http://172.24.148.160:8001/upstreams/ups-v510-das_evid_api/targets -d 'target=172.24.148.136:31218'</v>
      </c>
    </row>
    <row r="85" spans="1:26">
      <c r="A85">
        <f>IF(ISNUMBER(SEARCH("rest_api",svc!R84)),1,0)</f>
        <v>1</v>
      </c>
      <c r="C85" t="str">
        <f>svc!D84</f>
        <v>trust</v>
      </c>
      <c r="D85" t="str">
        <f>svc!$B84</f>
        <v>v510</v>
      </c>
      <c r="E85">
        <f>svc!G84</f>
        <v>31014</v>
      </c>
      <c r="F85" t="str">
        <f>CONCATENATE("ups-",svc!$B84,"-",svc!I84)</f>
        <v>ups-v510-ecms_api</v>
      </c>
      <c r="G85" t="str">
        <f>CONCATENATE("svc-",svc!$B84,"-",svc!I84)</f>
        <v>svc-v510-ecms_api</v>
      </c>
      <c r="H85" t="str">
        <f>CONCATENATE("route-",VLOOKUP($D85,kong_np_var!$B$10:$D$16,2,FALSE),"-",svc!$B84,"-",svc!I84)</f>
        <v>route-v504-v510-ecms_api</v>
      </c>
      <c r="I85" t="str">
        <f>CONCATENATE(VLOOKUP($D85,kong_np_var!$B$20:$H$26,SUBSTITUTE(I$1,"target_","") + 1,FALSE),":",$E85)</f>
        <v>172.24.148.131:31014</v>
      </c>
      <c r="J85" t="str">
        <f>CONCATENATE(VLOOKUP($D85,kong_np_var!$B$20:$H$26,SUBSTITUTE(J$1,"target_","") + 1,FALSE),":",$E85)</f>
        <v>172.24.148.132:31014</v>
      </c>
      <c r="K85" t="str">
        <f>CONCATENATE(VLOOKUP($D85,kong_np_var!$B$20:$H$26,SUBSTITUTE(K$1,"target_","") + 1,FALSE),":",$E85)</f>
        <v>172.24.148.133:31014</v>
      </c>
      <c r="L85" t="str">
        <f>IF($C85="dmz","",CONCATENATE(VLOOKUP($D85,kong_np_var!$B$20:$H$26,SUBSTITUTE(L$1,"target_","") + 1,FALSE),":",$E85))</f>
        <v>172.24.148.134:31014</v>
      </c>
      <c r="M85" t="str">
        <f>IF($C85="dmz","",CONCATENATE(VLOOKUP($D85,kong_np_var!$B$20:$H$26,SUBSTITUTE(M$1,"target_","") + 1,FALSE),":",$E85))</f>
        <v>172.24.148.135:31014</v>
      </c>
      <c r="N85" t="str">
        <f>IF($C85="dmz","",CONCATENATE(VLOOKUP($D85,kong_np_var!$B$20:$H$26,SUBSTITUTE(N$1,"target_","") + 1,FALSE),":",$E85))</f>
        <v>172.24.148.136:31014</v>
      </c>
      <c r="O85" t="str">
        <f>VLOOKUP($D85,kong_np_var!$B$10:$D$16,3,FALSE)</f>
        <v>172.24.149.183</v>
      </c>
      <c r="P85" t="str">
        <f>CONCATENATE("/",C85,MID(D85,2,15),"/",svc!$I84)</f>
        <v>/trust510/ecms_api</v>
      </c>
      <c r="Q85" t="str">
        <f>VLOOKUP(C85,kong_np_var!$B$6:$C$7,2,FALSE)</f>
        <v>http://172.24.148.160:8001</v>
      </c>
      <c r="R85" t="str">
        <f>SUBSTITUTE(SUBSTITUTE(kong_np_var!$J$1,"&lt;upstream_name&gt;",$F85),"&lt;kong_api_url&gt;",$Q85)</f>
        <v>curl -X PUT http://172.24.148.160:8001/upstreams/ups-v510-ecms_api</v>
      </c>
      <c r="S85" t="str">
        <f>SUBSTITUTE(SUBSTITUTE(SUBSTITUTE(SUBSTITUTE(kong_np_var!$J$2,"&lt;kong_api_url&gt;",$Q85),"&lt;upstream_name&gt;",$F85),"&lt;port&gt;",$E85),"&lt;service_name&gt;",$G85)</f>
        <v>curl -X PUT http://172.24.148.160:8001/services/svc-v510-ecms_api -H "Content-Type: application/json" -d '{"protocol":"http","host":"ups-v510-ecms_api","port":31014}'</v>
      </c>
      <c r="T85" t="str">
        <f>SUBSTITUTE(SUBSTITUTE(SUBSTITUTE(SUBSTITUTE(SUBSTITUTE(kong_np_var!$J$3,"&lt;kong_api_url&gt;",$Q85),"&lt;route_name&gt;",$H85),"&lt;service_name&gt;",$G85),"&lt;host&gt;",$O85),"&lt;path&gt;",$P85)</f>
        <v>curl -X PUT http://172.24.148.160:8001/services/svc-v510-ecms_api/routes/route-v504-v510-ecms_api -H "Content-Type: application/json" -d '{"protocols":["http"],"hosts":["172.24.149.183"],"paths":["/trust510/ecms_api"]}'</v>
      </c>
      <c r="U85" t="str">
        <f t="shared" si="7"/>
        <v>curl -X POST http://172.24.148.160:8001/upstreams/ups-v510-ecms_api/targets -d 'target=172.24.148.131:31014'</v>
      </c>
      <c r="V85" t="str">
        <f t="shared" si="8"/>
        <v>curl -X POST http://172.24.148.160:8001/upstreams/ups-v510-ecms_api/targets -d 'target=172.24.148.132:31014'</v>
      </c>
      <c r="W85" t="str">
        <f t="shared" si="9"/>
        <v>curl -X POST http://172.24.148.160:8001/upstreams/ups-v510-ecms_api/targets -d 'target=172.24.148.133:31014'</v>
      </c>
      <c r="X85" t="str">
        <f t="shared" si="10"/>
        <v>curl -X POST http://172.24.148.160:8001/upstreams/ups-v510-ecms_api/targets -d 'target=172.24.148.134:31014'</v>
      </c>
      <c r="Y85" t="str">
        <f t="shared" si="11"/>
        <v>curl -X POST http://172.24.148.160:8001/upstreams/ups-v510-ecms_api/targets -d 'target=172.24.148.135:31014'</v>
      </c>
      <c r="Z85" t="str">
        <f t="shared" si="12"/>
        <v>curl -X POST http://172.24.148.160:8001/upstreams/ups-v510-ecms_api/targets -d 'target=172.24.148.136:31014'</v>
      </c>
    </row>
    <row r="86" spans="1:26">
      <c r="A86">
        <f>IF(ISNUMBER(SEARCH("rest_api",svc!R85)),1,0)</f>
        <v>1</v>
      </c>
      <c r="C86" t="str">
        <f>svc!D85</f>
        <v>trust</v>
      </c>
      <c r="D86" t="str">
        <f>svc!$B85</f>
        <v>v510</v>
      </c>
      <c r="E86">
        <f>svc!G85</f>
        <v>31024</v>
      </c>
      <c r="F86" t="str">
        <f>CONCATENATE("ups-",svc!$B85,"-",svc!I85)</f>
        <v>ups-v510-secondocr_webapi</v>
      </c>
      <c r="G86" t="str">
        <f>CONCATENATE("svc-",svc!$B85,"-",svc!I85)</f>
        <v>svc-v510-secondocr_webapi</v>
      </c>
      <c r="H86" t="str">
        <f>CONCATENATE("route-",VLOOKUP($D86,kong_np_var!$B$10:$D$16,2,FALSE),"-",svc!$B85,"-",svc!I85)</f>
        <v>route-v504-v510-secondocr_webapi</v>
      </c>
      <c r="I86" t="str">
        <f>CONCATENATE(VLOOKUP($D86,kong_np_var!$B$20:$H$26,SUBSTITUTE(I$1,"target_","") + 1,FALSE),":",$E86)</f>
        <v>172.24.148.131:31024</v>
      </c>
      <c r="J86" t="str">
        <f>CONCATENATE(VLOOKUP($D86,kong_np_var!$B$20:$H$26,SUBSTITUTE(J$1,"target_","") + 1,FALSE),":",$E86)</f>
        <v>172.24.148.132:31024</v>
      </c>
      <c r="K86" t="str">
        <f>CONCATENATE(VLOOKUP($D86,kong_np_var!$B$20:$H$26,SUBSTITUTE(K$1,"target_","") + 1,FALSE),":",$E86)</f>
        <v>172.24.148.133:31024</v>
      </c>
      <c r="L86" t="str">
        <f>IF($C86="dmz","",CONCATENATE(VLOOKUP($D86,kong_np_var!$B$20:$H$26,SUBSTITUTE(L$1,"target_","") + 1,FALSE),":",$E86))</f>
        <v>172.24.148.134:31024</v>
      </c>
      <c r="M86" t="str">
        <f>IF($C86="dmz","",CONCATENATE(VLOOKUP($D86,kong_np_var!$B$20:$H$26,SUBSTITUTE(M$1,"target_","") + 1,FALSE),":",$E86))</f>
        <v>172.24.148.135:31024</v>
      </c>
      <c r="N86" t="str">
        <f>IF($C86="dmz","",CONCATENATE(VLOOKUP($D86,kong_np_var!$B$20:$H$26,SUBSTITUTE(N$1,"target_","") + 1,FALSE),":",$E86))</f>
        <v>172.24.148.136:31024</v>
      </c>
      <c r="O86" t="str">
        <f>VLOOKUP($D86,kong_np_var!$B$10:$D$16,3,FALSE)</f>
        <v>172.24.149.183</v>
      </c>
      <c r="P86" t="str">
        <f>CONCATENATE("/",C86,MID(D86,2,15),"/",svc!$I85)</f>
        <v>/trust510/secondocr_webapi</v>
      </c>
      <c r="Q86" t="str">
        <f>VLOOKUP(C86,kong_np_var!$B$6:$C$7,2,FALSE)</f>
        <v>http://172.24.148.160:8001</v>
      </c>
      <c r="R86" t="str">
        <f>SUBSTITUTE(SUBSTITUTE(kong_np_var!$J$1,"&lt;upstream_name&gt;",$F86),"&lt;kong_api_url&gt;",$Q86)</f>
        <v>curl -X PUT http://172.24.148.160:8001/upstreams/ups-v510-secondocr_webapi</v>
      </c>
      <c r="S86" t="str">
        <f>SUBSTITUTE(SUBSTITUTE(SUBSTITUTE(SUBSTITUTE(kong_np_var!$J$2,"&lt;kong_api_url&gt;",$Q86),"&lt;upstream_name&gt;",$F86),"&lt;port&gt;",$E86),"&lt;service_name&gt;",$G86)</f>
        <v>curl -X PUT http://172.24.148.160:8001/services/svc-v510-secondocr_webapi -H "Content-Type: application/json" -d '{"protocol":"http","host":"ups-v510-secondocr_webapi","port":31024}'</v>
      </c>
      <c r="T86" t="str">
        <f>SUBSTITUTE(SUBSTITUTE(SUBSTITUTE(SUBSTITUTE(SUBSTITUTE(kong_np_var!$J$3,"&lt;kong_api_url&gt;",$Q86),"&lt;route_name&gt;",$H86),"&lt;service_name&gt;",$G86),"&lt;host&gt;",$O86),"&lt;path&gt;",$P86)</f>
        <v>curl -X PUT http://172.24.148.160:8001/services/svc-v510-secondocr_webapi/routes/route-v504-v510-secondocr_webapi -H "Content-Type: application/json" -d '{"protocols":["http"],"hosts":["172.24.149.183"],"paths":["/trust510/secondocr_webapi"]}'</v>
      </c>
      <c r="U86" t="str">
        <f t="shared" si="7"/>
        <v>curl -X POST http://172.24.148.160:8001/upstreams/ups-v510-secondocr_webapi/targets -d 'target=172.24.148.131:31024'</v>
      </c>
      <c r="V86" t="str">
        <f t="shared" si="8"/>
        <v>curl -X POST http://172.24.148.160:8001/upstreams/ups-v510-secondocr_webapi/targets -d 'target=172.24.148.132:31024'</v>
      </c>
      <c r="W86" t="str">
        <f t="shared" si="9"/>
        <v>curl -X POST http://172.24.148.160:8001/upstreams/ups-v510-secondocr_webapi/targets -d 'target=172.24.148.133:31024'</v>
      </c>
      <c r="X86" t="str">
        <f t="shared" si="10"/>
        <v>curl -X POST http://172.24.148.160:8001/upstreams/ups-v510-secondocr_webapi/targets -d 'target=172.24.148.134:31024'</v>
      </c>
      <c r="Y86" t="str">
        <f t="shared" si="11"/>
        <v>curl -X POST http://172.24.148.160:8001/upstreams/ups-v510-secondocr_webapi/targets -d 'target=172.24.148.135:31024'</v>
      </c>
      <c r="Z86" t="str">
        <f t="shared" si="12"/>
        <v>curl -X POST http://172.24.148.160:8001/upstreams/ups-v510-secondocr_webapi/targets -d 'target=172.24.148.136:31024'</v>
      </c>
    </row>
    <row r="87" spans="1:26">
      <c r="A87">
        <f>IF(ISNUMBER(SEARCH("rest_api",svc!R86)),1,0)</f>
        <v>1</v>
      </c>
      <c r="C87" t="str">
        <f>svc!D86</f>
        <v>trust</v>
      </c>
      <c r="D87" t="str">
        <f>svc!$B86</f>
        <v>v810</v>
      </c>
      <c r="E87">
        <f>svc!G86</f>
        <v>31318</v>
      </c>
      <c r="F87" t="str">
        <f>CONCATENATE("ups-",svc!$B86,"-",svc!I86)</f>
        <v>ups-v810-statement_api</v>
      </c>
      <c r="G87" t="str">
        <f>CONCATENATE("svc-",svc!$B86,"-",svc!I86)</f>
        <v>svc-v810-statement_api</v>
      </c>
      <c r="H87" t="str">
        <f>CONCATENATE("route-",VLOOKUP($D87,kong_np_var!$B$10:$D$16,2,FALSE),"-",svc!$B86,"-",svc!I86)</f>
        <v>route-v804-v810-statement_api</v>
      </c>
      <c r="I87" t="str">
        <f>CONCATENATE(VLOOKUP($D87,kong_np_var!$B$20:$H$26,SUBSTITUTE(I$1,"target_","") + 1,FALSE),":",$E87)</f>
        <v>172.24.148.195:31318</v>
      </c>
      <c r="J87" t="str">
        <f>CONCATENATE(VLOOKUP($D87,kong_np_var!$B$20:$H$26,SUBSTITUTE(J$1,"target_","") + 1,FALSE),":",$E87)</f>
        <v>172.24.148.196:31318</v>
      </c>
      <c r="K87" t="str">
        <f>CONCATENATE(VLOOKUP($D87,kong_np_var!$B$20:$H$26,SUBSTITUTE(K$1,"target_","") + 1,FALSE),":",$E87)</f>
        <v>172.24.148.197:31318</v>
      </c>
      <c r="L87" t="str">
        <f>IF($C87="dmz","",CONCATENATE(VLOOKUP($D87,kong_np_var!$B$20:$H$26,SUBSTITUTE(L$1,"target_","") + 1,FALSE),":",$E87))</f>
        <v>172.24.148.198:31318</v>
      </c>
      <c r="M87" t="str">
        <f>IF($C87="dmz","",CONCATENATE(VLOOKUP($D87,kong_np_var!$B$20:$H$26,SUBSTITUTE(M$1,"target_","") + 1,FALSE),":",$E87))</f>
        <v>172.24.148.199:31318</v>
      </c>
      <c r="N87" t="str">
        <f>IF($C87="dmz","",CONCATENATE(VLOOKUP($D87,kong_np_var!$B$20:$H$26,SUBSTITUTE(N$1,"target_","") + 1,FALSE),":",$E87))</f>
        <v>172.24.148.200:31318</v>
      </c>
      <c r="O87" t="str">
        <f>VLOOKUP($D87,kong_np_var!$B$10:$D$16,3,FALSE)</f>
        <v>172.24.149.151</v>
      </c>
      <c r="P87" t="str">
        <f>CONCATENATE("/",C87,MID(D87,2,15),"/",svc!$I86)</f>
        <v>/trust810/statement_api</v>
      </c>
      <c r="Q87" t="str">
        <f>VLOOKUP(C87,kong_np_var!$B$6:$C$7,2,FALSE)</f>
        <v>http://172.24.148.160:8001</v>
      </c>
      <c r="R87" t="str">
        <f>SUBSTITUTE(SUBSTITUTE(kong_np_var!$J$1,"&lt;upstream_name&gt;",$F87),"&lt;kong_api_url&gt;",$Q87)</f>
        <v>curl -X PUT http://172.24.148.160:8001/upstreams/ups-v810-statement_api</v>
      </c>
      <c r="S87" t="str">
        <f>SUBSTITUTE(SUBSTITUTE(SUBSTITUTE(SUBSTITUTE(kong_np_var!$J$2,"&lt;kong_api_url&gt;",$Q87),"&lt;upstream_name&gt;",$F87),"&lt;port&gt;",$E87),"&lt;service_name&gt;",$G87)</f>
        <v>curl -X PUT http://172.24.148.160:8001/services/svc-v810-statement_api -H "Content-Type: application/json" -d '{"protocol":"http","host":"ups-v810-statement_api","port":31318}'</v>
      </c>
      <c r="T87" t="str">
        <f>SUBSTITUTE(SUBSTITUTE(SUBSTITUTE(SUBSTITUTE(SUBSTITUTE(kong_np_var!$J$3,"&lt;kong_api_url&gt;",$Q87),"&lt;route_name&gt;",$H87),"&lt;service_name&gt;",$G87),"&lt;host&gt;",$O87),"&lt;path&gt;",$P87)</f>
        <v>curl -X PUT http://172.24.148.160:8001/services/svc-v810-statement_api/routes/route-v804-v810-statement_api -H "Content-Type: application/json" -d '{"protocols":["http"],"hosts":["172.24.149.151"],"paths":["/trust810/statement_api"]}'</v>
      </c>
      <c r="U87" t="str">
        <f t="shared" si="7"/>
        <v>curl -X POST http://172.24.148.160:8001/upstreams/ups-v810-statement_api/targets -d 'target=172.24.148.195:31318'</v>
      </c>
      <c r="V87" t="str">
        <f t="shared" si="8"/>
        <v>curl -X POST http://172.24.148.160:8001/upstreams/ups-v810-statement_api/targets -d 'target=172.24.148.196:31318'</v>
      </c>
      <c r="W87" t="str">
        <f t="shared" si="9"/>
        <v>curl -X POST http://172.24.148.160:8001/upstreams/ups-v810-statement_api/targets -d 'target=172.24.148.197:31318'</v>
      </c>
      <c r="X87" t="str">
        <f t="shared" si="10"/>
        <v>curl -X POST http://172.24.148.160:8001/upstreams/ups-v810-statement_api/targets -d 'target=172.24.148.198:31318'</v>
      </c>
      <c r="Y87" t="str">
        <f t="shared" si="11"/>
        <v>curl -X POST http://172.24.148.160:8001/upstreams/ups-v810-statement_api/targets -d 'target=172.24.148.199:31318'</v>
      </c>
      <c r="Z87" t="str">
        <f t="shared" si="12"/>
        <v>curl -X POST http://172.24.148.160:8001/upstreams/ups-v810-statement_api/targets -d 'target=172.24.148.200:31318'</v>
      </c>
    </row>
    <row r="88" spans="1:26">
      <c r="A88">
        <f>IF(ISNUMBER(SEARCH("rest_api",svc!R87)),1,0)</f>
        <v>1</v>
      </c>
      <c r="C88" t="str">
        <f>svc!D87</f>
        <v>trust</v>
      </c>
      <c r="D88" t="str">
        <f>svc!$B87</f>
        <v>v510</v>
      </c>
      <c r="E88">
        <f>svc!G87</f>
        <v>31319</v>
      </c>
      <c r="F88" t="str">
        <f>CONCATENATE("ups-",svc!$B87,"-",svc!I87)</f>
        <v>ups-v510-toll_cal_setting</v>
      </c>
      <c r="G88" t="str">
        <f>CONCATENATE("svc-",svc!$B87,"-",svc!I87)</f>
        <v>svc-v510-toll_cal_setting</v>
      </c>
      <c r="H88" t="str">
        <f>CONCATENATE("route-",VLOOKUP($D88,kong_np_var!$B$10:$D$16,2,FALSE),"-",svc!$B87,"-",svc!I87)</f>
        <v>route-v504-v510-toll_cal_setting</v>
      </c>
      <c r="I88" t="str">
        <f>CONCATENATE(VLOOKUP($D88,kong_np_var!$B$20:$H$26,SUBSTITUTE(I$1,"target_","") + 1,FALSE),":",$E88)</f>
        <v>172.24.148.131:31319</v>
      </c>
      <c r="J88" t="str">
        <f>CONCATENATE(VLOOKUP($D88,kong_np_var!$B$20:$H$26,SUBSTITUTE(J$1,"target_","") + 1,FALSE),":",$E88)</f>
        <v>172.24.148.132:31319</v>
      </c>
      <c r="K88" t="str">
        <f>CONCATENATE(VLOOKUP($D88,kong_np_var!$B$20:$H$26,SUBSTITUTE(K$1,"target_","") + 1,FALSE),":",$E88)</f>
        <v>172.24.148.133:31319</v>
      </c>
      <c r="L88" t="str">
        <f>IF($C88="dmz","",CONCATENATE(VLOOKUP($D88,kong_np_var!$B$20:$H$26,SUBSTITUTE(L$1,"target_","") + 1,FALSE),":",$E88))</f>
        <v>172.24.148.134:31319</v>
      </c>
      <c r="M88" t="str">
        <f>IF($C88="dmz","",CONCATENATE(VLOOKUP($D88,kong_np_var!$B$20:$H$26,SUBSTITUTE(M$1,"target_","") + 1,FALSE),":",$E88))</f>
        <v>172.24.148.135:31319</v>
      </c>
      <c r="N88" t="str">
        <f>IF($C88="dmz","",CONCATENATE(VLOOKUP($D88,kong_np_var!$B$20:$H$26,SUBSTITUTE(N$1,"target_","") + 1,FALSE),":",$E88))</f>
        <v>172.24.148.136:31319</v>
      </c>
      <c r="O88" t="str">
        <f>VLOOKUP($D88,kong_np_var!$B$10:$D$16,3,FALSE)</f>
        <v>172.24.149.183</v>
      </c>
      <c r="P88" t="str">
        <f>CONCATENATE("/",C88,MID(D88,2,15),"/",svc!$I87)</f>
        <v>/trust510/toll_cal_setting</v>
      </c>
      <c r="Q88" t="str">
        <f>VLOOKUP(C88,kong_np_var!$B$6:$C$7,2,FALSE)</f>
        <v>http://172.24.148.160:8001</v>
      </c>
      <c r="R88" t="str">
        <f>SUBSTITUTE(SUBSTITUTE(kong_np_var!$J$1,"&lt;upstream_name&gt;",$F88),"&lt;kong_api_url&gt;",$Q88)</f>
        <v>curl -X PUT http://172.24.148.160:8001/upstreams/ups-v510-toll_cal_setting</v>
      </c>
      <c r="S88" t="str">
        <f>SUBSTITUTE(SUBSTITUTE(SUBSTITUTE(SUBSTITUTE(kong_np_var!$J$2,"&lt;kong_api_url&gt;",$Q88),"&lt;upstream_name&gt;",$F88),"&lt;port&gt;",$E88),"&lt;service_name&gt;",$G88)</f>
        <v>curl -X PUT http://172.24.148.160:8001/services/svc-v510-toll_cal_setting -H "Content-Type: application/json" -d '{"protocol":"http","host":"ups-v510-toll_cal_setting","port":31319}'</v>
      </c>
      <c r="T88" t="str">
        <f>SUBSTITUTE(SUBSTITUTE(SUBSTITUTE(SUBSTITUTE(SUBSTITUTE(kong_np_var!$J$3,"&lt;kong_api_url&gt;",$Q88),"&lt;route_name&gt;",$H88),"&lt;service_name&gt;",$G88),"&lt;host&gt;",$O88),"&lt;path&gt;",$P88)</f>
        <v>curl -X PUT http://172.24.148.160:8001/services/svc-v510-toll_cal_setting/routes/route-v504-v510-toll_cal_setting -H "Content-Type: application/json" -d '{"protocols":["http"],"hosts":["172.24.149.183"],"paths":["/trust510/toll_cal_setting"]}'</v>
      </c>
      <c r="U88" t="str">
        <f t="shared" si="7"/>
        <v>curl -X POST http://172.24.148.160:8001/upstreams/ups-v510-toll_cal_setting/targets -d 'target=172.24.148.131:31319'</v>
      </c>
      <c r="V88" t="str">
        <f t="shared" si="8"/>
        <v>curl -X POST http://172.24.148.160:8001/upstreams/ups-v510-toll_cal_setting/targets -d 'target=172.24.148.132:31319'</v>
      </c>
      <c r="W88" t="str">
        <f t="shared" si="9"/>
        <v>curl -X POST http://172.24.148.160:8001/upstreams/ups-v510-toll_cal_setting/targets -d 'target=172.24.148.133:31319'</v>
      </c>
      <c r="X88" t="str">
        <f t="shared" si="10"/>
        <v>curl -X POST http://172.24.148.160:8001/upstreams/ups-v510-toll_cal_setting/targets -d 'target=172.24.148.134:31319'</v>
      </c>
      <c r="Y88" t="str">
        <f t="shared" si="11"/>
        <v>curl -X POST http://172.24.148.160:8001/upstreams/ups-v510-toll_cal_setting/targets -d 'target=172.24.148.135:31319'</v>
      </c>
      <c r="Z88" t="str">
        <f t="shared" si="12"/>
        <v>curl -X POST http://172.24.148.160:8001/upstreams/ups-v510-toll_cal_setting/targets -d 'target=172.24.148.136:31319'</v>
      </c>
    </row>
    <row r="89" spans="1:26" hidden="1">
      <c r="A89">
        <f>IF(ISNUMBER(SEARCH("rest_api",svc!R88)),1,0)</f>
        <v>1</v>
      </c>
      <c r="C89" t="str">
        <f>svc!D88</f>
        <v>trust</v>
      </c>
      <c r="D89" t="str">
        <f>svc!$B88</f>
        <v>v511</v>
      </c>
      <c r="E89">
        <f>svc!G88</f>
        <v>31001</v>
      </c>
      <c r="F89" t="str">
        <f>CONCATENATE("ups-",svc!$B88,"-",svc!I88)</f>
        <v>ups-v511-toms_api</v>
      </c>
      <c r="G89" t="str">
        <f>CONCATENATE("svc-",svc!$B88,"-",svc!I88)</f>
        <v>svc-v511-toms_api</v>
      </c>
      <c r="H89" t="e">
        <f>CONCATENATE("route-",VLOOKUP($D89,kong_np_var!$B$10:$D$16,2,FALSE),"-",svc!$B88,"-",svc!I88)</f>
        <v>#N/A</v>
      </c>
      <c r="I89" t="e">
        <f>CONCATENATE(VLOOKUP($D89,kong_np_var!$B$20:$H$26,SUBSTITUTE(I$1,"target_","") + 1,FALSE),":",$E89)</f>
        <v>#N/A</v>
      </c>
      <c r="J89" t="e">
        <f>CONCATENATE(VLOOKUP($D89,kong_np_var!$B$20:$H$26,SUBSTITUTE(J$1,"target_","") + 1,FALSE),":",$E89)</f>
        <v>#N/A</v>
      </c>
      <c r="K89" t="e">
        <f>CONCATENATE(VLOOKUP($D89,kong_np_var!$B$20:$H$26,SUBSTITUTE(K$1,"target_","") + 1,FALSE),":",$E89)</f>
        <v>#N/A</v>
      </c>
      <c r="L89" t="e">
        <f>IF($C89="dmz","",CONCATENATE(VLOOKUP($D89,kong_np_var!$B$20:$H$26,SUBSTITUTE(L$1,"target_","") + 1,FALSE),":",$E89))</f>
        <v>#N/A</v>
      </c>
      <c r="M89" t="e">
        <f>IF($C89="dmz","",CONCATENATE(VLOOKUP($D89,kong_np_var!$B$20:$H$26,SUBSTITUTE(M$1,"target_","") + 1,FALSE),":",$E89))</f>
        <v>#N/A</v>
      </c>
      <c r="N89" t="e">
        <f>IF($C89="dmz","",CONCATENATE(VLOOKUP($D89,kong_np_var!$B$20:$H$26,SUBSTITUTE(N$1,"target_","") + 1,FALSE),":",$E89))</f>
        <v>#N/A</v>
      </c>
      <c r="O89" t="e">
        <f>VLOOKUP($D89,kong_np_var!$B$10:$D$16,3,FALSE)</f>
        <v>#N/A</v>
      </c>
      <c r="P89" t="str">
        <f>CONCATENATE("/",C89,MID(D89,2,15),"/",svc!$I88)</f>
        <v>/trust511/toms_api</v>
      </c>
      <c r="Q89" t="str">
        <f>VLOOKUP(C89,kong_np_var!$B$6:$C$7,2,FALSE)</f>
        <v>http://172.24.148.160:8001</v>
      </c>
      <c r="R89" t="str">
        <f>SUBSTITUTE(SUBSTITUTE(kong_np_var!$J$1,"&lt;upstream_name&gt;",$F89),"&lt;kong_api_url&gt;",$Q89)</f>
        <v>curl -X PUT http://172.24.148.160:8001/upstreams/ups-v511-toms_api</v>
      </c>
      <c r="S89" t="str">
        <f>SUBSTITUTE(SUBSTITUTE(SUBSTITUTE(SUBSTITUTE(kong_np_var!$J$2,"&lt;kong_api_url&gt;",$Q89),"&lt;upstream_name&gt;",$F89),"&lt;port&gt;",$E89),"&lt;service_name&gt;",$G89)</f>
        <v>curl -X PUT http://172.24.148.160:8001/services/svc-v511-toms_api -H "Content-Type: application/json" -d '{"protocol":"http","host":"ups-v511-toms_api","port":31001}'</v>
      </c>
      <c r="T89" t="e">
        <f>SUBSTITUTE(SUBSTITUTE(SUBSTITUTE(SUBSTITUTE(SUBSTITUTE(kong_np_var!$J$3,"&lt;kong_api_url&gt;",$Q89),"&lt;route_name&gt;",$H89),"&lt;service_name&gt;",$G89),"&lt;host&gt;",$O89),"&lt;path&gt;",$P89)</f>
        <v>#N/A</v>
      </c>
      <c r="U89" t="e">
        <f t="shared" si="7"/>
        <v>#N/A</v>
      </c>
      <c r="V89" t="e">
        <f t="shared" si="8"/>
        <v>#N/A</v>
      </c>
      <c r="W89" t="e">
        <f t="shared" si="9"/>
        <v>#N/A</v>
      </c>
      <c r="X89" t="e">
        <f t="shared" si="10"/>
        <v>#N/A</v>
      </c>
      <c r="Y89" t="e">
        <f t="shared" si="11"/>
        <v>#N/A</v>
      </c>
      <c r="Z89" t="e">
        <f t="shared" si="12"/>
        <v>#N/A</v>
      </c>
    </row>
    <row r="90" spans="1:26" hidden="1">
      <c r="A90">
        <f>IF(ISNUMBER(SEARCH("rest_api",svc!R89)),1,0)</f>
        <v>1</v>
      </c>
      <c r="C90" t="str">
        <f>svc!D89</f>
        <v>trust</v>
      </c>
      <c r="D90" t="str">
        <f>svc!$B89</f>
        <v>v511</v>
      </c>
      <c r="E90">
        <f>svc!G89</f>
        <v>31004</v>
      </c>
      <c r="F90" t="str">
        <f>CONCATENATE("ups-",svc!$B89,"-",svc!I89)</f>
        <v>ups-v511-toms_auth_api</v>
      </c>
      <c r="G90" t="str">
        <f>CONCATENATE("svc-",svc!$B89,"-",svc!I89)</f>
        <v>svc-v511-toms_auth_api</v>
      </c>
      <c r="H90" t="e">
        <f>CONCATENATE("route-",VLOOKUP($D90,kong_np_var!$B$10:$D$16,2,FALSE),"-",svc!$B89,"-",svc!I89)</f>
        <v>#N/A</v>
      </c>
      <c r="I90" t="e">
        <f>CONCATENATE(VLOOKUP($D90,kong_np_var!$B$20:$H$26,SUBSTITUTE(I$1,"target_","") + 1,FALSE),":",$E90)</f>
        <v>#N/A</v>
      </c>
      <c r="J90" t="e">
        <f>CONCATENATE(VLOOKUP($D90,kong_np_var!$B$20:$H$26,SUBSTITUTE(J$1,"target_","") + 1,FALSE),":",$E90)</f>
        <v>#N/A</v>
      </c>
      <c r="K90" t="e">
        <f>CONCATENATE(VLOOKUP($D90,kong_np_var!$B$20:$H$26,SUBSTITUTE(K$1,"target_","") + 1,FALSE),":",$E90)</f>
        <v>#N/A</v>
      </c>
      <c r="L90" t="e">
        <f>IF($C90="dmz","",CONCATENATE(VLOOKUP($D90,kong_np_var!$B$20:$H$26,SUBSTITUTE(L$1,"target_","") + 1,FALSE),":",$E90))</f>
        <v>#N/A</v>
      </c>
      <c r="M90" t="e">
        <f>IF($C90="dmz","",CONCATENATE(VLOOKUP($D90,kong_np_var!$B$20:$H$26,SUBSTITUTE(M$1,"target_","") + 1,FALSE),":",$E90))</f>
        <v>#N/A</v>
      </c>
      <c r="N90" t="e">
        <f>IF($C90="dmz","",CONCATENATE(VLOOKUP($D90,kong_np_var!$B$20:$H$26,SUBSTITUTE(N$1,"target_","") + 1,FALSE),":",$E90))</f>
        <v>#N/A</v>
      </c>
      <c r="O90" t="e">
        <f>VLOOKUP($D90,kong_np_var!$B$10:$D$16,3,FALSE)</f>
        <v>#N/A</v>
      </c>
      <c r="P90" t="str">
        <f>CONCATENATE("/",C90,MID(D90,2,15),"/",svc!$I89)</f>
        <v>/trust511/toms_auth_api</v>
      </c>
      <c r="Q90" t="str">
        <f>VLOOKUP(C90,kong_np_var!$B$6:$C$7,2,FALSE)</f>
        <v>http://172.24.148.160:8001</v>
      </c>
      <c r="R90" t="str">
        <f>SUBSTITUTE(SUBSTITUTE(kong_np_var!$J$1,"&lt;upstream_name&gt;",$F90),"&lt;kong_api_url&gt;",$Q90)</f>
        <v>curl -X PUT http://172.24.148.160:8001/upstreams/ups-v511-toms_auth_api</v>
      </c>
      <c r="S90" t="str">
        <f>SUBSTITUTE(SUBSTITUTE(SUBSTITUTE(SUBSTITUTE(kong_np_var!$J$2,"&lt;kong_api_url&gt;",$Q90),"&lt;upstream_name&gt;",$F90),"&lt;port&gt;",$E90),"&lt;service_name&gt;",$G90)</f>
        <v>curl -X PUT http://172.24.148.160:8001/services/svc-v511-toms_auth_api -H "Content-Type: application/json" -d '{"protocol":"http","host":"ups-v511-toms_auth_api","port":31004}'</v>
      </c>
      <c r="T90" t="e">
        <f>SUBSTITUTE(SUBSTITUTE(SUBSTITUTE(SUBSTITUTE(SUBSTITUTE(kong_np_var!$J$3,"&lt;kong_api_url&gt;",$Q90),"&lt;route_name&gt;",$H90),"&lt;service_name&gt;",$G90),"&lt;host&gt;",$O90),"&lt;path&gt;",$P90)</f>
        <v>#N/A</v>
      </c>
      <c r="U90" t="e">
        <f t="shared" si="7"/>
        <v>#N/A</v>
      </c>
      <c r="V90" t="e">
        <f t="shared" si="8"/>
        <v>#N/A</v>
      </c>
      <c r="W90" t="e">
        <f t="shared" si="9"/>
        <v>#N/A</v>
      </c>
      <c r="X90" t="e">
        <f t="shared" si="10"/>
        <v>#N/A</v>
      </c>
      <c r="Y90" t="e">
        <f t="shared" si="11"/>
        <v>#N/A</v>
      </c>
      <c r="Z90" t="e">
        <f t="shared" si="12"/>
        <v>#N/A</v>
      </c>
    </row>
    <row r="91" spans="1:26">
      <c r="A91">
        <f>IF(ISNUMBER(SEARCH("rest_api",svc!R90)),1,0)</f>
        <v>1</v>
      </c>
      <c r="C91" t="str">
        <f>svc!D90</f>
        <v>trust</v>
      </c>
      <c r="D91" t="str">
        <f>svc!$B90</f>
        <v>v510</v>
      </c>
      <c r="E91">
        <f>svc!G90</f>
        <v>31021</v>
      </c>
      <c r="F91" t="str">
        <f>CONCATENATE("ups-",svc!$B90,"-",svc!I90)</f>
        <v>ups-v510-tx_validation</v>
      </c>
      <c r="G91" t="str">
        <f>CONCATENATE("svc-",svc!$B90,"-",svc!I90)</f>
        <v>svc-v510-tx_validation</v>
      </c>
      <c r="H91" t="str">
        <f>CONCATENATE("route-",VLOOKUP($D91,kong_np_var!$B$10:$D$16,2,FALSE),"-",svc!$B90,"-",svc!I90)</f>
        <v>route-v504-v510-tx_validation</v>
      </c>
      <c r="I91" t="str">
        <f>CONCATENATE(VLOOKUP($D91,kong_np_var!$B$20:$H$26,SUBSTITUTE(I$1,"target_","") + 1,FALSE),":",$E91)</f>
        <v>172.24.148.131:31021</v>
      </c>
      <c r="J91" t="str">
        <f>CONCATENATE(VLOOKUP($D91,kong_np_var!$B$20:$H$26,SUBSTITUTE(J$1,"target_","") + 1,FALSE),":",$E91)</f>
        <v>172.24.148.132:31021</v>
      </c>
      <c r="K91" t="str">
        <f>CONCATENATE(VLOOKUP($D91,kong_np_var!$B$20:$H$26,SUBSTITUTE(K$1,"target_","") + 1,FALSE),":",$E91)</f>
        <v>172.24.148.133:31021</v>
      </c>
      <c r="L91" t="str">
        <f>IF($C91="dmz","",CONCATENATE(VLOOKUP($D91,kong_np_var!$B$20:$H$26,SUBSTITUTE(L$1,"target_","") + 1,FALSE),":",$E91))</f>
        <v>172.24.148.134:31021</v>
      </c>
      <c r="M91" t="str">
        <f>IF($C91="dmz","",CONCATENATE(VLOOKUP($D91,kong_np_var!$B$20:$H$26,SUBSTITUTE(M$1,"target_","") + 1,FALSE),":",$E91))</f>
        <v>172.24.148.135:31021</v>
      </c>
      <c r="N91" t="str">
        <f>IF($C91="dmz","",CONCATENATE(VLOOKUP($D91,kong_np_var!$B$20:$H$26,SUBSTITUTE(N$1,"target_","") + 1,FALSE),":",$E91))</f>
        <v>172.24.148.136:31021</v>
      </c>
      <c r="O91" t="str">
        <f>VLOOKUP($D91,kong_np_var!$B$10:$D$16,3,FALSE)</f>
        <v>172.24.149.183</v>
      </c>
      <c r="P91" t="str">
        <f>CONCATENATE("/",C91,MID(D91,2,15),"/",svc!$I90)</f>
        <v>/trust510/tx_validation</v>
      </c>
      <c r="Q91" t="str">
        <f>VLOOKUP(C91,kong_np_var!$B$6:$C$7,2,FALSE)</f>
        <v>http://172.24.148.160:8001</v>
      </c>
      <c r="R91" t="str">
        <f>SUBSTITUTE(SUBSTITUTE(kong_np_var!$J$1,"&lt;upstream_name&gt;",$F91),"&lt;kong_api_url&gt;",$Q91)</f>
        <v>curl -X PUT http://172.24.148.160:8001/upstreams/ups-v510-tx_validation</v>
      </c>
      <c r="S91" t="str">
        <f>SUBSTITUTE(SUBSTITUTE(SUBSTITUTE(SUBSTITUTE(kong_np_var!$J$2,"&lt;kong_api_url&gt;",$Q91),"&lt;upstream_name&gt;",$F91),"&lt;port&gt;",$E91),"&lt;service_name&gt;",$G91)</f>
        <v>curl -X PUT http://172.24.148.160:8001/services/svc-v510-tx_validation -H "Content-Type: application/json" -d '{"protocol":"http","host":"ups-v510-tx_validation","port":31021}'</v>
      </c>
      <c r="T91" t="str">
        <f>SUBSTITUTE(SUBSTITUTE(SUBSTITUTE(SUBSTITUTE(SUBSTITUTE(kong_np_var!$J$3,"&lt;kong_api_url&gt;",$Q91),"&lt;route_name&gt;",$H91),"&lt;service_name&gt;",$G91),"&lt;host&gt;",$O91),"&lt;path&gt;",$P91)</f>
        <v>curl -X PUT http://172.24.148.160:8001/services/svc-v510-tx_validation/routes/route-v504-v510-tx_validation -H "Content-Type: application/json" -d '{"protocols":["http"],"hosts":["172.24.149.183"],"paths":["/trust510/tx_validation"]}'</v>
      </c>
      <c r="U91" t="str">
        <f t="shared" si="7"/>
        <v>curl -X POST http://172.24.148.160:8001/upstreams/ups-v510-tx_validation/targets -d 'target=172.24.148.131:31021'</v>
      </c>
      <c r="V91" t="str">
        <f t="shared" si="8"/>
        <v>curl -X POST http://172.24.148.160:8001/upstreams/ups-v510-tx_validation/targets -d 'target=172.24.148.132:31021'</v>
      </c>
      <c r="W91" t="str">
        <f t="shared" si="9"/>
        <v>curl -X POST http://172.24.148.160:8001/upstreams/ups-v510-tx_validation/targets -d 'target=172.24.148.133:31021'</v>
      </c>
      <c r="X91" t="str">
        <f t="shared" si="10"/>
        <v>curl -X POST http://172.24.148.160:8001/upstreams/ups-v510-tx_validation/targets -d 'target=172.24.148.134:31021'</v>
      </c>
      <c r="Y91" t="str">
        <f t="shared" si="11"/>
        <v>curl -X POST http://172.24.148.160:8001/upstreams/ups-v510-tx_validation/targets -d 'target=172.24.148.135:31021'</v>
      </c>
      <c r="Z91" t="str">
        <f t="shared" si="12"/>
        <v>curl -X POST http://172.24.148.160:8001/upstreams/ups-v510-tx_validation/targets -d 'target=172.24.148.136:31021'</v>
      </c>
    </row>
    <row r="92" spans="1:26">
      <c r="A92">
        <f>IF(ISNUMBER(SEARCH("rest_api",svc!R91)),1,0)</f>
        <v>1</v>
      </c>
      <c r="C92" t="str">
        <f>svc!D91</f>
        <v>trust</v>
      </c>
      <c r="D92" t="str">
        <f>svc!$B91</f>
        <v>v510</v>
      </c>
      <c r="E92">
        <f>svc!G91</f>
        <v>31216</v>
      </c>
      <c r="F92" t="str">
        <f>CONCATENATE("ups-",svc!$B91,"-",svc!I91)</f>
        <v>ups-v510-validv_api</v>
      </c>
      <c r="G92" t="str">
        <f>CONCATENATE("svc-",svc!$B91,"-",svc!I91)</f>
        <v>svc-v510-validv_api</v>
      </c>
      <c r="H92" t="str">
        <f>CONCATENATE("route-",VLOOKUP($D92,kong_np_var!$B$10:$D$16,2,FALSE),"-",svc!$B91,"-",svc!I91)</f>
        <v>route-v504-v510-validv_api</v>
      </c>
      <c r="I92" t="str">
        <f>CONCATENATE(VLOOKUP($D92,kong_np_var!$B$20:$H$26,SUBSTITUTE(I$1,"target_","") + 1,FALSE),":",$E92)</f>
        <v>172.24.148.131:31216</v>
      </c>
      <c r="J92" t="str">
        <f>CONCATENATE(VLOOKUP($D92,kong_np_var!$B$20:$H$26,SUBSTITUTE(J$1,"target_","") + 1,FALSE),":",$E92)</f>
        <v>172.24.148.132:31216</v>
      </c>
      <c r="K92" t="str">
        <f>CONCATENATE(VLOOKUP($D92,kong_np_var!$B$20:$H$26,SUBSTITUTE(K$1,"target_","") + 1,FALSE),":",$E92)</f>
        <v>172.24.148.133:31216</v>
      </c>
      <c r="L92" t="str">
        <f>IF($C92="dmz","",CONCATENATE(VLOOKUP($D92,kong_np_var!$B$20:$H$26,SUBSTITUTE(L$1,"target_","") + 1,FALSE),":",$E92))</f>
        <v>172.24.148.134:31216</v>
      </c>
      <c r="M92" t="str">
        <f>IF($C92="dmz","",CONCATENATE(VLOOKUP($D92,kong_np_var!$B$20:$H$26,SUBSTITUTE(M$1,"target_","") + 1,FALSE),":",$E92))</f>
        <v>172.24.148.135:31216</v>
      </c>
      <c r="N92" t="str">
        <f>IF($C92="dmz","",CONCATENATE(VLOOKUP($D92,kong_np_var!$B$20:$H$26,SUBSTITUTE(N$1,"target_","") + 1,FALSE),":",$E92))</f>
        <v>172.24.148.136:31216</v>
      </c>
      <c r="O92" t="str">
        <f>VLOOKUP($D92,kong_np_var!$B$10:$D$16,3,FALSE)</f>
        <v>172.24.149.183</v>
      </c>
      <c r="P92" t="str">
        <f>CONCATENATE("/",C92,MID(D92,2,15),"/",svc!$I91)</f>
        <v>/trust510/validv_api</v>
      </c>
      <c r="Q92" t="str">
        <f>VLOOKUP(C92,kong_np_var!$B$6:$C$7,2,FALSE)</f>
        <v>http://172.24.148.160:8001</v>
      </c>
      <c r="R92" t="str">
        <f>SUBSTITUTE(SUBSTITUTE(kong_np_var!$J$1,"&lt;upstream_name&gt;",$F92),"&lt;kong_api_url&gt;",$Q92)</f>
        <v>curl -X PUT http://172.24.148.160:8001/upstreams/ups-v510-validv_api</v>
      </c>
      <c r="S92" t="str">
        <f>SUBSTITUTE(SUBSTITUTE(SUBSTITUTE(SUBSTITUTE(kong_np_var!$J$2,"&lt;kong_api_url&gt;",$Q92),"&lt;upstream_name&gt;",$F92),"&lt;port&gt;",$E92),"&lt;service_name&gt;",$G92)</f>
        <v>curl -X PUT http://172.24.148.160:8001/services/svc-v510-validv_api -H "Content-Type: application/json" -d '{"protocol":"http","host":"ups-v510-validv_api","port":31216}'</v>
      </c>
      <c r="T92" t="str">
        <f>SUBSTITUTE(SUBSTITUTE(SUBSTITUTE(SUBSTITUTE(SUBSTITUTE(kong_np_var!$J$3,"&lt;kong_api_url&gt;",$Q92),"&lt;route_name&gt;",$H92),"&lt;service_name&gt;",$G92),"&lt;host&gt;",$O92),"&lt;path&gt;",$P92)</f>
        <v>curl -X PUT http://172.24.148.160:8001/services/svc-v510-validv_api/routes/route-v504-v510-validv_api -H "Content-Type: application/json" -d '{"protocols":["http"],"hosts":["172.24.149.183"],"paths":["/trust510/validv_api"]}'</v>
      </c>
      <c r="U92" t="str">
        <f t="shared" si="7"/>
        <v>curl -X POST http://172.24.148.160:8001/upstreams/ups-v510-validv_api/targets -d 'target=172.24.148.131:31216'</v>
      </c>
      <c r="V92" t="str">
        <f t="shared" si="8"/>
        <v>curl -X POST http://172.24.148.160:8001/upstreams/ups-v510-validv_api/targets -d 'target=172.24.148.132:31216'</v>
      </c>
      <c r="W92" t="str">
        <f t="shared" si="9"/>
        <v>curl -X POST http://172.24.148.160:8001/upstreams/ups-v510-validv_api/targets -d 'target=172.24.148.133:31216'</v>
      </c>
      <c r="X92" t="str">
        <f t="shared" si="10"/>
        <v>curl -X POST http://172.24.148.160:8001/upstreams/ups-v510-validv_api/targets -d 'target=172.24.148.134:31216'</v>
      </c>
      <c r="Y92" t="str">
        <f t="shared" si="11"/>
        <v>curl -X POST http://172.24.148.160:8001/upstreams/ups-v510-validv_api/targets -d 'target=172.24.148.135:31216'</v>
      </c>
      <c r="Z92" t="str">
        <f t="shared" si="12"/>
        <v>curl -X POST http://172.24.148.160:8001/upstreams/ups-v510-validv_api/targets -d 'target=172.24.148.136:31216'</v>
      </c>
    </row>
    <row r="93" spans="1:26">
      <c r="A93">
        <f>IF(ISNUMBER(SEARCH("rest_api",svc!R92)),1,0)</f>
        <v>1</v>
      </c>
      <c r="C93" t="str">
        <f>svc!D92</f>
        <v>trust</v>
      </c>
      <c r="D93" t="str">
        <f>svc!$B92</f>
        <v>v510</v>
      </c>
      <c r="E93">
        <f>svc!G92</f>
        <v>31023</v>
      </c>
      <c r="F93" t="str">
        <f>CONCATENATE("ups-",svc!$B92,"-",svc!I92)</f>
        <v>ups-v510-vrm_verification</v>
      </c>
      <c r="G93" t="str">
        <f>CONCATENATE("svc-",svc!$B92,"-",svc!I92)</f>
        <v>svc-v510-vrm_verification</v>
      </c>
      <c r="H93" t="str">
        <f>CONCATENATE("route-",VLOOKUP($D93,kong_np_var!$B$10:$D$16,2,FALSE),"-",svc!$B92,"-",svc!I92)</f>
        <v>route-v504-v510-vrm_verification</v>
      </c>
      <c r="I93" t="str">
        <f>CONCATENATE(VLOOKUP($D93,kong_np_var!$B$20:$H$26,SUBSTITUTE(I$1,"target_","") + 1,FALSE),":",$E93)</f>
        <v>172.24.148.131:31023</v>
      </c>
      <c r="J93" t="str">
        <f>CONCATENATE(VLOOKUP($D93,kong_np_var!$B$20:$H$26,SUBSTITUTE(J$1,"target_","") + 1,FALSE),":",$E93)</f>
        <v>172.24.148.132:31023</v>
      </c>
      <c r="K93" t="str">
        <f>CONCATENATE(VLOOKUP($D93,kong_np_var!$B$20:$H$26,SUBSTITUTE(K$1,"target_","") + 1,FALSE),":",$E93)</f>
        <v>172.24.148.133:31023</v>
      </c>
      <c r="L93" t="str">
        <f>IF($C93="dmz","",CONCATENATE(VLOOKUP($D93,kong_np_var!$B$20:$H$26,SUBSTITUTE(L$1,"target_","") + 1,FALSE),":",$E93))</f>
        <v>172.24.148.134:31023</v>
      </c>
      <c r="M93" t="str">
        <f>IF($C93="dmz","",CONCATENATE(VLOOKUP($D93,kong_np_var!$B$20:$H$26,SUBSTITUTE(M$1,"target_","") + 1,FALSE),":",$E93))</f>
        <v>172.24.148.135:31023</v>
      </c>
      <c r="N93" t="str">
        <f>IF($C93="dmz","",CONCATENATE(VLOOKUP($D93,kong_np_var!$B$20:$H$26,SUBSTITUTE(N$1,"target_","") + 1,FALSE),":",$E93))</f>
        <v>172.24.148.136:31023</v>
      </c>
      <c r="O93" t="str">
        <f>VLOOKUP($D93,kong_np_var!$B$10:$D$16,3,FALSE)</f>
        <v>172.24.149.183</v>
      </c>
      <c r="P93" t="str">
        <f>CONCATENATE("/",C93,MID(D93,2,15),"/",svc!$I92)</f>
        <v>/trust510/vrm_verification</v>
      </c>
      <c r="Q93" t="str">
        <f>VLOOKUP(C93,kong_np_var!$B$6:$C$7,2,FALSE)</f>
        <v>http://172.24.148.160:8001</v>
      </c>
      <c r="R93" t="str">
        <f>SUBSTITUTE(SUBSTITUTE(kong_np_var!$J$1,"&lt;upstream_name&gt;",$F93),"&lt;kong_api_url&gt;",$Q93)</f>
        <v>curl -X PUT http://172.24.148.160:8001/upstreams/ups-v510-vrm_verification</v>
      </c>
      <c r="S93" t="str">
        <f>SUBSTITUTE(SUBSTITUTE(SUBSTITUTE(SUBSTITUTE(kong_np_var!$J$2,"&lt;kong_api_url&gt;",$Q93),"&lt;upstream_name&gt;",$F93),"&lt;port&gt;",$E93),"&lt;service_name&gt;",$G93)</f>
        <v>curl -X PUT http://172.24.148.160:8001/services/svc-v510-vrm_verification -H "Content-Type: application/json" -d '{"protocol":"http","host":"ups-v510-vrm_verification","port":31023}'</v>
      </c>
      <c r="T93" t="str">
        <f>SUBSTITUTE(SUBSTITUTE(SUBSTITUTE(SUBSTITUTE(SUBSTITUTE(kong_np_var!$J$3,"&lt;kong_api_url&gt;",$Q93),"&lt;route_name&gt;",$H93),"&lt;service_name&gt;",$G93),"&lt;host&gt;",$O93),"&lt;path&gt;",$P93)</f>
        <v>curl -X PUT http://172.24.148.160:8001/services/svc-v510-vrm_verification/routes/route-v504-v510-vrm_verification -H "Content-Type: application/json" -d '{"protocols":["http"],"hosts":["172.24.149.183"],"paths":["/trust510/vrm_verification"]}'</v>
      </c>
      <c r="U93" t="str">
        <f t="shared" si="7"/>
        <v>curl -X POST http://172.24.148.160:8001/upstreams/ups-v510-vrm_verification/targets -d 'target=172.24.148.131:31023'</v>
      </c>
      <c r="V93" t="str">
        <f t="shared" si="8"/>
        <v>curl -X POST http://172.24.148.160:8001/upstreams/ups-v510-vrm_verification/targets -d 'target=172.24.148.132:31023'</v>
      </c>
      <c r="W93" t="str">
        <f t="shared" si="9"/>
        <v>curl -X POST http://172.24.148.160:8001/upstreams/ups-v510-vrm_verification/targets -d 'target=172.24.148.133:31023'</v>
      </c>
      <c r="X93" t="str">
        <f t="shared" si="10"/>
        <v>curl -X POST http://172.24.148.160:8001/upstreams/ups-v510-vrm_verification/targets -d 'target=172.24.148.134:31023'</v>
      </c>
      <c r="Y93" t="str">
        <f t="shared" si="11"/>
        <v>curl -X POST http://172.24.148.160:8001/upstreams/ups-v510-vrm_verification/targets -d 'target=172.24.148.135:31023'</v>
      </c>
      <c r="Z93" t="str">
        <f t="shared" si="12"/>
        <v>curl -X POST http://172.24.148.160:8001/upstreams/ups-v510-vrm_verification/targets -d 'target=172.24.148.136:31023'</v>
      </c>
    </row>
    <row r="94" spans="1:26">
      <c r="A94">
        <f>IF(ISNUMBER(SEARCH("rest_api",svc!R93)),1,0)</f>
        <v>1</v>
      </c>
      <c r="C94" t="str">
        <f>svc!D93</f>
        <v>trust</v>
      </c>
      <c r="D94" t="str">
        <f>svc!$B93</f>
        <v>v510</v>
      </c>
      <c r="E94">
        <f>svc!G93</f>
        <v>31020</v>
      </c>
      <c r="F94" t="str">
        <f>CONCATENATE("ups-",svc!$B93,"-",svc!I93)</f>
        <v>ups-v510-tag_validation</v>
      </c>
      <c r="G94" t="str">
        <f>CONCATENATE("svc-",svc!$B93,"-",svc!I93)</f>
        <v>svc-v510-tag_validation</v>
      </c>
      <c r="H94" t="str">
        <f>CONCATENATE("route-",VLOOKUP($D94,kong_np_var!$B$10:$D$16,2,FALSE),"-",svc!$B93,"-",svc!I93)</f>
        <v>route-v504-v510-tag_validation</v>
      </c>
      <c r="I94" t="str">
        <f>CONCATENATE(VLOOKUP($D94,kong_np_var!$B$20:$H$26,SUBSTITUTE(I$1,"target_","") + 1,FALSE),":",$E94)</f>
        <v>172.24.148.131:31020</v>
      </c>
      <c r="J94" t="str">
        <f>CONCATENATE(VLOOKUP($D94,kong_np_var!$B$20:$H$26,SUBSTITUTE(J$1,"target_","") + 1,FALSE),":",$E94)</f>
        <v>172.24.148.132:31020</v>
      </c>
      <c r="K94" t="str">
        <f>CONCATENATE(VLOOKUP($D94,kong_np_var!$B$20:$H$26,SUBSTITUTE(K$1,"target_","") + 1,FALSE),":",$E94)</f>
        <v>172.24.148.133:31020</v>
      </c>
      <c r="L94" t="str">
        <f>IF($C94="dmz","",CONCATENATE(VLOOKUP($D94,kong_np_var!$B$20:$H$26,SUBSTITUTE(L$1,"target_","") + 1,FALSE),":",$E94))</f>
        <v>172.24.148.134:31020</v>
      </c>
      <c r="M94" t="str">
        <f>IF($C94="dmz","",CONCATENATE(VLOOKUP($D94,kong_np_var!$B$20:$H$26,SUBSTITUTE(M$1,"target_","") + 1,FALSE),":",$E94))</f>
        <v>172.24.148.135:31020</v>
      </c>
      <c r="N94" t="str">
        <f>IF($C94="dmz","",CONCATENATE(VLOOKUP($D94,kong_np_var!$B$20:$H$26,SUBSTITUTE(N$1,"target_","") + 1,FALSE),":",$E94))</f>
        <v>172.24.148.136:31020</v>
      </c>
      <c r="O94" t="str">
        <f>VLOOKUP($D94,kong_np_var!$B$10:$D$16,3,FALSE)</f>
        <v>172.24.149.183</v>
      </c>
      <c r="P94" t="str">
        <f>CONCATENATE("/",C94,MID(D94,2,15),"/",svc!$I93)</f>
        <v>/trust510/tag_validation</v>
      </c>
      <c r="Q94" t="str">
        <f>VLOOKUP(C94,kong_np_var!$B$6:$C$7,2,FALSE)</f>
        <v>http://172.24.148.160:8001</v>
      </c>
      <c r="R94" t="str">
        <f>SUBSTITUTE(SUBSTITUTE(kong_np_var!$J$1,"&lt;upstream_name&gt;",$F94),"&lt;kong_api_url&gt;",$Q94)</f>
        <v>curl -X PUT http://172.24.148.160:8001/upstreams/ups-v510-tag_validation</v>
      </c>
      <c r="S94" t="str">
        <f>SUBSTITUTE(SUBSTITUTE(SUBSTITUTE(SUBSTITUTE(kong_np_var!$J$2,"&lt;kong_api_url&gt;",$Q94),"&lt;upstream_name&gt;",$F94),"&lt;port&gt;",$E94),"&lt;service_name&gt;",$G94)</f>
        <v>curl -X PUT http://172.24.148.160:8001/services/svc-v510-tag_validation -H "Content-Type: application/json" -d '{"protocol":"http","host":"ups-v510-tag_validation","port":31020}'</v>
      </c>
      <c r="T94" t="str">
        <f>SUBSTITUTE(SUBSTITUTE(SUBSTITUTE(SUBSTITUTE(SUBSTITUTE(kong_np_var!$J$3,"&lt;kong_api_url&gt;",$Q94),"&lt;route_name&gt;",$H94),"&lt;service_name&gt;",$G94),"&lt;host&gt;",$O94),"&lt;path&gt;",$P94)</f>
        <v>curl -X PUT http://172.24.148.160:8001/services/svc-v510-tag_validation/routes/route-v504-v510-tag_validation -H "Content-Type: application/json" -d '{"protocols":["http"],"hosts":["172.24.149.183"],"paths":["/trust510/tag_validation"]}'</v>
      </c>
      <c r="U94" t="str">
        <f t="shared" si="7"/>
        <v>curl -X POST http://172.24.148.160:8001/upstreams/ups-v510-tag_validation/targets -d 'target=172.24.148.131:31020'</v>
      </c>
      <c r="V94" t="str">
        <f t="shared" si="8"/>
        <v>curl -X POST http://172.24.148.160:8001/upstreams/ups-v510-tag_validation/targets -d 'target=172.24.148.132:31020'</v>
      </c>
      <c r="W94" t="str">
        <f t="shared" si="9"/>
        <v>curl -X POST http://172.24.148.160:8001/upstreams/ups-v510-tag_validation/targets -d 'target=172.24.148.133:31020'</v>
      </c>
      <c r="X94" t="str">
        <f t="shared" si="10"/>
        <v>curl -X POST http://172.24.148.160:8001/upstreams/ups-v510-tag_validation/targets -d 'target=172.24.148.134:31020'</v>
      </c>
      <c r="Y94" t="str">
        <f t="shared" si="11"/>
        <v>curl -X POST http://172.24.148.160:8001/upstreams/ups-v510-tag_validation/targets -d 'target=172.24.148.135:31020'</v>
      </c>
      <c r="Z94" t="str">
        <f t="shared" si="12"/>
        <v>curl -X POST http://172.24.148.160:8001/upstreams/ups-v510-tag_validation/targets -d 'target=172.24.148.136:31020'</v>
      </c>
    </row>
    <row r="95" spans="1:26">
      <c r="A95">
        <f>IF(ISNUMBER(SEARCH("rest_api",svc!R94)),1,0)</f>
        <v>1</v>
      </c>
      <c r="C95" t="str">
        <f>svc!D94</f>
        <v>trust</v>
      </c>
      <c r="D95" t="str">
        <f>svc!$B94</f>
        <v>v510</v>
      </c>
      <c r="E95">
        <f>svc!G94</f>
        <v>31022</v>
      </c>
      <c r="F95" t="str">
        <f>CONCATENATE("ups-",svc!$B94,"-",svc!I94)</f>
        <v>ups-v510-posted_tx_validation</v>
      </c>
      <c r="G95" t="str">
        <f>CONCATENATE("svc-",svc!$B94,"-",svc!I94)</f>
        <v>svc-v510-posted_tx_validation</v>
      </c>
      <c r="H95" t="str">
        <f>CONCATENATE("route-",VLOOKUP($D95,kong_np_var!$B$10:$D$16,2,FALSE),"-",svc!$B94,"-",svc!I94)</f>
        <v>route-v504-v510-posted_tx_validation</v>
      </c>
      <c r="I95" t="str">
        <f>CONCATENATE(VLOOKUP($D95,kong_np_var!$B$20:$H$26,SUBSTITUTE(I$1,"target_","") + 1,FALSE),":",$E95)</f>
        <v>172.24.148.131:31022</v>
      </c>
      <c r="J95" t="str">
        <f>CONCATENATE(VLOOKUP($D95,kong_np_var!$B$20:$H$26,SUBSTITUTE(J$1,"target_","") + 1,FALSE),":",$E95)</f>
        <v>172.24.148.132:31022</v>
      </c>
      <c r="K95" t="str">
        <f>CONCATENATE(VLOOKUP($D95,kong_np_var!$B$20:$H$26,SUBSTITUTE(K$1,"target_","") + 1,FALSE),":",$E95)</f>
        <v>172.24.148.133:31022</v>
      </c>
      <c r="L95" t="str">
        <f>IF($C95="dmz","",CONCATENATE(VLOOKUP($D95,kong_np_var!$B$20:$H$26,SUBSTITUTE(L$1,"target_","") + 1,FALSE),":",$E95))</f>
        <v>172.24.148.134:31022</v>
      </c>
      <c r="M95" t="str">
        <f>IF($C95="dmz","",CONCATENATE(VLOOKUP($D95,kong_np_var!$B$20:$H$26,SUBSTITUTE(M$1,"target_","") + 1,FALSE),":",$E95))</f>
        <v>172.24.148.135:31022</v>
      </c>
      <c r="N95" t="str">
        <f>IF($C95="dmz","",CONCATENATE(VLOOKUP($D95,kong_np_var!$B$20:$H$26,SUBSTITUTE(N$1,"target_","") + 1,FALSE),":",$E95))</f>
        <v>172.24.148.136:31022</v>
      </c>
      <c r="O95" t="str">
        <f>VLOOKUP($D95,kong_np_var!$B$10:$D$16,3,FALSE)</f>
        <v>172.24.149.183</v>
      </c>
      <c r="P95" t="str">
        <f>CONCATENATE("/",C95,MID(D95,2,15),"/",svc!$I94)</f>
        <v>/trust510/posted_tx_validation</v>
      </c>
      <c r="Q95" t="str">
        <f>VLOOKUP(C95,kong_np_var!$B$6:$C$7,2,FALSE)</f>
        <v>http://172.24.148.160:8001</v>
      </c>
      <c r="R95" t="str">
        <f>SUBSTITUTE(SUBSTITUTE(kong_np_var!$J$1,"&lt;upstream_name&gt;",$F95),"&lt;kong_api_url&gt;",$Q95)</f>
        <v>curl -X PUT http://172.24.148.160:8001/upstreams/ups-v510-posted_tx_validation</v>
      </c>
      <c r="S95" t="str">
        <f>SUBSTITUTE(SUBSTITUTE(SUBSTITUTE(SUBSTITUTE(kong_np_var!$J$2,"&lt;kong_api_url&gt;",$Q95),"&lt;upstream_name&gt;",$F95),"&lt;port&gt;",$E95),"&lt;service_name&gt;",$G95)</f>
        <v>curl -X PUT http://172.24.148.160:8001/services/svc-v510-posted_tx_validation -H "Content-Type: application/json" -d '{"protocol":"http","host":"ups-v510-posted_tx_validation","port":31022}'</v>
      </c>
      <c r="T95" t="str">
        <f>SUBSTITUTE(SUBSTITUTE(SUBSTITUTE(SUBSTITUTE(SUBSTITUTE(kong_np_var!$J$3,"&lt;kong_api_url&gt;",$Q95),"&lt;route_name&gt;",$H95),"&lt;service_name&gt;",$G95),"&lt;host&gt;",$O95),"&lt;path&gt;",$P95)</f>
        <v>curl -X PUT http://172.24.148.160:8001/services/svc-v510-posted_tx_validation/routes/route-v504-v510-posted_tx_validation -H "Content-Type: application/json" -d '{"protocols":["http"],"hosts":["172.24.149.183"],"paths":["/trust510/posted_tx_validation"]}'</v>
      </c>
      <c r="U95" t="str">
        <f t="shared" si="7"/>
        <v>curl -X POST http://172.24.148.160:8001/upstreams/ups-v510-posted_tx_validation/targets -d 'target=172.24.148.131:31022'</v>
      </c>
      <c r="V95" t="str">
        <f t="shared" si="8"/>
        <v>curl -X POST http://172.24.148.160:8001/upstreams/ups-v510-posted_tx_validation/targets -d 'target=172.24.148.132:31022'</v>
      </c>
      <c r="W95" t="str">
        <f t="shared" si="9"/>
        <v>curl -X POST http://172.24.148.160:8001/upstreams/ups-v510-posted_tx_validation/targets -d 'target=172.24.148.133:31022'</v>
      </c>
      <c r="X95" t="str">
        <f t="shared" si="10"/>
        <v>curl -X POST http://172.24.148.160:8001/upstreams/ups-v510-posted_tx_validation/targets -d 'target=172.24.148.134:31022'</v>
      </c>
      <c r="Y95" t="str">
        <f t="shared" si="11"/>
        <v>curl -X POST http://172.24.148.160:8001/upstreams/ups-v510-posted_tx_validation/targets -d 'target=172.24.148.135:31022'</v>
      </c>
      <c r="Z95" t="str">
        <f t="shared" si="12"/>
        <v>curl -X POST http://172.24.148.160:8001/upstreams/ups-v510-posted_tx_validation/targets -d 'target=172.24.148.136:31022'</v>
      </c>
    </row>
    <row r="96" spans="1:26">
      <c r="A96">
        <f>IF(ISNUMBER(SEARCH("rest_api",svc!R95)),1,0)</f>
        <v>1</v>
      </c>
      <c r="C96" t="str">
        <f>svc!D95</f>
        <v>trust</v>
      </c>
      <c r="D96" t="str">
        <f>svc!$B95</f>
        <v>v510</v>
      </c>
      <c r="E96">
        <f>svc!G95</f>
        <v>31220</v>
      </c>
      <c r="F96" t="str">
        <f>CONCATENATE("ups-",svc!$B95,"-",svc!I95)</f>
        <v>ups-v510-s3_api</v>
      </c>
      <c r="G96" t="str">
        <f>CONCATENATE("svc-",svc!$B95,"-",svc!I95)</f>
        <v>svc-v510-s3_api</v>
      </c>
      <c r="H96" t="str">
        <f>CONCATENATE("route-",VLOOKUP($D96,kong_np_var!$B$10:$D$16,2,FALSE),"-",svc!$B95,"-",svc!I95)</f>
        <v>route-v504-v510-s3_api</v>
      </c>
      <c r="I96" t="str">
        <f>CONCATENATE(VLOOKUP($D96,kong_np_var!$B$20:$H$26,SUBSTITUTE(I$1,"target_","") + 1,FALSE),":",$E96)</f>
        <v>172.24.148.131:31220</v>
      </c>
      <c r="J96" t="str">
        <f>CONCATENATE(VLOOKUP($D96,kong_np_var!$B$20:$H$26,SUBSTITUTE(J$1,"target_","") + 1,FALSE),":",$E96)</f>
        <v>172.24.148.132:31220</v>
      </c>
      <c r="K96" t="str">
        <f>CONCATENATE(VLOOKUP($D96,kong_np_var!$B$20:$H$26,SUBSTITUTE(K$1,"target_","") + 1,FALSE),":",$E96)</f>
        <v>172.24.148.133:31220</v>
      </c>
      <c r="L96" t="str">
        <f>IF($C96="dmz","",CONCATENATE(VLOOKUP($D96,kong_np_var!$B$20:$H$26,SUBSTITUTE(L$1,"target_","") + 1,FALSE),":",$E96))</f>
        <v>172.24.148.134:31220</v>
      </c>
      <c r="M96" t="str">
        <f>IF($C96="dmz","",CONCATENATE(VLOOKUP($D96,kong_np_var!$B$20:$H$26,SUBSTITUTE(M$1,"target_","") + 1,FALSE),":",$E96))</f>
        <v>172.24.148.135:31220</v>
      </c>
      <c r="N96" t="str">
        <f>IF($C96="dmz","",CONCATENATE(VLOOKUP($D96,kong_np_var!$B$20:$H$26,SUBSTITUTE(N$1,"target_","") + 1,FALSE),":",$E96))</f>
        <v>172.24.148.136:31220</v>
      </c>
      <c r="O96" t="str">
        <f>VLOOKUP($D96,kong_np_var!$B$10:$D$16,3,FALSE)</f>
        <v>172.24.149.183</v>
      </c>
      <c r="P96" t="str">
        <f>CONCATENATE("/",C96,MID(D96,2,15),"/",svc!$I95)</f>
        <v>/trust510/s3_api</v>
      </c>
      <c r="Q96" t="str">
        <f>VLOOKUP(C96,kong_np_var!$B$6:$C$7,2,FALSE)</f>
        <v>http://172.24.148.160:8001</v>
      </c>
      <c r="R96" t="str">
        <f>SUBSTITUTE(SUBSTITUTE(kong_np_var!$J$1,"&lt;upstream_name&gt;",$F96),"&lt;kong_api_url&gt;",$Q96)</f>
        <v>curl -X PUT http://172.24.148.160:8001/upstreams/ups-v510-s3_api</v>
      </c>
      <c r="S96" t="str">
        <f>SUBSTITUTE(SUBSTITUTE(SUBSTITUTE(SUBSTITUTE(kong_np_var!$J$2,"&lt;kong_api_url&gt;",$Q96),"&lt;upstream_name&gt;",$F96),"&lt;port&gt;",$E96),"&lt;service_name&gt;",$G96)</f>
        <v>curl -X PUT http://172.24.148.160:8001/services/svc-v510-s3_api -H "Content-Type: application/json" -d '{"protocol":"http","host":"ups-v510-s3_api","port":31220}'</v>
      </c>
      <c r="T96" t="str">
        <f>SUBSTITUTE(SUBSTITUTE(SUBSTITUTE(SUBSTITUTE(SUBSTITUTE(kong_np_var!$J$3,"&lt;kong_api_url&gt;",$Q96),"&lt;route_name&gt;",$H96),"&lt;service_name&gt;",$G96),"&lt;host&gt;",$O96),"&lt;path&gt;",$P96)</f>
        <v>curl -X PUT http://172.24.148.160:8001/services/svc-v510-s3_api/routes/route-v504-v510-s3_api -H "Content-Type: application/json" -d '{"protocols":["http"],"hosts":["172.24.149.183"],"paths":["/trust510/s3_api"]}'</v>
      </c>
      <c r="U96" t="str">
        <f t="shared" si="7"/>
        <v>curl -X POST http://172.24.148.160:8001/upstreams/ups-v510-s3_api/targets -d 'target=172.24.148.131:31220'</v>
      </c>
      <c r="V96" t="str">
        <f t="shared" si="8"/>
        <v>curl -X POST http://172.24.148.160:8001/upstreams/ups-v510-s3_api/targets -d 'target=172.24.148.132:31220'</v>
      </c>
      <c r="W96" t="str">
        <f t="shared" si="9"/>
        <v>curl -X POST http://172.24.148.160:8001/upstreams/ups-v510-s3_api/targets -d 'target=172.24.148.133:31220'</v>
      </c>
      <c r="X96" t="str">
        <f t="shared" si="10"/>
        <v>curl -X POST http://172.24.148.160:8001/upstreams/ups-v510-s3_api/targets -d 'target=172.24.148.134:31220'</v>
      </c>
      <c r="Y96" t="str">
        <f t="shared" si="11"/>
        <v>curl -X POST http://172.24.148.160:8001/upstreams/ups-v510-s3_api/targets -d 'target=172.24.148.135:31220'</v>
      </c>
      <c r="Z96" t="str">
        <f t="shared" si="12"/>
        <v>curl -X POST http://172.24.148.160:8001/upstreams/ups-v510-s3_api/targets -d 'target=172.24.148.136:31220'</v>
      </c>
    </row>
    <row r="97" spans="1:26">
      <c r="A97">
        <f>IF(ISNUMBER(SEARCH("rest_api",svc!R96)),1,0)</f>
        <v>1</v>
      </c>
      <c r="C97" t="str">
        <f>svc!D96</f>
        <v>dmz</v>
      </c>
      <c r="D97" t="str">
        <f>svc!$B96</f>
        <v>v504</v>
      </c>
      <c r="E97">
        <f>svc!G96</f>
        <v>31050</v>
      </c>
      <c r="F97" t="str">
        <f>CONCATENATE("ups-",svc!$B96,"-",svc!I96)</f>
        <v>ups-v504-bes_wmm2</v>
      </c>
      <c r="G97" t="str">
        <f>CONCATENATE("svc-",svc!$B96,"-",svc!I96)</f>
        <v>svc-v504-bes_wmm2</v>
      </c>
      <c r="H97" t="str">
        <f>CONCATENATE("route-",VLOOKUP($D97,kong_np_var!$B$10:$D$16,2,FALSE),"-",svc!$B96,"-",svc!I96)</f>
        <v>route-v510-v504-bes_wmm2</v>
      </c>
      <c r="I97" t="str">
        <f>CONCATENATE(VLOOKUP($D97,kong_np_var!$B$20:$H$26,SUBSTITUTE(I$1,"target_","") + 1,FALSE),":",$E97)</f>
        <v>172.24.148.102:31050</v>
      </c>
      <c r="J97" t="str">
        <f>CONCATENATE(VLOOKUP($D97,kong_np_var!$B$20:$H$26,SUBSTITUTE(J$1,"target_","") + 1,FALSE),":",$E97)</f>
        <v>172.24.148.103:31050</v>
      </c>
      <c r="K97" t="str">
        <f>CONCATENATE(VLOOKUP($D97,kong_np_var!$B$20:$H$26,SUBSTITUTE(K$1,"target_","") + 1,FALSE),":",$E97)</f>
        <v>172.24.148.104:31050</v>
      </c>
      <c r="L97" t="str">
        <f>IF($C97="dmz","",CONCATENATE(VLOOKUP($D97,kong_np_var!$B$20:$H$26,SUBSTITUTE(L$1,"target_","") + 1,FALSE),":",$E97))</f>
        <v/>
      </c>
      <c r="M97" t="str">
        <f>IF($C97="dmz","",CONCATENATE(VLOOKUP($D97,kong_np_var!$B$20:$H$26,SUBSTITUTE(M$1,"target_","") + 1,FALSE),":",$E97))</f>
        <v/>
      </c>
      <c r="N97" t="str">
        <f>IF($C97="dmz","",CONCATENATE(VLOOKUP($D97,kong_np_var!$B$20:$H$26,SUBSTITUTE(N$1,"target_","") + 1,FALSE),":",$E97))</f>
        <v/>
      </c>
      <c r="O97" t="str">
        <f>VLOOKUP($D97,kong_np_var!$B$10:$D$16,3,FALSE)</f>
        <v>172.24.148.71</v>
      </c>
      <c r="P97" t="str">
        <f>CONCATENATE("/",C97,MID(D97,2,15),"/",svc!$I96)</f>
        <v>/dmz504/bes_wmm2</v>
      </c>
      <c r="Q97" t="str">
        <f>VLOOKUP(C97,kong_np_var!$B$6:$C$7,2,FALSE)</f>
        <v>http://172.24.149.80:8001</v>
      </c>
      <c r="R97" t="str">
        <f>SUBSTITUTE(SUBSTITUTE(kong_np_var!$J$1,"&lt;upstream_name&gt;",$F97),"&lt;kong_api_url&gt;",$Q97)</f>
        <v>curl -X PUT http://172.24.149.80:8001/upstreams/ups-v504-bes_wmm2</v>
      </c>
      <c r="S97" t="str">
        <f>SUBSTITUTE(SUBSTITUTE(SUBSTITUTE(SUBSTITUTE(kong_np_var!$J$2,"&lt;kong_api_url&gt;",$Q97),"&lt;upstream_name&gt;",$F97),"&lt;port&gt;",$E97),"&lt;service_name&gt;",$G97)</f>
        <v>curl -X PUT http://172.24.149.80:8001/services/svc-v504-bes_wmm2 -H "Content-Type: application/json" -d '{"protocol":"http","host":"ups-v504-bes_wmm2","port":31050}'</v>
      </c>
      <c r="T97" t="str">
        <f>SUBSTITUTE(SUBSTITUTE(SUBSTITUTE(SUBSTITUTE(SUBSTITUTE(kong_np_var!$J$3,"&lt;kong_api_url&gt;",$Q97),"&lt;route_name&gt;",$H97),"&lt;service_name&gt;",$G97),"&lt;host&gt;",$O97),"&lt;path&gt;",$P97)</f>
        <v>curl -X PUT http://172.24.149.80:8001/services/svc-v504-bes_wmm2/routes/route-v510-v504-bes_wmm2 -H "Content-Type: application/json" -d '{"protocols":["http"],"hosts":["172.24.148.71"],"paths":["/dmz504/bes_wmm2"]}'</v>
      </c>
      <c r="U97" t="str">
        <f t="shared" si="7"/>
        <v>curl -X POST http://172.24.149.80:8001/upstreams/ups-v504-bes_wmm2/targets -d 'target=172.24.148.102:31050'</v>
      </c>
      <c r="V97" t="str">
        <f t="shared" si="8"/>
        <v>curl -X POST http://172.24.149.80:8001/upstreams/ups-v504-bes_wmm2/targets -d 'target=172.24.148.103:31050'</v>
      </c>
      <c r="W97" t="str">
        <f t="shared" si="9"/>
        <v>curl -X POST http://172.24.149.80:8001/upstreams/ups-v504-bes_wmm2/targets -d 'target=172.24.148.104:31050'</v>
      </c>
      <c r="X97" t="str">
        <f t="shared" si="10"/>
        <v/>
      </c>
      <c r="Y97" t="str">
        <f t="shared" si="11"/>
        <v/>
      </c>
      <c r="Z97" t="str">
        <f t="shared" si="12"/>
        <v/>
      </c>
    </row>
    <row r="98" spans="1:26">
      <c r="A98">
        <f>IF(ISNUMBER(SEARCH("rest_api",svc!R97)),1,0)</f>
        <v>1</v>
      </c>
      <c r="C98" t="str">
        <f>svc!D97</f>
        <v>dmz</v>
      </c>
      <c r="D98" t="str">
        <f>svc!$B97</f>
        <v>v804</v>
      </c>
      <c r="E98">
        <f>svc!G97</f>
        <v>31050</v>
      </c>
      <c r="F98" t="str">
        <f>CONCATENATE("ups-",svc!$B97,"-",svc!I97)</f>
        <v>ups-v804-bes_wmm2</v>
      </c>
      <c r="G98" t="str">
        <f>CONCATENATE("svc-",svc!$B97,"-",svc!I97)</f>
        <v>svc-v804-bes_wmm2</v>
      </c>
      <c r="H98" t="str">
        <f>CONCATENATE("route-",VLOOKUP($D98,kong_np_var!$B$10:$D$16,2,FALSE),"-",svc!$B97,"-",svc!I97)</f>
        <v>route-v810-v804-bes_wmm2</v>
      </c>
      <c r="I98" t="str">
        <f>CONCATENATE(VLOOKUP($D98,kong_np_var!$B$20:$H$26,SUBSTITUTE(I$1,"target_","") + 1,FALSE),":",$E98)</f>
        <v>172.24.149.70:31050</v>
      </c>
      <c r="J98" t="str">
        <f>CONCATENATE(VLOOKUP($D98,kong_np_var!$B$20:$H$26,SUBSTITUTE(J$1,"target_","") + 1,FALSE),":",$E98)</f>
        <v>172.24.149.71:31050</v>
      </c>
      <c r="K98" t="str">
        <f>CONCATENATE(VLOOKUP($D98,kong_np_var!$B$20:$H$26,SUBSTITUTE(K$1,"target_","") + 1,FALSE),":",$E98)</f>
        <v>172.24.149.72:31050</v>
      </c>
      <c r="L98" t="str">
        <f>IF($C98="dmz","",CONCATENATE(VLOOKUP($D98,kong_np_var!$B$20:$H$26,SUBSTITUTE(L$1,"target_","") + 1,FALSE),":",$E98))</f>
        <v/>
      </c>
      <c r="M98" t="str">
        <f>IF($C98="dmz","",CONCATENATE(VLOOKUP($D98,kong_np_var!$B$20:$H$26,SUBSTITUTE(M$1,"target_","") + 1,FALSE),":",$E98))</f>
        <v/>
      </c>
      <c r="N98" t="str">
        <f>IF($C98="dmz","",CONCATENATE(VLOOKUP($D98,kong_np_var!$B$20:$H$26,SUBSTITUTE(N$1,"target_","") + 1,FALSE),":",$E98))</f>
        <v/>
      </c>
      <c r="O98" t="str">
        <f>VLOOKUP($D98,kong_np_var!$B$10:$D$16,3,FALSE)</f>
        <v>172.24.151.71</v>
      </c>
      <c r="P98" t="str">
        <f>CONCATENATE("/",C98,MID(D98,2,15),"/",svc!$I97)</f>
        <v>/dmz804/bes_wmm2</v>
      </c>
      <c r="Q98" t="str">
        <f>VLOOKUP(C98,kong_np_var!$B$6:$C$7,2,FALSE)</f>
        <v>http://172.24.149.80:8001</v>
      </c>
      <c r="R98" t="str">
        <f>SUBSTITUTE(SUBSTITUTE(kong_np_var!$J$1,"&lt;upstream_name&gt;",$F98),"&lt;kong_api_url&gt;",$Q98)</f>
        <v>curl -X PUT http://172.24.149.80:8001/upstreams/ups-v804-bes_wmm2</v>
      </c>
      <c r="S98" t="str">
        <f>SUBSTITUTE(SUBSTITUTE(SUBSTITUTE(SUBSTITUTE(kong_np_var!$J$2,"&lt;kong_api_url&gt;",$Q98),"&lt;upstream_name&gt;",$F98),"&lt;port&gt;",$E98),"&lt;service_name&gt;",$G98)</f>
        <v>curl -X PUT http://172.24.149.80:8001/services/svc-v804-bes_wmm2 -H "Content-Type: application/json" -d '{"protocol":"http","host":"ups-v804-bes_wmm2","port":31050}'</v>
      </c>
      <c r="T98" t="str">
        <f>SUBSTITUTE(SUBSTITUTE(SUBSTITUTE(SUBSTITUTE(SUBSTITUTE(kong_np_var!$J$3,"&lt;kong_api_url&gt;",$Q98),"&lt;route_name&gt;",$H98),"&lt;service_name&gt;",$G98),"&lt;host&gt;",$O98),"&lt;path&gt;",$P98)</f>
        <v>curl -X PUT http://172.24.149.80:8001/services/svc-v804-bes_wmm2/routes/route-v810-v804-bes_wmm2 -H "Content-Type: application/json" -d '{"protocols":["http"],"hosts":["172.24.151.71"],"paths":["/dmz804/bes_wmm2"]}'</v>
      </c>
      <c r="U98" t="str">
        <f t="shared" si="7"/>
        <v>curl -X POST http://172.24.149.80:8001/upstreams/ups-v804-bes_wmm2/targets -d 'target=172.24.149.70:31050'</v>
      </c>
      <c r="V98" t="str">
        <f t="shared" si="8"/>
        <v>curl -X POST http://172.24.149.80:8001/upstreams/ups-v804-bes_wmm2/targets -d 'target=172.24.149.71:31050'</v>
      </c>
      <c r="W98" t="str">
        <f t="shared" si="9"/>
        <v>curl -X POST http://172.24.149.80:8001/upstreams/ups-v804-bes_wmm2/targets -d 'target=172.24.149.72:31050'</v>
      </c>
      <c r="X98" t="str">
        <f t="shared" si="10"/>
        <v/>
      </c>
      <c r="Y98" t="str">
        <f t="shared" si="11"/>
        <v/>
      </c>
      <c r="Z98" t="str">
        <f t="shared" si="12"/>
        <v/>
      </c>
    </row>
    <row r="99" spans="1:26">
      <c r="A99">
        <f>IF(ISNUMBER(SEARCH("rest_api",svc!R98)),1,0)</f>
        <v>1</v>
      </c>
      <c r="C99" t="str">
        <f>svc!D98</f>
        <v>dmz</v>
      </c>
      <c r="D99" t="str">
        <f>svc!$B98</f>
        <v>v504</v>
      </c>
      <c r="E99">
        <f>svc!G98</f>
        <v>31082</v>
      </c>
      <c r="F99" t="str">
        <f>CONCATENATE("ups-",svc!$B98,"-",svc!I98)</f>
        <v>ups-v504-bes_ttis</v>
      </c>
      <c r="G99" t="str">
        <f>CONCATENATE("svc-",svc!$B98,"-",svc!I98)</f>
        <v>svc-v504-bes_ttis</v>
      </c>
      <c r="H99" t="str">
        <f>CONCATENATE("route-",VLOOKUP($D99,kong_np_var!$B$10:$D$16,2,FALSE),"-",svc!$B98,"-",svc!I98)</f>
        <v>route-v510-v504-bes_ttis</v>
      </c>
      <c r="I99" t="str">
        <f>CONCATENATE(VLOOKUP($D99,kong_np_var!$B$20:$H$26,SUBSTITUTE(I$1,"target_","") + 1,FALSE),":",$E99)</f>
        <v>172.24.148.102:31082</v>
      </c>
      <c r="J99" t="str">
        <f>CONCATENATE(VLOOKUP($D99,kong_np_var!$B$20:$H$26,SUBSTITUTE(J$1,"target_","") + 1,FALSE),":",$E99)</f>
        <v>172.24.148.103:31082</v>
      </c>
      <c r="K99" t="str">
        <f>CONCATENATE(VLOOKUP($D99,kong_np_var!$B$20:$H$26,SUBSTITUTE(K$1,"target_","") + 1,FALSE),":",$E99)</f>
        <v>172.24.148.104:31082</v>
      </c>
      <c r="L99" t="str">
        <f>IF($C99="dmz","",CONCATENATE(VLOOKUP($D99,kong_np_var!$B$20:$H$26,SUBSTITUTE(L$1,"target_","") + 1,FALSE),":",$E99))</f>
        <v/>
      </c>
      <c r="M99" t="str">
        <f>IF($C99="dmz","",CONCATENATE(VLOOKUP($D99,kong_np_var!$B$20:$H$26,SUBSTITUTE(M$1,"target_","") + 1,FALSE),":",$E99))</f>
        <v/>
      </c>
      <c r="N99" t="str">
        <f>IF($C99="dmz","",CONCATENATE(VLOOKUP($D99,kong_np_var!$B$20:$H$26,SUBSTITUTE(N$1,"target_","") + 1,FALSE),":",$E99))</f>
        <v/>
      </c>
      <c r="O99" t="str">
        <f>VLOOKUP($D99,kong_np_var!$B$10:$D$16,3,FALSE)</f>
        <v>172.24.148.71</v>
      </c>
      <c r="P99" t="str">
        <f>CONCATENATE("/",C99,MID(D99,2,15),"/",svc!$I98)</f>
        <v>/dmz504/bes_ttis</v>
      </c>
      <c r="Q99" t="str">
        <f>VLOOKUP(C99,kong_np_var!$B$6:$C$7,2,FALSE)</f>
        <v>http://172.24.149.80:8001</v>
      </c>
      <c r="R99" t="str">
        <f>SUBSTITUTE(SUBSTITUTE(kong_np_var!$J$1,"&lt;upstream_name&gt;",$F99),"&lt;kong_api_url&gt;",$Q99)</f>
        <v>curl -X PUT http://172.24.149.80:8001/upstreams/ups-v504-bes_ttis</v>
      </c>
      <c r="S99" t="str">
        <f>SUBSTITUTE(SUBSTITUTE(SUBSTITUTE(SUBSTITUTE(kong_np_var!$J$2,"&lt;kong_api_url&gt;",$Q99),"&lt;upstream_name&gt;",$F99),"&lt;port&gt;",$E99),"&lt;service_name&gt;",$G99)</f>
        <v>curl -X PUT http://172.24.149.80:8001/services/svc-v504-bes_ttis -H "Content-Type: application/json" -d '{"protocol":"http","host":"ups-v504-bes_ttis","port":31082}'</v>
      </c>
      <c r="T99" t="str">
        <f>SUBSTITUTE(SUBSTITUTE(SUBSTITUTE(SUBSTITUTE(SUBSTITUTE(kong_np_var!$J$3,"&lt;kong_api_url&gt;",$Q99),"&lt;route_name&gt;",$H99),"&lt;service_name&gt;",$G99),"&lt;host&gt;",$O99),"&lt;path&gt;",$P99)</f>
        <v>curl -X PUT http://172.24.149.80:8001/services/svc-v504-bes_ttis/routes/route-v510-v504-bes_ttis -H "Content-Type: application/json" -d '{"protocols":["http"],"hosts":["172.24.148.71"],"paths":["/dmz504/bes_ttis"]}'</v>
      </c>
      <c r="U99" t="str">
        <f t="shared" si="7"/>
        <v>curl -X POST http://172.24.149.80:8001/upstreams/ups-v504-bes_ttis/targets -d 'target=172.24.148.102:31082'</v>
      </c>
      <c r="V99" t="str">
        <f t="shared" si="8"/>
        <v>curl -X POST http://172.24.149.80:8001/upstreams/ups-v504-bes_ttis/targets -d 'target=172.24.148.103:31082'</v>
      </c>
      <c r="W99" t="str">
        <f t="shared" si="9"/>
        <v>curl -X POST http://172.24.149.80:8001/upstreams/ups-v504-bes_ttis/targets -d 'target=172.24.148.104:31082'</v>
      </c>
      <c r="X99" t="str">
        <f t="shared" si="10"/>
        <v/>
      </c>
      <c r="Y99" t="str">
        <f t="shared" si="11"/>
        <v/>
      </c>
      <c r="Z99" t="str">
        <f t="shared" si="12"/>
        <v/>
      </c>
    </row>
    <row r="100" spans="1:26">
      <c r="A100">
        <f>IF(ISNUMBER(SEARCH("rest_api",svc!R99)),1,0)</f>
        <v>1</v>
      </c>
      <c r="C100" t="str">
        <f>svc!D99</f>
        <v>dmz</v>
      </c>
      <c r="D100" t="str">
        <f>svc!$B99</f>
        <v>v504</v>
      </c>
      <c r="E100">
        <f>svc!G99</f>
        <v>31032</v>
      </c>
      <c r="F100" t="str">
        <f>CONCATENATE("ups-",svc!$B99,"-",svc!I99)</f>
        <v>ups-v504-bes_tsp</v>
      </c>
      <c r="G100" t="str">
        <f>CONCATENATE("svc-",svc!$B99,"-",svc!I99)</f>
        <v>svc-v504-bes_tsp</v>
      </c>
      <c r="H100" t="str">
        <f>CONCATENATE("route-",VLOOKUP($D100,kong_np_var!$B$10:$D$16,2,FALSE),"-",svc!$B99,"-",svc!I99)</f>
        <v>route-v510-v504-bes_tsp</v>
      </c>
      <c r="I100" t="str">
        <f>CONCATENATE(VLOOKUP($D100,kong_np_var!$B$20:$H$26,SUBSTITUTE(I$1,"target_","") + 1,FALSE),":",$E100)</f>
        <v>172.24.148.102:31032</v>
      </c>
      <c r="J100" t="str">
        <f>CONCATENATE(VLOOKUP($D100,kong_np_var!$B$20:$H$26,SUBSTITUTE(J$1,"target_","") + 1,FALSE),":",$E100)</f>
        <v>172.24.148.103:31032</v>
      </c>
      <c r="K100" t="str">
        <f>CONCATENATE(VLOOKUP($D100,kong_np_var!$B$20:$H$26,SUBSTITUTE(K$1,"target_","") + 1,FALSE),":",$E100)</f>
        <v>172.24.148.104:31032</v>
      </c>
      <c r="L100" t="str">
        <f>IF($C100="dmz","",CONCATENATE(VLOOKUP($D100,kong_np_var!$B$20:$H$26,SUBSTITUTE(L$1,"target_","") + 1,FALSE),":",$E100))</f>
        <v/>
      </c>
      <c r="M100" t="str">
        <f>IF($C100="dmz","",CONCATENATE(VLOOKUP($D100,kong_np_var!$B$20:$H$26,SUBSTITUTE(M$1,"target_","") + 1,FALSE),":",$E100))</f>
        <v/>
      </c>
      <c r="N100" t="str">
        <f>IF($C100="dmz","",CONCATENATE(VLOOKUP($D100,kong_np_var!$B$20:$H$26,SUBSTITUTE(N$1,"target_","") + 1,FALSE),":",$E100))</f>
        <v/>
      </c>
      <c r="O100" t="str">
        <f>VLOOKUP($D100,kong_np_var!$B$10:$D$16,3,FALSE)</f>
        <v>172.24.148.71</v>
      </c>
      <c r="P100" t="str">
        <f>CONCATENATE("/",C100,MID(D100,2,15),"/",svc!$I99)</f>
        <v>/dmz504/bes_tsp</v>
      </c>
      <c r="Q100" t="str">
        <f>VLOOKUP(C100,kong_np_var!$B$6:$C$7,2,FALSE)</f>
        <v>http://172.24.149.80:8001</v>
      </c>
      <c r="R100" t="str">
        <f>SUBSTITUTE(SUBSTITUTE(kong_np_var!$J$1,"&lt;upstream_name&gt;",$F100),"&lt;kong_api_url&gt;",$Q100)</f>
        <v>curl -X PUT http://172.24.149.80:8001/upstreams/ups-v504-bes_tsp</v>
      </c>
      <c r="S100" t="str">
        <f>SUBSTITUTE(SUBSTITUTE(SUBSTITUTE(SUBSTITUTE(kong_np_var!$J$2,"&lt;kong_api_url&gt;",$Q100),"&lt;upstream_name&gt;",$F100),"&lt;port&gt;",$E100),"&lt;service_name&gt;",$G100)</f>
        <v>curl -X PUT http://172.24.149.80:8001/services/svc-v504-bes_tsp -H "Content-Type: application/json" -d '{"protocol":"http","host":"ups-v504-bes_tsp","port":31032}'</v>
      </c>
      <c r="T100" t="str">
        <f>SUBSTITUTE(SUBSTITUTE(SUBSTITUTE(SUBSTITUTE(SUBSTITUTE(kong_np_var!$J$3,"&lt;kong_api_url&gt;",$Q100),"&lt;route_name&gt;",$H100),"&lt;service_name&gt;",$G100),"&lt;host&gt;",$O100),"&lt;path&gt;",$P100)</f>
        <v>curl -X PUT http://172.24.149.80:8001/services/svc-v504-bes_tsp/routes/route-v510-v504-bes_tsp -H "Content-Type: application/json" -d '{"protocols":["http"],"hosts":["172.24.148.71"],"paths":["/dmz504/bes_tsp"]}'</v>
      </c>
      <c r="U100" t="str">
        <f t="shared" si="7"/>
        <v>curl -X POST http://172.24.149.80:8001/upstreams/ups-v504-bes_tsp/targets -d 'target=172.24.148.102:31032'</v>
      </c>
      <c r="V100" t="str">
        <f t="shared" si="8"/>
        <v>curl -X POST http://172.24.149.80:8001/upstreams/ups-v504-bes_tsp/targets -d 'target=172.24.148.103:31032'</v>
      </c>
      <c r="W100" t="str">
        <f t="shared" si="9"/>
        <v>curl -X POST http://172.24.149.80:8001/upstreams/ups-v504-bes_tsp/targets -d 'target=172.24.148.104:31032'</v>
      </c>
      <c r="X100" t="str">
        <f t="shared" si="10"/>
        <v/>
      </c>
      <c r="Y100" t="str">
        <f t="shared" si="11"/>
        <v/>
      </c>
      <c r="Z100" t="str">
        <f t="shared" si="12"/>
        <v/>
      </c>
    </row>
    <row r="101" spans="1:26">
      <c r="A101">
        <f>IF(ISNUMBER(SEARCH("rest_api",svc!R100)),1,0)</f>
        <v>1</v>
      </c>
      <c r="C101" t="str">
        <f>svc!D100</f>
        <v>dmz</v>
      </c>
      <c r="D101" t="str">
        <f>svc!$B100</f>
        <v>v630</v>
      </c>
      <c r="E101">
        <f>svc!G100</f>
        <v>31052</v>
      </c>
      <c r="F101" t="str">
        <f>CONCATENATE("ups-",svc!$B100,"-",svc!I100)</f>
        <v>ups-v630-das_middleware_load_test</v>
      </c>
      <c r="G101" t="str">
        <f>CONCATENATE("svc-",svc!$B100,"-",svc!I100)</f>
        <v>svc-v630-das_middleware_load_test</v>
      </c>
      <c r="H101" t="str">
        <f>CONCATENATE("route-",VLOOKUP($D101,kong_np_var!$B$10:$D$16,2,FALSE),"-",svc!$B100,"-",svc!I100)</f>
        <v>route-v510-v630-das_middleware_load_test</v>
      </c>
      <c r="I101" t="str">
        <f>CONCATENATE(VLOOKUP($D101,kong_np_var!$B$20:$H$26,SUBSTITUTE(I$1,"target_","") + 1,FALSE),":",$E101)</f>
        <v>172.24.151.109:31052</v>
      </c>
      <c r="J101" t="str">
        <f>CONCATENATE(VLOOKUP($D101,kong_np_var!$B$20:$H$26,SUBSTITUTE(J$1,"target_","") + 1,FALSE),":",$E101)</f>
        <v>172.24.151.110:31052</v>
      </c>
      <c r="K101" t="str">
        <f>CONCATENATE(VLOOKUP($D101,kong_np_var!$B$20:$H$26,SUBSTITUTE(K$1,"target_","") + 1,FALSE),":",$E101)</f>
        <v>172.24.151.111:31052</v>
      </c>
      <c r="L101" t="str">
        <f>IF($C101="dmz","",CONCATENATE(VLOOKUP($D101,kong_np_var!$B$20:$H$26,SUBSTITUTE(L$1,"target_","") + 1,FALSE),":",$E101))</f>
        <v/>
      </c>
      <c r="M101" t="str">
        <f>IF($C101="dmz","",CONCATENATE(VLOOKUP($D101,kong_np_var!$B$20:$H$26,SUBSTITUTE(M$1,"target_","") + 1,FALSE),":",$E101))</f>
        <v/>
      </c>
      <c r="N101" t="str">
        <f>IF($C101="dmz","",CONCATENATE(VLOOKUP($D101,kong_np_var!$B$20:$H$26,SUBSTITUTE(N$1,"target_","") + 1,FALSE),":",$E101))</f>
        <v/>
      </c>
      <c r="O101" t="str">
        <f>VLOOKUP($D101,kong_np_var!$B$10:$D$16,3,FALSE)</f>
        <v>172.24.150.71</v>
      </c>
      <c r="P101" t="str">
        <f>CONCATENATE("/",C101,MID(D101,2,15),"/",svc!$I100)</f>
        <v>/dmz630/das_middleware_load_test</v>
      </c>
      <c r="Q101" t="str">
        <f>VLOOKUP(C101,kong_np_var!$B$6:$C$7,2,FALSE)</f>
        <v>http://172.24.149.80:8001</v>
      </c>
      <c r="R101" t="str">
        <f>SUBSTITUTE(SUBSTITUTE(kong_np_var!$J$1,"&lt;upstream_name&gt;",$F101),"&lt;kong_api_url&gt;",$Q101)</f>
        <v>curl -X PUT http://172.24.149.80:8001/upstreams/ups-v630-das_middleware_load_test</v>
      </c>
      <c r="S101" t="str">
        <f>SUBSTITUTE(SUBSTITUTE(SUBSTITUTE(SUBSTITUTE(kong_np_var!$J$2,"&lt;kong_api_url&gt;",$Q101),"&lt;upstream_name&gt;",$F101),"&lt;port&gt;",$E101),"&lt;service_name&gt;",$G101)</f>
        <v>curl -X PUT http://172.24.149.80:8001/services/svc-v630-das_middleware_load_test -H "Content-Type: application/json" -d '{"protocol":"http","host":"ups-v630-das_middleware_load_test","port":31052}'</v>
      </c>
      <c r="T101" t="str">
        <f>SUBSTITUTE(SUBSTITUTE(SUBSTITUTE(SUBSTITUTE(SUBSTITUTE(kong_np_var!$J$3,"&lt;kong_api_url&gt;",$Q101),"&lt;route_name&gt;",$H101),"&lt;service_name&gt;",$G101),"&lt;host&gt;",$O101),"&lt;path&gt;",$P101)</f>
        <v>curl -X PUT http://172.24.149.80:8001/services/svc-v630-das_middleware_load_test/routes/route-v510-v630-das_middleware_load_test -H "Content-Type: application/json" -d '{"protocols":["http"],"hosts":["172.24.150.71"],"paths":["/dmz630/das_middleware_load_test"]}'</v>
      </c>
      <c r="U101" t="str">
        <f t="shared" si="7"/>
        <v>curl -X POST http://172.24.149.80:8001/upstreams/ups-v630-das_middleware_load_test/targets -d 'target=172.24.151.109:31052'</v>
      </c>
      <c r="V101" t="str">
        <f t="shared" si="8"/>
        <v>curl -X POST http://172.24.149.80:8001/upstreams/ups-v630-das_middleware_load_test/targets -d 'target=172.24.151.110:31052'</v>
      </c>
      <c r="W101" t="str">
        <f t="shared" si="9"/>
        <v>curl -X POST http://172.24.149.80:8001/upstreams/ups-v630-das_middleware_load_test/targets -d 'target=172.24.151.111:31052'</v>
      </c>
      <c r="X101" t="str">
        <f t="shared" si="10"/>
        <v/>
      </c>
      <c r="Y101" t="str">
        <f t="shared" si="11"/>
        <v/>
      </c>
      <c r="Z101" t="str">
        <f t="shared" si="12"/>
        <v/>
      </c>
    </row>
    <row r="102" spans="1:26">
      <c r="A102">
        <f>IF(ISNUMBER(SEARCH("rest_api",svc!R101)),1,0)</f>
        <v>1</v>
      </c>
      <c r="C102" t="str">
        <f>svc!D101</f>
        <v>dmz</v>
      </c>
      <c r="D102" t="str">
        <f>svc!$B101</f>
        <v>v630</v>
      </c>
      <c r="E102">
        <f>svc!G101</f>
        <v>31053</v>
      </c>
      <c r="F102" t="str">
        <f>CONCATENATE("ups-",svc!$B101,"-",svc!I101)</f>
        <v>ups-v630-das_middleware_load_test_2</v>
      </c>
      <c r="G102" t="str">
        <f>CONCATENATE("svc-",svc!$B101,"-",svc!I101)</f>
        <v>svc-v630-das_middleware_load_test_2</v>
      </c>
      <c r="H102" t="str">
        <f>CONCATENATE("route-",VLOOKUP($D102,kong_np_var!$B$10:$D$16,2,FALSE),"-",svc!$B101,"-",svc!I101)</f>
        <v>route-v510-v630-das_middleware_load_test_2</v>
      </c>
      <c r="I102" t="str">
        <f>CONCATENATE(VLOOKUP($D102,kong_np_var!$B$20:$H$26,SUBSTITUTE(I$1,"target_","") + 1,FALSE),":",$E102)</f>
        <v>172.24.151.109:31053</v>
      </c>
      <c r="J102" t="str">
        <f>CONCATENATE(VLOOKUP($D102,kong_np_var!$B$20:$H$26,SUBSTITUTE(J$1,"target_","") + 1,FALSE),":",$E102)</f>
        <v>172.24.151.110:31053</v>
      </c>
      <c r="K102" t="str">
        <f>CONCATENATE(VLOOKUP($D102,kong_np_var!$B$20:$H$26,SUBSTITUTE(K$1,"target_","") + 1,FALSE),":",$E102)</f>
        <v>172.24.151.111:31053</v>
      </c>
      <c r="L102" t="str">
        <f>IF($C102="dmz","",CONCATENATE(VLOOKUP($D102,kong_np_var!$B$20:$H$26,SUBSTITUTE(L$1,"target_","") + 1,FALSE),":",$E102))</f>
        <v/>
      </c>
      <c r="M102" t="str">
        <f>IF($C102="dmz","",CONCATENATE(VLOOKUP($D102,kong_np_var!$B$20:$H$26,SUBSTITUTE(M$1,"target_","") + 1,FALSE),":",$E102))</f>
        <v/>
      </c>
      <c r="N102" t="str">
        <f>IF($C102="dmz","",CONCATENATE(VLOOKUP($D102,kong_np_var!$B$20:$H$26,SUBSTITUTE(N$1,"target_","") + 1,FALSE),":",$E102))</f>
        <v/>
      </c>
      <c r="O102" t="str">
        <f>VLOOKUP($D102,kong_np_var!$B$10:$D$16,3,FALSE)</f>
        <v>172.24.150.71</v>
      </c>
      <c r="P102" t="str">
        <f>CONCATENATE("/",C102,MID(D102,2,15),"/",svc!$I101)</f>
        <v>/dmz630/das_middleware_load_test_2</v>
      </c>
      <c r="Q102" t="str">
        <f>VLOOKUP(C102,kong_np_var!$B$6:$C$7,2,FALSE)</f>
        <v>http://172.24.149.80:8001</v>
      </c>
      <c r="R102" t="str">
        <f>SUBSTITUTE(SUBSTITUTE(kong_np_var!$J$1,"&lt;upstream_name&gt;",$F102),"&lt;kong_api_url&gt;",$Q102)</f>
        <v>curl -X PUT http://172.24.149.80:8001/upstreams/ups-v630-das_middleware_load_test_2</v>
      </c>
      <c r="S102" t="str">
        <f>SUBSTITUTE(SUBSTITUTE(SUBSTITUTE(SUBSTITUTE(kong_np_var!$J$2,"&lt;kong_api_url&gt;",$Q102),"&lt;upstream_name&gt;",$F102),"&lt;port&gt;",$E102),"&lt;service_name&gt;",$G102)</f>
        <v>curl -X PUT http://172.24.149.80:8001/services/svc-v630-das_middleware_load_test_2 -H "Content-Type: application/json" -d '{"protocol":"http","host":"ups-v630-das_middleware_load_test_2","port":31053}'</v>
      </c>
      <c r="T102" t="str">
        <f>SUBSTITUTE(SUBSTITUTE(SUBSTITUTE(SUBSTITUTE(SUBSTITUTE(kong_np_var!$J$3,"&lt;kong_api_url&gt;",$Q102),"&lt;route_name&gt;",$H102),"&lt;service_name&gt;",$G102),"&lt;host&gt;",$O102),"&lt;path&gt;",$P102)</f>
        <v>curl -X PUT http://172.24.149.80:8001/services/svc-v630-das_middleware_load_test_2/routes/route-v510-v630-das_middleware_load_test_2 -H "Content-Type: application/json" -d '{"protocols":["http"],"hosts":["172.24.150.71"],"paths":["/dmz630/das_middleware_load_test_2"]}'</v>
      </c>
      <c r="U102" t="str">
        <f t="shared" si="7"/>
        <v>curl -X POST http://172.24.149.80:8001/upstreams/ups-v630-das_middleware_load_test_2/targets -d 'target=172.24.151.109:31053'</v>
      </c>
      <c r="V102" t="str">
        <f t="shared" si="8"/>
        <v>curl -X POST http://172.24.149.80:8001/upstreams/ups-v630-das_middleware_load_test_2/targets -d 'target=172.24.151.110:31053'</v>
      </c>
      <c r="W102" t="str">
        <f t="shared" si="9"/>
        <v>curl -X POST http://172.24.149.80:8001/upstreams/ups-v630-das_middleware_load_test_2/targets -d 'target=172.24.151.111:31053'</v>
      </c>
      <c r="X102" t="str">
        <f t="shared" si="10"/>
        <v/>
      </c>
      <c r="Y102" t="str">
        <f t="shared" si="11"/>
        <v/>
      </c>
      <c r="Z102" t="str">
        <f t="shared" si="12"/>
        <v/>
      </c>
    </row>
    <row r="103" spans="1:26">
      <c r="A103">
        <f>IF(ISNUMBER(SEARCH("rest_api",svc!R102)),1,0)</f>
        <v>1</v>
      </c>
      <c r="C103" t="str">
        <f>svc!D102</f>
        <v>dmz</v>
      </c>
      <c r="D103" t="str">
        <f>svc!$B102</f>
        <v>v630</v>
      </c>
      <c r="E103">
        <f>svc!G102</f>
        <v>31054</v>
      </c>
      <c r="F103" t="str">
        <f>CONCATENATE("ups-",svc!$B102,"-",svc!I102)</f>
        <v>ups-v630-das_middleware_load_test_3</v>
      </c>
      <c r="G103" t="str">
        <f>CONCATENATE("svc-",svc!$B102,"-",svc!I102)</f>
        <v>svc-v630-das_middleware_load_test_3</v>
      </c>
      <c r="H103" t="str">
        <f>CONCATENATE("route-",VLOOKUP($D103,kong_np_var!$B$10:$D$16,2,FALSE),"-",svc!$B102,"-",svc!I102)</f>
        <v>route-v510-v630-das_middleware_load_test_3</v>
      </c>
      <c r="I103" t="str">
        <f>CONCATENATE(VLOOKUP($D103,kong_np_var!$B$20:$H$26,SUBSTITUTE(I$1,"target_","") + 1,FALSE),":",$E103)</f>
        <v>172.24.151.109:31054</v>
      </c>
      <c r="J103" t="str">
        <f>CONCATENATE(VLOOKUP($D103,kong_np_var!$B$20:$H$26,SUBSTITUTE(J$1,"target_","") + 1,FALSE),":",$E103)</f>
        <v>172.24.151.110:31054</v>
      </c>
      <c r="K103" t="str">
        <f>CONCATENATE(VLOOKUP($D103,kong_np_var!$B$20:$H$26,SUBSTITUTE(K$1,"target_","") + 1,FALSE),":",$E103)</f>
        <v>172.24.151.111:31054</v>
      </c>
      <c r="L103" t="str">
        <f>IF($C103="dmz","",CONCATENATE(VLOOKUP($D103,kong_np_var!$B$20:$H$26,SUBSTITUTE(L$1,"target_","") + 1,FALSE),":",$E103))</f>
        <v/>
      </c>
      <c r="M103" t="str">
        <f>IF($C103="dmz","",CONCATENATE(VLOOKUP($D103,kong_np_var!$B$20:$H$26,SUBSTITUTE(M$1,"target_","") + 1,FALSE),":",$E103))</f>
        <v/>
      </c>
      <c r="N103" t="str">
        <f>IF($C103="dmz","",CONCATENATE(VLOOKUP($D103,kong_np_var!$B$20:$H$26,SUBSTITUTE(N$1,"target_","") + 1,FALSE),":",$E103))</f>
        <v/>
      </c>
      <c r="O103" t="str">
        <f>VLOOKUP($D103,kong_np_var!$B$10:$D$16,3,FALSE)</f>
        <v>172.24.150.71</v>
      </c>
      <c r="P103" t="str">
        <f>CONCATENATE("/",C103,MID(D103,2,15),"/",svc!$I102)</f>
        <v>/dmz630/das_middleware_load_test_3</v>
      </c>
      <c r="Q103" t="str">
        <f>VLOOKUP(C103,kong_np_var!$B$6:$C$7,2,FALSE)</f>
        <v>http://172.24.149.80:8001</v>
      </c>
      <c r="R103" t="str">
        <f>SUBSTITUTE(SUBSTITUTE(kong_np_var!$J$1,"&lt;upstream_name&gt;",$F103),"&lt;kong_api_url&gt;",$Q103)</f>
        <v>curl -X PUT http://172.24.149.80:8001/upstreams/ups-v630-das_middleware_load_test_3</v>
      </c>
      <c r="S103" t="str">
        <f>SUBSTITUTE(SUBSTITUTE(SUBSTITUTE(SUBSTITUTE(kong_np_var!$J$2,"&lt;kong_api_url&gt;",$Q103),"&lt;upstream_name&gt;",$F103),"&lt;port&gt;",$E103),"&lt;service_name&gt;",$G103)</f>
        <v>curl -X PUT http://172.24.149.80:8001/services/svc-v630-das_middleware_load_test_3 -H "Content-Type: application/json" -d '{"protocol":"http","host":"ups-v630-das_middleware_load_test_3","port":31054}'</v>
      </c>
      <c r="T103" t="str">
        <f>SUBSTITUTE(SUBSTITUTE(SUBSTITUTE(SUBSTITUTE(SUBSTITUTE(kong_np_var!$J$3,"&lt;kong_api_url&gt;",$Q103),"&lt;route_name&gt;",$H103),"&lt;service_name&gt;",$G103),"&lt;host&gt;",$O103),"&lt;path&gt;",$P103)</f>
        <v>curl -X PUT http://172.24.149.80:8001/services/svc-v630-das_middleware_load_test_3/routes/route-v510-v630-das_middleware_load_test_3 -H "Content-Type: application/json" -d '{"protocols":["http"],"hosts":["172.24.150.71"],"paths":["/dmz630/das_middleware_load_test_3"]}'</v>
      </c>
      <c r="U103" t="str">
        <f t="shared" si="7"/>
        <v>curl -X POST http://172.24.149.80:8001/upstreams/ups-v630-das_middleware_load_test_3/targets -d 'target=172.24.151.109:31054'</v>
      </c>
      <c r="V103" t="str">
        <f t="shared" si="8"/>
        <v>curl -X POST http://172.24.149.80:8001/upstreams/ups-v630-das_middleware_load_test_3/targets -d 'target=172.24.151.110:31054'</v>
      </c>
      <c r="W103" t="str">
        <f t="shared" si="9"/>
        <v>curl -X POST http://172.24.149.80:8001/upstreams/ups-v630-das_middleware_load_test_3/targets -d 'target=172.24.151.111:31054'</v>
      </c>
      <c r="X103" t="str">
        <f t="shared" si="10"/>
        <v/>
      </c>
      <c r="Y103" t="str">
        <f t="shared" si="11"/>
        <v/>
      </c>
      <c r="Z103" t="str">
        <f t="shared" si="12"/>
        <v/>
      </c>
    </row>
    <row r="104" spans="1:26">
      <c r="A104">
        <f>IF(ISNUMBER(SEARCH("rest_api",svc!R103)),1,0)</f>
        <v>1</v>
      </c>
      <c r="C104" t="str">
        <f>svc!D103</f>
        <v>dmz</v>
      </c>
      <c r="D104" t="str">
        <f>svc!$B103</f>
        <v>v630</v>
      </c>
      <c r="E104">
        <f>svc!G103</f>
        <v>31055</v>
      </c>
      <c r="F104" t="str">
        <f>CONCATENATE("ups-",svc!$B103,"-",svc!I103)</f>
        <v>ups-v630-das_middleware_load_test_4</v>
      </c>
      <c r="G104" t="str">
        <f>CONCATENATE("svc-",svc!$B103,"-",svc!I103)</f>
        <v>svc-v630-das_middleware_load_test_4</v>
      </c>
      <c r="H104" t="str">
        <f>CONCATENATE("route-",VLOOKUP($D104,kong_np_var!$B$10:$D$16,2,FALSE),"-",svc!$B103,"-",svc!I103)</f>
        <v>route-v510-v630-das_middleware_load_test_4</v>
      </c>
      <c r="I104" t="str">
        <f>CONCATENATE(VLOOKUP($D104,kong_np_var!$B$20:$H$26,SUBSTITUTE(I$1,"target_","") + 1,FALSE),":",$E104)</f>
        <v>172.24.151.109:31055</v>
      </c>
      <c r="J104" t="str">
        <f>CONCATENATE(VLOOKUP($D104,kong_np_var!$B$20:$H$26,SUBSTITUTE(J$1,"target_","") + 1,FALSE),":",$E104)</f>
        <v>172.24.151.110:31055</v>
      </c>
      <c r="K104" t="str">
        <f>CONCATENATE(VLOOKUP($D104,kong_np_var!$B$20:$H$26,SUBSTITUTE(K$1,"target_","") + 1,FALSE),":",$E104)</f>
        <v>172.24.151.111:31055</v>
      </c>
      <c r="L104" t="str">
        <f>IF($C104="dmz","",CONCATENATE(VLOOKUP($D104,kong_np_var!$B$20:$H$26,SUBSTITUTE(L$1,"target_","") + 1,FALSE),":",$E104))</f>
        <v/>
      </c>
      <c r="M104" t="str">
        <f>IF($C104="dmz","",CONCATENATE(VLOOKUP($D104,kong_np_var!$B$20:$H$26,SUBSTITUTE(M$1,"target_","") + 1,FALSE),":",$E104))</f>
        <v/>
      </c>
      <c r="N104" t="str">
        <f>IF($C104="dmz","",CONCATENATE(VLOOKUP($D104,kong_np_var!$B$20:$H$26,SUBSTITUTE(N$1,"target_","") + 1,FALSE),":",$E104))</f>
        <v/>
      </c>
      <c r="O104" t="str">
        <f>VLOOKUP($D104,kong_np_var!$B$10:$D$16,3,FALSE)</f>
        <v>172.24.150.71</v>
      </c>
      <c r="P104" t="str">
        <f>CONCATENATE("/",C104,MID(D104,2,15),"/",svc!$I103)</f>
        <v>/dmz630/das_middleware_load_test_4</v>
      </c>
      <c r="Q104" t="str">
        <f>VLOOKUP(C104,kong_np_var!$B$6:$C$7,2,FALSE)</f>
        <v>http://172.24.149.80:8001</v>
      </c>
      <c r="R104" t="str">
        <f>SUBSTITUTE(SUBSTITUTE(kong_np_var!$J$1,"&lt;upstream_name&gt;",$F104),"&lt;kong_api_url&gt;",$Q104)</f>
        <v>curl -X PUT http://172.24.149.80:8001/upstreams/ups-v630-das_middleware_load_test_4</v>
      </c>
      <c r="S104" t="str">
        <f>SUBSTITUTE(SUBSTITUTE(SUBSTITUTE(SUBSTITUTE(kong_np_var!$J$2,"&lt;kong_api_url&gt;",$Q104),"&lt;upstream_name&gt;",$F104),"&lt;port&gt;",$E104),"&lt;service_name&gt;",$G104)</f>
        <v>curl -X PUT http://172.24.149.80:8001/services/svc-v630-das_middleware_load_test_4 -H "Content-Type: application/json" -d '{"protocol":"http","host":"ups-v630-das_middleware_load_test_4","port":31055}'</v>
      </c>
      <c r="T104" t="str">
        <f>SUBSTITUTE(SUBSTITUTE(SUBSTITUTE(SUBSTITUTE(SUBSTITUTE(kong_np_var!$J$3,"&lt;kong_api_url&gt;",$Q104),"&lt;route_name&gt;",$H104),"&lt;service_name&gt;",$G104),"&lt;host&gt;",$O104),"&lt;path&gt;",$P104)</f>
        <v>curl -X PUT http://172.24.149.80:8001/services/svc-v630-das_middleware_load_test_4/routes/route-v510-v630-das_middleware_load_test_4 -H "Content-Type: application/json" -d '{"protocols":["http"],"hosts":["172.24.150.71"],"paths":["/dmz630/das_middleware_load_test_4"]}'</v>
      </c>
      <c r="U104" t="str">
        <f t="shared" si="7"/>
        <v>curl -X POST http://172.24.149.80:8001/upstreams/ups-v630-das_middleware_load_test_4/targets -d 'target=172.24.151.109:31055'</v>
      </c>
      <c r="V104" t="str">
        <f t="shared" si="8"/>
        <v>curl -X POST http://172.24.149.80:8001/upstreams/ups-v630-das_middleware_load_test_4/targets -d 'target=172.24.151.110:31055'</v>
      </c>
      <c r="W104" t="str">
        <f t="shared" si="9"/>
        <v>curl -X POST http://172.24.149.80:8001/upstreams/ups-v630-das_middleware_load_test_4/targets -d 'target=172.24.151.111:31055'</v>
      </c>
      <c r="X104" t="str">
        <f t="shared" si="10"/>
        <v/>
      </c>
      <c r="Y104" t="str">
        <f t="shared" si="11"/>
        <v/>
      </c>
      <c r="Z104" t="str">
        <f t="shared" si="12"/>
        <v/>
      </c>
    </row>
    <row r="105" spans="1:26">
      <c r="A105">
        <f>IF(ISNUMBER(SEARCH("rest_api",svc!R104)),1,0)</f>
        <v>1</v>
      </c>
      <c r="C105" t="str">
        <f>svc!D104</f>
        <v>dmz</v>
      </c>
      <c r="D105" t="str">
        <f>svc!$B104</f>
        <v>v630</v>
      </c>
      <c r="E105">
        <f>svc!G104</f>
        <v>31056</v>
      </c>
      <c r="F105" t="str">
        <f>CONCATENATE("ups-",svc!$B104,"-",svc!I104)</f>
        <v>ups-v630-das_middleware_load_test_5</v>
      </c>
      <c r="G105" t="str">
        <f>CONCATENATE("svc-",svc!$B104,"-",svc!I104)</f>
        <v>svc-v630-das_middleware_load_test_5</v>
      </c>
      <c r="H105" t="str">
        <f>CONCATENATE("route-",VLOOKUP($D105,kong_np_var!$B$10:$D$16,2,FALSE),"-",svc!$B104,"-",svc!I104)</f>
        <v>route-v510-v630-das_middleware_load_test_5</v>
      </c>
      <c r="I105" t="str">
        <f>CONCATENATE(VLOOKUP($D105,kong_np_var!$B$20:$H$26,SUBSTITUTE(I$1,"target_","") + 1,FALSE),":",$E105)</f>
        <v>172.24.151.109:31056</v>
      </c>
      <c r="J105" t="str">
        <f>CONCATENATE(VLOOKUP($D105,kong_np_var!$B$20:$H$26,SUBSTITUTE(J$1,"target_","") + 1,FALSE),":",$E105)</f>
        <v>172.24.151.110:31056</v>
      </c>
      <c r="K105" t="str">
        <f>CONCATENATE(VLOOKUP($D105,kong_np_var!$B$20:$H$26,SUBSTITUTE(K$1,"target_","") + 1,FALSE),":",$E105)</f>
        <v>172.24.151.111:31056</v>
      </c>
      <c r="L105" t="str">
        <f>IF($C105="dmz","",CONCATENATE(VLOOKUP($D105,kong_np_var!$B$20:$H$26,SUBSTITUTE(L$1,"target_","") + 1,FALSE),":",$E105))</f>
        <v/>
      </c>
      <c r="M105" t="str">
        <f>IF($C105="dmz","",CONCATENATE(VLOOKUP($D105,kong_np_var!$B$20:$H$26,SUBSTITUTE(M$1,"target_","") + 1,FALSE),":",$E105))</f>
        <v/>
      </c>
      <c r="N105" t="str">
        <f>IF($C105="dmz","",CONCATENATE(VLOOKUP($D105,kong_np_var!$B$20:$H$26,SUBSTITUTE(N$1,"target_","") + 1,FALSE),":",$E105))</f>
        <v/>
      </c>
      <c r="O105" t="str">
        <f>VLOOKUP($D105,kong_np_var!$B$10:$D$16,3,FALSE)</f>
        <v>172.24.150.71</v>
      </c>
      <c r="P105" t="str">
        <f>CONCATENATE("/",C105,MID(D105,2,15),"/",svc!$I104)</f>
        <v>/dmz630/das_middleware_load_test_5</v>
      </c>
      <c r="Q105" t="str">
        <f>VLOOKUP(C105,kong_np_var!$B$6:$C$7,2,FALSE)</f>
        <v>http://172.24.149.80:8001</v>
      </c>
      <c r="R105" t="str">
        <f>SUBSTITUTE(SUBSTITUTE(kong_np_var!$J$1,"&lt;upstream_name&gt;",$F105),"&lt;kong_api_url&gt;",$Q105)</f>
        <v>curl -X PUT http://172.24.149.80:8001/upstreams/ups-v630-das_middleware_load_test_5</v>
      </c>
      <c r="S105" t="str">
        <f>SUBSTITUTE(SUBSTITUTE(SUBSTITUTE(SUBSTITUTE(kong_np_var!$J$2,"&lt;kong_api_url&gt;",$Q105),"&lt;upstream_name&gt;",$F105),"&lt;port&gt;",$E105),"&lt;service_name&gt;",$G105)</f>
        <v>curl -X PUT http://172.24.149.80:8001/services/svc-v630-das_middleware_load_test_5 -H "Content-Type: application/json" -d '{"protocol":"http","host":"ups-v630-das_middleware_load_test_5","port":31056}'</v>
      </c>
      <c r="T105" t="str">
        <f>SUBSTITUTE(SUBSTITUTE(SUBSTITUTE(SUBSTITUTE(SUBSTITUTE(kong_np_var!$J$3,"&lt;kong_api_url&gt;",$Q105),"&lt;route_name&gt;",$H105),"&lt;service_name&gt;",$G105),"&lt;host&gt;",$O105),"&lt;path&gt;",$P105)</f>
        <v>curl -X PUT http://172.24.149.80:8001/services/svc-v630-das_middleware_load_test_5/routes/route-v510-v630-das_middleware_load_test_5 -H "Content-Type: application/json" -d '{"protocols":["http"],"hosts":["172.24.150.71"],"paths":["/dmz630/das_middleware_load_test_5"]}'</v>
      </c>
      <c r="U105" t="str">
        <f t="shared" si="7"/>
        <v>curl -X POST http://172.24.149.80:8001/upstreams/ups-v630-das_middleware_load_test_5/targets -d 'target=172.24.151.109:31056'</v>
      </c>
      <c r="V105" t="str">
        <f t="shared" si="8"/>
        <v>curl -X POST http://172.24.149.80:8001/upstreams/ups-v630-das_middleware_load_test_5/targets -d 'target=172.24.151.110:31056'</v>
      </c>
      <c r="W105" t="str">
        <f t="shared" si="9"/>
        <v>curl -X POST http://172.24.149.80:8001/upstreams/ups-v630-das_middleware_load_test_5/targets -d 'target=172.24.151.111:31056'</v>
      </c>
      <c r="X105" t="str">
        <f t="shared" si="10"/>
        <v/>
      </c>
      <c r="Y105" t="str">
        <f t="shared" si="11"/>
        <v/>
      </c>
      <c r="Z105" t="str">
        <f t="shared" si="12"/>
        <v/>
      </c>
    </row>
    <row r="106" spans="1:26">
      <c r="A106">
        <f>IF(ISNUMBER(SEARCH("rest_api",svc!R105)),1,0)</f>
        <v>1</v>
      </c>
      <c r="C106" t="str">
        <f>svc!D105</f>
        <v>dmz</v>
      </c>
      <c r="D106" t="str">
        <f>svc!$B105</f>
        <v>v630</v>
      </c>
      <c r="E106">
        <f>svc!G105</f>
        <v>31114</v>
      </c>
      <c r="F106" t="str">
        <f>CONCATENATE("ups-",svc!$B105,"-",svc!I105)</f>
        <v>ups-v630-das_middleware_lrt</v>
      </c>
      <c r="G106" t="str">
        <f>CONCATENATE("svc-",svc!$B105,"-",svc!I105)</f>
        <v>svc-v630-das_middleware_lrt</v>
      </c>
      <c r="H106" t="str">
        <f>CONCATENATE("route-",VLOOKUP($D106,kong_np_var!$B$10:$D$16,2,FALSE),"-",svc!$B105,"-",svc!I105)</f>
        <v>route-v510-v630-das_middleware_lrt</v>
      </c>
      <c r="I106" t="str">
        <f>CONCATENATE(VLOOKUP($D106,kong_np_var!$B$20:$H$26,SUBSTITUTE(I$1,"target_","") + 1,FALSE),":",$E106)</f>
        <v>172.24.151.109:31114</v>
      </c>
      <c r="J106" t="str">
        <f>CONCATENATE(VLOOKUP($D106,kong_np_var!$B$20:$H$26,SUBSTITUTE(J$1,"target_","") + 1,FALSE),":",$E106)</f>
        <v>172.24.151.110:31114</v>
      </c>
      <c r="K106" t="str">
        <f>CONCATENATE(VLOOKUP($D106,kong_np_var!$B$20:$H$26,SUBSTITUTE(K$1,"target_","") + 1,FALSE),":",$E106)</f>
        <v>172.24.151.111:31114</v>
      </c>
      <c r="L106" t="str">
        <f>IF($C106="dmz","",CONCATENATE(VLOOKUP($D106,kong_np_var!$B$20:$H$26,SUBSTITUTE(L$1,"target_","") + 1,FALSE),":",$E106))</f>
        <v/>
      </c>
      <c r="M106" t="str">
        <f>IF($C106="dmz","",CONCATENATE(VLOOKUP($D106,kong_np_var!$B$20:$H$26,SUBSTITUTE(M$1,"target_","") + 1,FALSE),":",$E106))</f>
        <v/>
      </c>
      <c r="N106" t="str">
        <f>IF($C106="dmz","",CONCATENATE(VLOOKUP($D106,kong_np_var!$B$20:$H$26,SUBSTITUTE(N$1,"target_","") + 1,FALSE),":",$E106))</f>
        <v/>
      </c>
      <c r="O106" t="str">
        <f>VLOOKUP($D106,kong_np_var!$B$10:$D$16,3,FALSE)</f>
        <v>172.24.150.71</v>
      </c>
      <c r="P106" t="str">
        <f>CONCATENATE("/",C106,MID(D106,2,15),"/",svc!$I105)</f>
        <v>/dmz630/das_middleware_lrt</v>
      </c>
      <c r="Q106" t="str">
        <f>VLOOKUP(C106,kong_np_var!$B$6:$C$7,2,FALSE)</f>
        <v>http://172.24.149.80:8001</v>
      </c>
      <c r="R106" t="str">
        <f>SUBSTITUTE(SUBSTITUTE(kong_np_var!$J$1,"&lt;upstream_name&gt;",$F106),"&lt;kong_api_url&gt;",$Q106)</f>
        <v>curl -X PUT http://172.24.149.80:8001/upstreams/ups-v630-das_middleware_lrt</v>
      </c>
      <c r="S106" t="str">
        <f>SUBSTITUTE(SUBSTITUTE(SUBSTITUTE(SUBSTITUTE(kong_np_var!$J$2,"&lt;kong_api_url&gt;",$Q106),"&lt;upstream_name&gt;",$F106),"&lt;port&gt;",$E106),"&lt;service_name&gt;",$G106)</f>
        <v>curl -X PUT http://172.24.149.80:8001/services/svc-v630-das_middleware_lrt -H "Content-Type: application/json" -d '{"protocol":"http","host":"ups-v630-das_middleware_lrt","port":31114}'</v>
      </c>
      <c r="T106" t="str">
        <f>SUBSTITUTE(SUBSTITUTE(SUBSTITUTE(SUBSTITUTE(SUBSTITUTE(kong_np_var!$J$3,"&lt;kong_api_url&gt;",$Q106),"&lt;route_name&gt;",$H106),"&lt;service_name&gt;",$G106),"&lt;host&gt;",$O106),"&lt;path&gt;",$P106)</f>
        <v>curl -X PUT http://172.24.149.80:8001/services/svc-v630-das_middleware_lrt/routes/route-v510-v630-das_middleware_lrt -H "Content-Type: application/json" -d '{"protocols":["http"],"hosts":["172.24.150.71"],"paths":["/dmz630/das_middleware_lrt"]}'</v>
      </c>
      <c r="U106" t="str">
        <f t="shared" si="7"/>
        <v>curl -X POST http://172.24.149.80:8001/upstreams/ups-v630-das_middleware_lrt/targets -d 'target=172.24.151.109:31114'</v>
      </c>
      <c r="V106" t="str">
        <f t="shared" si="8"/>
        <v>curl -X POST http://172.24.149.80:8001/upstreams/ups-v630-das_middleware_lrt/targets -d 'target=172.24.151.110:31114'</v>
      </c>
      <c r="W106" t="str">
        <f t="shared" si="9"/>
        <v>curl -X POST http://172.24.149.80:8001/upstreams/ups-v630-das_middleware_lrt/targets -d 'target=172.24.151.111:31114'</v>
      </c>
      <c r="X106" t="str">
        <f t="shared" si="10"/>
        <v/>
      </c>
      <c r="Y106" t="str">
        <f t="shared" si="11"/>
        <v/>
      </c>
      <c r="Z106" t="str">
        <f t="shared" si="12"/>
        <v/>
      </c>
    </row>
    <row r="107" spans="1:26">
      <c r="A107">
        <f>IF(ISNUMBER(SEARCH("rest_api",svc!R106)),1,0)</f>
        <v>1</v>
      </c>
      <c r="C107" t="str">
        <f>svc!D106</f>
        <v>dmz</v>
      </c>
      <c r="D107" t="str">
        <f>svc!$B106</f>
        <v>v630</v>
      </c>
      <c r="E107">
        <f>svc!G106</f>
        <v>31115</v>
      </c>
      <c r="F107" t="str">
        <f>CONCATENATE("ups-",svc!$B106,"-",svc!I106)</f>
        <v>ups-v630-das_middleware_smt</v>
      </c>
      <c r="G107" t="str">
        <f>CONCATENATE("svc-",svc!$B106,"-",svc!I106)</f>
        <v>svc-v630-das_middleware_smt</v>
      </c>
      <c r="H107" t="str">
        <f>CONCATENATE("route-",VLOOKUP($D107,kong_np_var!$B$10:$D$16,2,FALSE),"-",svc!$B106,"-",svc!I106)</f>
        <v>route-v510-v630-das_middleware_smt</v>
      </c>
      <c r="I107" t="str">
        <f>CONCATENATE(VLOOKUP($D107,kong_np_var!$B$20:$H$26,SUBSTITUTE(I$1,"target_","") + 1,FALSE),":",$E107)</f>
        <v>172.24.151.109:31115</v>
      </c>
      <c r="J107" t="str">
        <f>CONCATENATE(VLOOKUP($D107,kong_np_var!$B$20:$H$26,SUBSTITUTE(J$1,"target_","") + 1,FALSE),":",$E107)</f>
        <v>172.24.151.110:31115</v>
      </c>
      <c r="K107" t="str">
        <f>CONCATENATE(VLOOKUP($D107,kong_np_var!$B$20:$H$26,SUBSTITUTE(K$1,"target_","") + 1,FALSE),":",$E107)</f>
        <v>172.24.151.111:31115</v>
      </c>
      <c r="L107" t="str">
        <f>IF($C107="dmz","",CONCATENATE(VLOOKUP($D107,kong_np_var!$B$20:$H$26,SUBSTITUTE(L$1,"target_","") + 1,FALSE),":",$E107))</f>
        <v/>
      </c>
      <c r="M107" t="str">
        <f>IF($C107="dmz","",CONCATENATE(VLOOKUP($D107,kong_np_var!$B$20:$H$26,SUBSTITUTE(M$1,"target_","") + 1,FALSE),":",$E107))</f>
        <v/>
      </c>
      <c r="N107" t="str">
        <f>IF($C107="dmz","",CONCATENATE(VLOOKUP($D107,kong_np_var!$B$20:$H$26,SUBSTITUTE(N$1,"target_","") + 1,FALSE),":",$E107))</f>
        <v/>
      </c>
      <c r="O107" t="str">
        <f>VLOOKUP($D107,kong_np_var!$B$10:$D$16,3,FALSE)</f>
        <v>172.24.150.71</v>
      </c>
      <c r="P107" t="str">
        <f>CONCATENATE("/",C107,MID(D107,2,15),"/",svc!$I106)</f>
        <v>/dmz630/das_middleware_smt</v>
      </c>
      <c r="Q107" t="str">
        <f>VLOOKUP(C107,kong_np_var!$B$6:$C$7,2,FALSE)</f>
        <v>http://172.24.149.80:8001</v>
      </c>
      <c r="R107" t="str">
        <f>SUBSTITUTE(SUBSTITUTE(kong_np_var!$J$1,"&lt;upstream_name&gt;",$F107),"&lt;kong_api_url&gt;",$Q107)</f>
        <v>curl -X PUT http://172.24.149.80:8001/upstreams/ups-v630-das_middleware_smt</v>
      </c>
      <c r="S107" t="str">
        <f>SUBSTITUTE(SUBSTITUTE(SUBSTITUTE(SUBSTITUTE(kong_np_var!$J$2,"&lt;kong_api_url&gt;",$Q107),"&lt;upstream_name&gt;",$F107),"&lt;port&gt;",$E107),"&lt;service_name&gt;",$G107)</f>
        <v>curl -X PUT http://172.24.149.80:8001/services/svc-v630-das_middleware_smt -H "Content-Type: application/json" -d '{"protocol":"http","host":"ups-v630-das_middleware_smt","port":31115}'</v>
      </c>
      <c r="T107" t="str">
        <f>SUBSTITUTE(SUBSTITUTE(SUBSTITUTE(SUBSTITUTE(SUBSTITUTE(kong_np_var!$J$3,"&lt;kong_api_url&gt;",$Q107),"&lt;route_name&gt;",$H107),"&lt;service_name&gt;",$G107),"&lt;host&gt;",$O107),"&lt;path&gt;",$P107)</f>
        <v>curl -X PUT http://172.24.149.80:8001/services/svc-v630-das_middleware_smt/routes/route-v510-v630-das_middleware_smt -H "Content-Type: application/json" -d '{"protocols":["http"],"hosts":["172.24.150.71"],"paths":["/dmz630/das_middleware_smt"]}'</v>
      </c>
      <c r="U107" t="str">
        <f t="shared" si="7"/>
        <v>curl -X POST http://172.24.149.80:8001/upstreams/ups-v630-das_middleware_smt/targets -d 'target=172.24.151.109:31115'</v>
      </c>
      <c r="V107" t="str">
        <f t="shared" si="8"/>
        <v>curl -X POST http://172.24.149.80:8001/upstreams/ups-v630-das_middleware_smt/targets -d 'target=172.24.151.110:31115'</v>
      </c>
      <c r="W107" t="str">
        <f t="shared" si="9"/>
        <v>curl -X POST http://172.24.149.80:8001/upstreams/ups-v630-das_middleware_smt/targets -d 'target=172.24.151.111:31115'</v>
      </c>
      <c r="X107" t="str">
        <f t="shared" si="10"/>
        <v/>
      </c>
      <c r="Y107" t="str">
        <f t="shared" si="11"/>
        <v/>
      </c>
      <c r="Z107" t="str">
        <f t="shared" si="12"/>
        <v/>
      </c>
    </row>
    <row r="108" spans="1:26">
      <c r="A108">
        <f>IF(ISNUMBER(SEARCH("rest_api",svc!R107)),1,0)</f>
        <v>1</v>
      </c>
      <c r="C108" t="str">
        <f>svc!D107</f>
        <v>dmz</v>
      </c>
      <c r="D108" t="str">
        <f>svc!$B107</f>
        <v>v630</v>
      </c>
      <c r="E108">
        <f>svc!G107</f>
        <v>31124</v>
      </c>
      <c r="F108" t="str">
        <f>CONCATENATE("ups-",svc!$B107,"-",svc!I107)</f>
        <v>ups-v630-das_middleware_lrt_video</v>
      </c>
      <c r="G108" t="str">
        <f>CONCATENATE("svc-",svc!$B107,"-",svc!I107)</f>
        <v>svc-v630-das_middleware_lrt_video</v>
      </c>
      <c r="H108" t="str">
        <f>CONCATENATE("route-",VLOOKUP($D108,kong_np_var!$B$10:$D$16,2,FALSE),"-",svc!$B107,"-",svc!I107)</f>
        <v>route-v510-v630-das_middleware_lrt_video</v>
      </c>
      <c r="I108" t="str">
        <f>CONCATENATE(VLOOKUP($D108,kong_np_var!$B$20:$H$26,SUBSTITUTE(I$1,"target_","") + 1,FALSE),":",$E108)</f>
        <v>172.24.151.109:31124</v>
      </c>
      <c r="J108" t="str">
        <f>CONCATENATE(VLOOKUP($D108,kong_np_var!$B$20:$H$26,SUBSTITUTE(J$1,"target_","") + 1,FALSE),":",$E108)</f>
        <v>172.24.151.110:31124</v>
      </c>
      <c r="K108" t="str">
        <f>CONCATENATE(VLOOKUP($D108,kong_np_var!$B$20:$H$26,SUBSTITUTE(K$1,"target_","") + 1,FALSE),":",$E108)</f>
        <v>172.24.151.111:31124</v>
      </c>
      <c r="L108" t="str">
        <f>IF($C108="dmz","",CONCATENATE(VLOOKUP($D108,kong_np_var!$B$20:$H$26,SUBSTITUTE(L$1,"target_","") + 1,FALSE),":",$E108))</f>
        <v/>
      </c>
      <c r="M108" t="str">
        <f>IF($C108="dmz","",CONCATENATE(VLOOKUP($D108,kong_np_var!$B$20:$H$26,SUBSTITUTE(M$1,"target_","") + 1,FALSE),":",$E108))</f>
        <v/>
      </c>
      <c r="N108" t="str">
        <f>IF($C108="dmz","",CONCATENATE(VLOOKUP($D108,kong_np_var!$B$20:$H$26,SUBSTITUTE(N$1,"target_","") + 1,FALSE),":",$E108))</f>
        <v/>
      </c>
      <c r="O108" t="str">
        <f>VLOOKUP($D108,kong_np_var!$B$10:$D$16,3,FALSE)</f>
        <v>172.24.150.71</v>
      </c>
      <c r="P108" t="str">
        <f>CONCATENATE("/",C108,MID(D108,2,15),"/",svc!$I107)</f>
        <v>/dmz630/das_middleware_lrt_video</v>
      </c>
      <c r="Q108" t="str">
        <f>VLOOKUP(C108,kong_np_var!$B$6:$C$7,2,FALSE)</f>
        <v>http://172.24.149.80:8001</v>
      </c>
      <c r="R108" t="str">
        <f>SUBSTITUTE(SUBSTITUTE(kong_np_var!$J$1,"&lt;upstream_name&gt;",$F108),"&lt;kong_api_url&gt;",$Q108)</f>
        <v>curl -X PUT http://172.24.149.80:8001/upstreams/ups-v630-das_middleware_lrt_video</v>
      </c>
      <c r="S108" t="str">
        <f>SUBSTITUTE(SUBSTITUTE(SUBSTITUTE(SUBSTITUTE(kong_np_var!$J$2,"&lt;kong_api_url&gt;",$Q108),"&lt;upstream_name&gt;",$F108),"&lt;port&gt;",$E108),"&lt;service_name&gt;",$G108)</f>
        <v>curl -X PUT http://172.24.149.80:8001/services/svc-v630-das_middleware_lrt_video -H "Content-Type: application/json" -d '{"protocol":"http","host":"ups-v630-das_middleware_lrt_video","port":31124}'</v>
      </c>
      <c r="T108" t="str">
        <f>SUBSTITUTE(SUBSTITUTE(SUBSTITUTE(SUBSTITUTE(SUBSTITUTE(kong_np_var!$J$3,"&lt;kong_api_url&gt;",$Q108),"&lt;route_name&gt;",$H108),"&lt;service_name&gt;",$G108),"&lt;host&gt;",$O108),"&lt;path&gt;",$P108)</f>
        <v>curl -X PUT http://172.24.149.80:8001/services/svc-v630-das_middleware_lrt_video/routes/route-v510-v630-das_middleware_lrt_video -H "Content-Type: application/json" -d '{"protocols":["http"],"hosts":["172.24.150.71"],"paths":["/dmz630/das_middleware_lrt_video"]}'</v>
      </c>
      <c r="U108" t="str">
        <f t="shared" si="7"/>
        <v>curl -X POST http://172.24.149.80:8001/upstreams/ups-v630-das_middleware_lrt_video/targets -d 'target=172.24.151.109:31124'</v>
      </c>
      <c r="V108" t="str">
        <f t="shared" si="8"/>
        <v>curl -X POST http://172.24.149.80:8001/upstreams/ups-v630-das_middleware_lrt_video/targets -d 'target=172.24.151.110:31124'</v>
      </c>
      <c r="W108" t="str">
        <f t="shared" si="9"/>
        <v>curl -X POST http://172.24.149.80:8001/upstreams/ups-v630-das_middleware_lrt_video/targets -d 'target=172.24.151.111:31124'</v>
      </c>
      <c r="X108" t="str">
        <f t="shared" si="10"/>
        <v/>
      </c>
      <c r="Y108" t="str">
        <f t="shared" si="11"/>
        <v/>
      </c>
      <c r="Z108" t="str">
        <f t="shared" si="12"/>
        <v/>
      </c>
    </row>
    <row r="109" spans="1:26">
      <c r="A109">
        <f>IF(ISNUMBER(SEARCH("rest_api",svc!R108)),1,0)</f>
        <v>1</v>
      </c>
      <c r="C109" t="str">
        <f>svc!D108</f>
        <v>dmz</v>
      </c>
      <c r="D109" t="str">
        <f>svc!$B108</f>
        <v>v630</v>
      </c>
      <c r="E109">
        <f>svc!G108</f>
        <v>31125</v>
      </c>
      <c r="F109" t="str">
        <f>CONCATENATE("ups-",svc!$B108,"-",svc!I108)</f>
        <v>ups-v630-das_middleware_smt_video</v>
      </c>
      <c r="G109" t="str">
        <f>CONCATENATE("svc-",svc!$B108,"-",svc!I108)</f>
        <v>svc-v630-das_middleware_smt_video</v>
      </c>
      <c r="H109" t="str">
        <f>CONCATENATE("route-",VLOOKUP($D109,kong_np_var!$B$10:$D$16,2,FALSE),"-",svc!$B108,"-",svc!I108)</f>
        <v>route-v510-v630-das_middleware_smt_video</v>
      </c>
      <c r="I109" t="str">
        <f>CONCATENATE(VLOOKUP($D109,kong_np_var!$B$20:$H$26,SUBSTITUTE(I$1,"target_","") + 1,FALSE),":",$E109)</f>
        <v>172.24.151.109:31125</v>
      </c>
      <c r="J109" t="str">
        <f>CONCATENATE(VLOOKUP($D109,kong_np_var!$B$20:$H$26,SUBSTITUTE(J$1,"target_","") + 1,FALSE),":",$E109)</f>
        <v>172.24.151.110:31125</v>
      </c>
      <c r="K109" t="str">
        <f>CONCATENATE(VLOOKUP($D109,kong_np_var!$B$20:$H$26,SUBSTITUTE(K$1,"target_","") + 1,FALSE),":",$E109)</f>
        <v>172.24.151.111:31125</v>
      </c>
      <c r="L109" t="str">
        <f>IF($C109="dmz","",CONCATENATE(VLOOKUP($D109,kong_np_var!$B$20:$H$26,SUBSTITUTE(L$1,"target_","") + 1,FALSE),":",$E109))</f>
        <v/>
      </c>
      <c r="M109" t="str">
        <f>IF($C109="dmz","",CONCATENATE(VLOOKUP($D109,kong_np_var!$B$20:$H$26,SUBSTITUTE(M$1,"target_","") + 1,FALSE),":",$E109))</f>
        <v/>
      </c>
      <c r="N109" t="str">
        <f>IF($C109="dmz","",CONCATENATE(VLOOKUP($D109,kong_np_var!$B$20:$H$26,SUBSTITUTE(N$1,"target_","") + 1,FALSE),":",$E109))</f>
        <v/>
      </c>
      <c r="O109" t="str">
        <f>VLOOKUP($D109,kong_np_var!$B$10:$D$16,3,FALSE)</f>
        <v>172.24.150.71</v>
      </c>
      <c r="P109" t="str">
        <f>CONCATENATE("/",C109,MID(D109,2,15),"/",svc!$I108)</f>
        <v>/dmz630/das_middleware_smt_video</v>
      </c>
      <c r="Q109" t="str">
        <f>VLOOKUP(C109,kong_np_var!$B$6:$C$7,2,FALSE)</f>
        <v>http://172.24.149.80:8001</v>
      </c>
      <c r="R109" t="str">
        <f>SUBSTITUTE(SUBSTITUTE(kong_np_var!$J$1,"&lt;upstream_name&gt;",$F109),"&lt;kong_api_url&gt;",$Q109)</f>
        <v>curl -X PUT http://172.24.149.80:8001/upstreams/ups-v630-das_middleware_smt_video</v>
      </c>
      <c r="S109" t="str">
        <f>SUBSTITUTE(SUBSTITUTE(SUBSTITUTE(SUBSTITUTE(kong_np_var!$J$2,"&lt;kong_api_url&gt;",$Q109),"&lt;upstream_name&gt;",$F109),"&lt;port&gt;",$E109),"&lt;service_name&gt;",$G109)</f>
        <v>curl -X PUT http://172.24.149.80:8001/services/svc-v630-das_middleware_smt_video -H "Content-Type: application/json" -d '{"protocol":"http","host":"ups-v630-das_middleware_smt_video","port":31125}'</v>
      </c>
      <c r="T109" t="str">
        <f>SUBSTITUTE(SUBSTITUTE(SUBSTITUTE(SUBSTITUTE(SUBSTITUTE(kong_np_var!$J$3,"&lt;kong_api_url&gt;",$Q109),"&lt;route_name&gt;",$H109),"&lt;service_name&gt;",$G109),"&lt;host&gt;",$O109),"&lt;path&gt;",$P109)</f>
        <v>curl -X PUT http://172.24.149.80:8001/services/svc-v630-das_middleware_smt_video/routes/route-v510-v630-das_middleware_smt_video -H "Content-Type: application/json" -d '{"protocols":["http"],"hosts":["172.24.150.71"],"paths":["/dmz630/das_middleware_smt_video"]}'</v>
      </c>
      <c r="U109" t="str">
        <f t="shared" si="7"/>
        <v>curl -X POST http://172.24.149.80:8001/upstreams/ups-v630-das_middleware_smt_video/targets -d 'target=172.24.151.109:31125'</v>
      </c>
      <c r="V109" t="str">
        <f t="shared" si="8"/>
        <v>curl -X POST http://172.24.149.80:8001/upstreams/ups-v630-das_middleware_smt_video/targets -d 'target=172.24.151.110:31125'</v>
      </c>
      <c r="W109" t="str">
        <f t="shared" si="9"/>
        <v>curl -X POST http://172.24.149.80:8001/upstreams/ups-v630-das_middleware_smt_video/targets -d 'target=172.24.151.111:31125'</v>
      </c>
      <c r="X109" t="str">
        <f t="shared" si="10"/>
        <v/>
      </c>
      <c r="Y109" t="str">
        <f t="shared" si="11"/>
        <v/>
      </c>
      <c r="Z109" t="str">
        <f t="shared" si="12"/>
        <v/>
      </c>
    </row>
    <row r="110" spans="1:26">
      <c r="A110">
        <f>IF(ISNUMBER(SEARCH("rest_api",svc!R109)),1,0)</f>
        <v>1</v>
      </c>
      <c r="C110" t="str">
        <f>svc!D109</f>
        <v>dmz</v>
      </c>
      <c r="D110" t="str">
        <f>svc!$B109</f>
        <v>v630</v>
      </c>
      <c r="E110">
        <f>svc!G109</f>
        <v>31129</v>
      </c>
      <c r="F110" t="str">
        <f>CONCATENATE("ups-",svc!$B109,"-",svc!I109)</f>
        <v>ups-v630-das_middleware_video</v>
      </c>
      <c r="G110" t="str">
        <f>CONCATENATE("svc-",svc!$B109,"-",svc!I109)</f>
        <v>svc-v630-das_middleware_video</v>
      </c>
      <c r="H110" t="str">
        <f>CONCATENATE("route-",VLOOKUP($D110,kong_np_var!$B$10:$D$16,2,FALSE),"-",svc!$B109,"-",svc!I109)</f>
        <v>route-v510-v630-das_middleware_video</v>
      </c>
      <c r="I110" t="str">
        <f>CONCATENATE(VLOOKUP($D110,kong_np_var!$B$20:$H$26,SUBSTITUTE(I$1,"target_","") + 1,FALSE),":",$E110)</f>
        <v>172.24.151.109:31129</v>
      </c>
      <c r="J110" t="str">
        <f>CONCATENATE(VLOOKUP($D110,kong_np_var!$B$20:$H$26,SUBSTITUTE(J$1,"target_","") + 1,FALSE),":",$E110)</f>
        <v>172.24.151.110:31129</v>
      </c>
      <c r="K110" t="str">
        <f>CONCATENATE(VLOOKUP($D110,kong_np_var!$B$20:$H$26,SUBSTITUTE(K$1,"target_","") + 1,FALSE),":",$E110)</f>
        <v>172.24.151.111:31129</v>
      </c>
      <c r="L110" t="str">
        <f>IF($C110="dmz","",CONCATENATE(VLOOKUP($D110,kong_np_var!$B$20:$H$26,SUBSTITUTE(L$1,"target_","") + 1,FALSE),":",$E110))</f>
        <v/>
      </c>
      <c r="M110" t="str">
        <f>IF($C110="dmz","",CONCATENATE(VLOOKUP($D110,kong_np_var!$B$20:$H$26,SUBSTITUTE(M$1,"target_","") + 1,FALSE),":",$E110))</f>
        <v/>
      </c>
      <c r="N110" t="str">
        <f>IF($C110="dmz","",CONCATENATE(VLOOKUP($D110,kong_np_var!$B$20:$H$26,SUBSTITUTE(N$1,"target_","") + 1,FALSE),":",$E110))</f>
        <v/>
      </c>
      <c r="O110" t="str">
        <f>VLOOKUP($D110,kong_np_var!$B$10:$D$16,3,FALSE)</f>
        <v>172.24.150.71</v>
      </c>
      <c r="P110" t="str">
        <f>CONCATENATE("/",C110,MID(D110,2,15),"/",svc!$I109)</f>
        <v>/dmz630/das_middleware_video</v>
      </c>
      <c r="Q110" t="str">
        <f>VLOOKUP(C110,kong_np_var!$B$6:$C$7,2,FALSE)</f>
        <v>http://172.24.149.80:8001</v>
      </c>
      <c r="R110" t="str">
        <f>SUBSTITUTE(SUBSTITUTE(kong_np_var!$J$1,"&lt;upstream_name&gt;",$F110),"&lt;kong_api_url&gt;",$Q110)</f>
        <v>curl -X PUT http://172.24.149.80:8001/upstreams/ups-v630-das_middleware_video</v>
      </c>
      <c r="S110" t="str">
        <f>SUBSTITUTE(SUBSTITUTE(SUBSTITUTE(SUBSTITUTE(kong_np_var!$J$2,"&lt;kong_api_url&gt;",$Q110),"&lt;upstream_name&gt;",$F110),"&lt;port&gt;",$E110),"&lt;service_name&gt;",$G110)</f>
        <v>curl -X PUT http://172.24.149.80:8001/services/svc-v630-das_middleware_video -H "Content-Type: application/json" -d '{"protocol":"http","host":"ups-v630-das_middleware_video","port":31129}'</v>
      </c>
      <c r="T110" t="str">
        <f>SUBSTITUTE(SUBSTITUTE(SUBSTITUTE(SUBSTITUTE(SUBSTITUTE(kong_np_var!$J$3,"&lt;kong_api_url&gt;",$Q110),"&lt;route_name&gt;",$H110),"&lt;service_name&gt;",$G110),"&lt;host&gt;",$O110),"&lt;path&gt;",$P110)</f>
        <v>curl -X PUT http://172.24.149.80:8001/services/svc-v630-das_middleware_video/routes/route-v510-v630-das_middleware_video -H "Content-Type: application/json" -d '{"protocols":["http"],"hosts":["172.24.150.71"],"paths":["/dmz630/das_middleware_video"]}'</v>
      </c>
      <c r="U110" t="str">
        <f t="shared" ref="U110" si="13">IF(I110="","","curl -X POST " &amp; $Q110 &amp; "/upstreams/"&amp; $F110 &amp;"/targets -d 'target="&amp; I110 &amp; "'")</f>
        <v>curl -X POST http://172.24.149.80:8001/upstreams/ups-v630-das_middleware_video/targets -d 'target=172.24.151.109:31129'</v>
      </c>
      <c r="V110" t="str">
        <f t="shared" ref="V110" si="14">IF(J110="","","curl -X POST " &amp; $Q110 &amp; "/upstreams/"&amp; $F110 &amp;"/targets -d 'target="&amp; J110 &amp; "'")</f>
        <v>curl -X POST http://172.24.149.80:8001/upstreams/ups-v630-das_middleware_video/targets -d 'target=172.24.151.110:31129'</v>
      </c>
      <c r="W110" t="str">
        <f t="shared" ref="W110" si="15">IF(K110="","","curl -X POST " &amp; $Q110 &amp; "/upstreams/"&amp; $F110 &amp;"/targets -d 'target="&amp; K110 &amp; "'")</f>
        <v>curl -X POST http://172.24.149.80:8001/upstreams/ups-v630-das_middleware_video/targets -d 'target=172.24.151.111:31129'</v>
      </c>
      <c r="X110" t="str">
        <f t="shared" ref="X110" si="16">IF(L110="","","curl -X POST " &amp; $Q110 &amp; "/upstreams/"&amp; $F110 &amp;"/targets -d 'target="&amp; L110 &amp; "'")</f>
        <v/>
      </c>
      <c r="Y110" t="str">
        <f t="shared" ref="Y110" si="17">IF(M110="","","curl -X POST " &amp; $Q110 &amp; "/upstreams/"&amp; $F110 &amp;"/targets -d 'target="&amp; M110 &amp; "'")</f>
        <v/>
      </c>
      <c r="Z110" t="str">
        <f t="shared" ref="Z110" si="18">IF(N110="","","curl -X POST " &amp; $Q110 &amp; "/upstreams/"&amp; $F110 &amp;"/targets -d 'target="&amp; N110 &amp; "'")</f>
        <v/>
      </c>
    </row>
    <row r="111" spans="1:26">
      <c r="A111">
        <f>IF(ISNUMBER(SEARCH("rest_api",svc!R110)),1,0)</f>
        <v>1</v>
      </c>
      <c r="C111" t="str">
        <f>svc!D110</f>
        <v>trust</v>
      </c>
      <c r="D111" t="str">
        <f>svc!$B110</f>
        <v>v910</v>
      </c>
      <c r="E111">
        <f>svc!G110</f>
        <v>31313</v>
      </c>
      <c r="F111" t="str">
        <f>CONCATENATE("ups-",svc!$B110,"-",svc!I110)</f>
        <v>ups-v910-ccs_api</v>
      </c>
      <c r="G111" t="str">
        <f>CONCATENATE("svc-",svc!$B110,"-",svc!I110)</f>
        <v>svc-v910-ccs_api</v>
      </c>
      <c r="H111" t="str">
        <f>CONCATENATE("route-",VLOOKUP($D111,kong_np_var!$B$10:$D$16,2,FALSE),"-",svc!$B110,"-",svc!I110)</f>
        <v>route-v904-v910-ccs_api</v>
      </c>
      <c r="I111" t="str">
        <f>CONCATENATE(VLOOKUP($D111,kong_np_var!$B$20:$H$26,SUBSTITUTE(I$1,"target_","") + 1,FALSE),":",$E111)</f>
        <v>172.24.151.3:31313</v>
      </c>
      <c r="J111" t="str">
        <f>CONCATENATE(VLOOKUP($D111,kong_np_var!$B$20:$H$26,SUBSTITUTE(J$1,"target_","") + 1,FALSE),":",$E111)</f>
        <v>172.24.151.4:31313</v>
      </c>
      <c r="K111" t="str">
        <f>CONCATENATE(VLOOKUP($D111,kong_np_var!$B$20:$H$26,SUBSTITUTE(K$1,"target_","") + 1,FALSE),":",$E111)</f>
        <v>172.24.151.5:31313</v>
      </c>
      <c r="L111" t="str">
        <f>IF($C111="dmz","",CONCATENATE(VLOOKUP($D111,kong_np_var!$B$20:$H$26,SUBSTITUTE(L$1,"target_","") + 1,FALSE),":",$E111))</f>
        <v>172.24.151.6:31313</v>
      </c>
      <c r="M111" t="str">
        <f>IF($C111="dmz","",CONCATENATE(VLOOKUP($D111,kong_np_var!$B$20:$H$26,SUBSTITUTE(M$1,"target_","") + 1,FALSE),":",$E111))</f>
        <v>172.24.151.7:31313</v>
      </c>
      <c r="N111" t="str">
        <f>IF($C111="dmz","",CONCATENATE(VLOOKUP($D111,kong_np_var!$B$20:$H$26,SUBSTITUTE(N$1,"target_","") + 1,FALSE),":",$E111))</f>
        <v>172.24.151.8:31313</v>
      </c>
      <c r="O111" t="str">
        <f>VLOOKUP($D111,kong_np_var!$B$10:$D$16,3,FALSE)</f>
        <v>172.24.149.167</v>
      </c>
      <c r="P111" t="str">
        <f>CONCATENATE("/",C111,MID(D111,2,15),"/",svc!$I110)</f>
        <v>/trust910/ccs_api</v>
      </c>
      <c r="Q111" t="str">
        <f>VLOOKUP(C111,kong_np_var!$B$6:$C$7,2,FALSE)</f>
        <v>http://172.24.148.160:8001</v>
      </c>
      <c r="R111" t="str">
        <f>SUBSTITUTE(SUBSTITUTE(kong_np_var!$J$1,"&lt;upstream_name&gt;",$F111),"&lt;kong_api_url&gt;",$Q111)</f>
        <v>curl -X PUT http://172.24.148.160:8001/upstreams/ups-v910-ccs_api</v>
      </c>
      <c r="S111" t="str">
        <f>SUBSTITUTE(SUBSTITUTE(SUBSTITUTE(SUBSTITUTE(kong_np_var!$J$2,"&lt;kong_api_url&gt;",$Q111),"&lt;upstream_name&gt;",$F111),"&lt;port&gt;",$E111),"&lt;service_name&gt;",$G111)</f>
        <v>curl -X PUT http://172.24.148.160:8001/services/svc-v910-ccs_api -H "Content-Type: application/json" -d '{"protocol":"http","host":"ups-v910-ccs_api","port":31313}'</v>
      </c>
      <c r="T111" t="str">
        <f>SUBSTITUTE(SUBSTITUTE(SUBSTITUTE(SUBSTITUTE(SUBSTITUTE(kong_np_var!$J$3,"&lt;kong_api_url&gt;",$Q111),"&lt;route_name&gt;",$H111),"&lt;service_name&gt;",$G111),"&lt;host&gt;",$O111),"&lt;path&gt;",$P111)</f>
        <v>curl -X PUT http://172.24.148.160:8001/services/svc-v910-ccs_api/routes/route-v904-v910-ccs_api -H "Content-Type: application/json" -d '{"protocols":["http"],"hosts":["172.24.149.167"],"paths":["/trust910/ccs_api"]}'</v>
      </c>
      <c r="U111" t="str">
        <f t="shared" ref="U111" si="19">IF(I111="","","curl -X POST " &amp; $Q111 &amp; "/upstreams/"&amp; $F111 &amp;"/targets -d 'target="&amp; I111 &amp; "'")</f>
        <v>curl -X POST http://172.24.148.160:8001/upstreams/ups-v910-ccs_api/targets -d 'target=172.24.151.3:31313'</v>
      </c>
      <c r="V111" t="str">
        <f t="shared" ref="V111" si="20">IF(J111="","","curl -X POST " &amp; $Q111 &amp; "/upstreams/"&amp; $F111 &amp;"/targets -d 'target="&amp; J111 &amp; "'")</f>
        <v>curl -X POST http://172.24.148.160:8001/upstreams/ups-v910-ccs_api/targets -d 'target=172.24.151.4:31313'</v>
      </c>
      <c r="W111" t="str">
        <f t="shared" ref="W111" si="21">IF(K111="","","curl -X POST " &amp; $Q111 &amp; "/upstreams/"&amp; $F111 &amp;"/targets -d 'target="&amp; K111 &amp; "'")</f>
        <v>curl -X POST http://172.24.148.160:8001/upstreams/ups-v910-ccs_api/targets -d 'target=172.24.151.5:31313'</v>
      </c>
      <c r="X111" t="str">
        <f t="shared" ref="X111" si="22">IF(L111="","","curl -X POST " &amp; $Q111 &amp; "/upstreams/"&amp; $F111 &amp;"/targets -d 'target="&amp; L111 &amp; "'")</f>
        <v>curl -X POST http://172.24.148.160:8001/upstreams/ups-v910-ccs_api/targets -d 'target=172.24.151.6:31313'</v>
      </c>
      <c r="Y111" t="str">
        <f t="shared" ref="Y111" si="23">IF(M111="","","curl -X POST " &amp; $Q111 &amp; "/upstreams/"&amp; $F111 &amp;"/targets -d 'target="&amp; M111 &amp; "'")</f>
        <v>curl -X POST http://172.24.148.160:8001/upstreams/ups-v910-ccs_api/targets -d 'target=172.24.151.7:31313'</v>
      </c>
      <c r="Z111" t="str">
        <f t="shared" ref="Z111" si="24">IF(N111="","","curl -X POST " &amp; $Q111 &amp; "/upstreams/"&amp; $F111 &amp;"/targets -d 'target="&amp; N111 &amp; "'")</f>
        <v>curl -X POST http://172.24.148.160:8001/upstreams/ups-v910-ccs_api/targets -d 'target=172.24.151.8:31313'</v>
      </c>
    </row>
    <row r="112" spans="1:26">
      <c r="A112">
        <f>IF(ISNUMBER(SEARCH("rest_api",svc!R111)),1,0)</f>
        <v>1</v>
      </c>
      <c r="C112" t="str">
        <f>svc!D111</f>
        <v>dmz</v>
      </c>
      <c r="D112" t="str">
        <f>svc!$B111</f>
        <v>v630</v>
      </c>
      <c r="E112">
        <f>svc!G111</f>
        <v>31112</v>
      </c>
      <c r="F112" t="str">
        <f>CONCATENATE("ups-",svc!$B111,"-",svc!I111)</f>
        <v>ups-v630-das_middleware_cht</v>
      </c>
      <c r="G112" t="str">
        <f>CONCATENATE("svc-",svc!$B111,"-",svc!I111)</f>
        <v>svc-v630-das_middleware_cht</v>
      </c>
      <c r="H112" t="str">
        <f>CONCATENATE("route-",VLOOKUP($D112,kong_np_var!$B$10:$D$16,2,FALSE),"-",svc!$B111,"-",svc!I111)</f>
        <v>route-v510-v630-das_middleware_cht</v>
      </c>
      <c r="I112" t="str">
        <f>CONCATENATE(VLOOKUP($D112,kong_np_var!$B$20:$H$26,SUBSTITUTE(I$1,"target_","") + 1,FALSE),":",$E112)</f>
        <v>172.24.151.109:31112</v>
      </c>
      <c r="J112" t="str">
        <f>CONCATENATE(VLOOKUP($D112,kong_np_var!$B$20:$H$26,SUBSTITUTE(J$1,"target_","") + 1,FALSE),":",$E112)</f>
        <v>172.24.151.110:31112</v>
      </c>
      <c r="K112" t="str">
        <f>CONCATENATE(VLOOKUP($D112,kong_np_var!$B$20:$H$26,SUBSTITUTE(K$1,"target_","") + 1,FALSE),":",$E112)</f>
        <v>172.24.151.111:31112</v>
      </c>
      <c r="L112" t="str">
        <f>IF($C112="dmz","",CONCATENATE(VLOOKUP($D112,kong_np_var!$B$20:$H$26,SUBSTITUTE(L$1,"target_","") + 1,FALSE),":",$E112))</f>
        <v/>
      </c>
      <c r="M112" t="str">
        <f>IF($C112="dmz","",CONCATENATE(VLOOKUP($D112,kong_np_var!$B$20:$H$26,SUBSTITUTE(M$1,"target_","") + 1,FALSE),":",$E112))</f>
        <v/>
      </c>
      <c r="N112" t="str">
        <f>IF($C112="dmz","",CONCATENATE(VLOOKUP($D112,kong_np_var!$B$20:$H$26,SUBSTITUTE(N$1,"target_","") + 1,FALSE),":",$E112))</f>
        <v/>
      </c>
      <c r="O112" t="str">
        <f>VLOOKUP($D112,kong_np_var!$B$10:$D$16,3,FALSE)</f>
        <v>172.24.150.71</v>
      </c>
      <c r="P112" t="str">
        <f>CONCATENATE("/",C112,MID(D112,2,15),"/",svc!$I111)</f>
        <v>/dmz630/das_middleware_cht</v>
      </c>
      <c r="Q112" t="str">
        <f>VLOOKUP(C112,kong_np_var!$B$6:$C$7,2,FALSE)</f>
        <v>http://172.24.149.80:8001</v>
      </c>
      <c r="R112" t="str">
        <f>SUBSTITUTE(SUBSTITUTE(kong_np_var!$J$1,"&lt;upstream_name&gt;",$F112),"&lt;kong_api_url&gt;",$Q112)</f>
        <v>curl -X PUT http://172.24.149.80:8001/upstreams/ups-v630-das_middleware_cht</v>
      </c>
      <c r="S112" t="str">
        <f>SUBSTITUTE(SUBSTITUTE(SUBSTITUTE(SUBSTITUTE(kong_np_var!$J$2,"&lt;kong_api_url&gt;",$Q112),"&lt;upstream_name&gt;",$F112),"&lt;port&gt;",$E112),"&lt;service_name&gt;",$G112)</f>
        <v>curl -X PUT http://172.24.149.80:8001/services/svc-v630-das_middleware_cht -H "Content-Type: application/json" -d '{"protocol":"http","host":"ups-v630-das_middleware_cht","port":31112}'</v>
      </c>
      <c r="T112" t="str">
        <f>SUBSTITUTE(SUBSTITUTE(SUBSTITUTE(SUBSTITUTE(SUBSTITUTE(kong_np_var!$J$3,"&lt;kong_api_url&gt;",$Q112),"&lt;route_name&gt;",$H112),"&lt;service_name&gt;",$G112),"&lt;host&gt;",$O112),"&lt;path&gt;",$P112)</f>
        <v>curl -X PUT http://172.24.149.80:8001/services/svc-v630-das_middleware_cht/routes/route-v510-v630-das_middleware_cht -H "Content-Type: application/json" -d '{"protocols":["http"],"hosts":["172.24.150.71"],"paths":["/dmz630/das_middleware_cht"]}'</v>
      </c>
      <c r="U112" t="str">
        <f t="shared" ref="U112:U118" si="25">IF(I112="","","curl -X POST " &amp; $Q112 &amp; "/upstreams/"&amp; $F112 &amp;"/targets -d 'target="&amp; I112 &amp; "'")</f>
        <v>curl -X POST http://172.24.149.80:8001/upstreams/ups-v630-das_middleware_cht/targets -d 'target=172.24.151.109:31112'</v>
      </c>
      <c r="V112" t="str">
        <f t="shared" ref="V112:V118" si="26">IF(J112="","","curl -X POST " &amp; $Q112 &amp; "/upstreams/"&amp; $F112 &amp;"/targets -d 'target="&amp; J112 &amp; "'")</f>
        <v>curl -X POST http://172.24.149.80:8001/upstreams/ups-v630-das_middleware_cht/targets -d 'target=172.24.151.110:31112'</v>
      </c>
      <c r="W112" t="str">
        <f t="shared" ref="W112:W118" si="27">IF(K112="","","curl -X POST " &amp; $Q112 &amp; "/upstreams/"&amp; $F112 &amp;"/targets -d 'target="&amp; K112 &amp; "'")</f>
        <v>curl -X POST http://172.24.149.80:8001/upstreams/ups-v630-das_middleware_cht/targets -d 'target=172.24.151.111:31112'</v>
      </c>
      <c r="X112" t="str">
        <f t="shared" ref="X112:X118" si="28">IF(L112="","","curl -X POST " &amp; $Q112 &amp; "/upstreams/"&amp; $F112 &amp;"/targets -d 'target="&amp; L112 &amp; "'")</f>
        <v/>
      </c>
      <c r="Y112" t="str">
        <f t="shared" ref="Y112:Y118" si="29">IF(M112="","","curl -X POST " &amp; $Q112 &amp; "/upstreams/"&amp; $F112 &amp;"/targets -d 'target="&amp; M112 &amp; "'")</f>
        <v/>
      </c>
      <c r="Z112" t="str">
        <f t="shared" ref="Z112:Z118" si="30">IF(N112="","","curl -X POST " &amp; $Q112 &amp; "/upstreams/"&amp; $F112 &amp;"/targets -d 'target="&amp; N112 &amp; "'")</f>
        <v/>
      </c>
    </row>
    <row r="113" spans="1:26">
      <c r="A113">
        <f>IF(ISNUMBER(SEARCH("rest_api",svc!R112)),1,0)</f>
        <v>1</v>
      </c>
      <c r="C113" t="str">
        <f>svc!D112</f>
        <v>dmz</v>
      </c>
      <c r="D113" t="str">
        <f>svc!$B112</f>
        <v>v630</v>
      </c>
      <c r="E113">
        <f>svc!G112</f>
        <v>31122</v>
      </c>
      <c r="F113" t="str">
        <f>CONCATENATE("ups-",svc!$B112,"-",svc!I112)</f>
        <v>ups-v630-das_middleware_cht_video</v>
      </c>
      <c r="G113" t="str">
        <f>CONCATENATE("svc-",svc!$B112,"-",svc!I112)</f>
        <v>svc-v630-das_middleware_cht_video</v>
      </c>
      <c r="H113" t="str">
        <f>CONCATENATE("route-",VLOOKUP($D113,kong_np_var!$B$10:$D$16,2,FALSE),"-",svc!$B112,"-",svc!I112)</f>
        <v>route-v510-v630-das_middleware_cht_video</v>
      </c>
      <c r="I113" t="str">
        <f>CONCATENATE(VLOOKUP($D113,kong_np_var!$B$20:$H$26,SUBSTITUTE(I$1,"target_","") + 1,FALSE),":",$E113)</f>
        <v>172.24.151.109:31122</v>
      </c>
      <c r="J113" t="str">
        <f>CONCATENATE(VLOOKUP($D113,kong_np_var!$B$20:$H$26,SUBSTITUTE(J$1,"target_","") + 1,FALSE),":",$E113)</f>
        <v>172.24.151.110:31122</v>
      </c>
      <c r="K113" t="str">
        <f>CONCATENATE(VLOOKUP($D113,kong_np_var!$B$20:$H$26,SUBSTITUTE(K$1,"target_","") + 1,FALSE),":",$E113)</f>
        <v>172.24.151.111:31122</v>
      </c>
      <c r="L113" t="str">
        <f>IF($C113="dmz","",CONCATENATE(VLOOKUP($D113,kong_np_var!$B$20:$H$26,SUBSTITUTE(L$1,"target_","") + 1,FALSE),":",$E113))</f>
        <v/>
      </c>
      <c r="M113" t="str">
        <f>IF($C113="dmz","",CONCATENATE(VLOOKUP($D113,kong_np_var!$B$20:$H$26,SUBSTITUTE(M$1,"target_","") + 1,FALSE),":",$E113))</f>
        <v/>
      </c>
      <c r="N113" t="str">
        <f>IF($C113="dmz","",CONCATENATE(VLOOKUP($D113,kong_np_var!$B$20:$H$26,SUBSTITUTE(N$1,"target_","") + 1,FALSE),":",$E113))</f>
        <v/>
      </c>
      <c r="O113" t="str">
        <f>VLOOKUP($D113,kong_np_var!$B$10:$D$16,3,FALSE)</f>
        <v>172.24.150.71</v>
      </c>
      <c r="P113" t="str">
        <f>CONCATENATE("/",C113,MID(D113,2,15),"/",svc!$I112)</f>
        <v>/dmz630/das_middleware_cht_video</v>
      </c>
      <c r="Q113" t="str">
        <f>VLOOKUP(C113,kong_np_var!$B$6:$C$7,2,FALSE)</f>
        <v>http://172.24.149.80:8001</v>
      </c>
      <c r="R113" t="str">
        <f>SUBSTITUTE(SUBSTITUTE(kong_np_var!$J$1,"&lt;upstream_name&gt;",$F113),"&lt;kong_api_url&gt;",$Q113)</f>
        <v>curl -X PUT http://172.24.149.80:8001/upstreams/ups-v630-das_middleware_cht_video</v>
      </c>
      <c r="S113" t="str">
        <f>SUBSTITUTE(SUBSTITUTE(SUBSTITUTE(SUBSTITUTE(kong_np_var!$J$2,"&lt;kong_api_url&gt;",$Q113),"&lt;upstream_name&gt;",$F113),"&lt;port&gt;",$E113),"&lt;service_name&gt;",$G113)</f>
        <v>curl -X PUT http://172.24.149.80:8001/services/svc-v630-das_middleware_cht_video -H "Content-Type: application/json" -d '{"protocol":"http","host":"ups-v630-das_middleware_cht_video","port":31122}'</v>
      </c>
      <c r="T113" t="str">
        <f>SUBSTITUTE(SUBSTITUTE(SUBSTITUTE(SUBSTITUTE(SUBSTITUTE(kong_np_var!$J$3,"&lt;kong_api_url&gt;",$Q113),"&lt;route_name&gt;",$H113),"&lt;service_name&gt;",$G113),"&lt;host&gt;",$O113),"&lt;path&gt;",$P113)</f>
        <v>curl -X PUT http://172.24.149.80:8001/services/svc-v630-das_middleware_cht_video/routes/route-v510-v630-das_middleware_cht_video -H "Content-Type: application/json" -d '{"protocols":["http"],"hosts":["172.24.150.71"],"paths":["/dmz630/das_middleware_cht_video"]}'</v>
      </c>
      <c r="U113" t="str">
        <f t="shared" si="25"/>
        <v>curl -X POST http://172.24.149.80:8001/upstreams/ups-v630-das_middleware_cht_video/targets -d 'target=172.24.151.109:31122'</v>
      </c>
      <c r="V113" t="str">
        <f t="shared" si="26"/>
        <v>curl -X POST http://172.24.149.80:8001/upstreams/ups-v630-das_middleware_cht_video/targets -d 'target=172.24.151.110:31122'</v>
      </c>
      <c r="W113" t="str">
        <f t="shared" si="27"/>
        <v>curl -X POST http://172.24.149.80:8001/upstreams/ups-v630-das_middleware_cht_video/targets -d 'target=172.24.151.111:31122'</v>
      </c>
      <c r="X113" t="str">
        <f t="shared" si="28"/>
        <v/>
      </c>
      <c r="Y113" t="str">
        <f t="shared" si="29"/>
        <v/>
      </c>
      <c r="Z113" t="str">
        <f t="shared" si="30"/>
        <v/>
      </c>
    </row>
    <row r="114" spans="1:26">
      <c r="A114">
        <f>IF(ISNUMBER(SEARCH("rest_api",svc!R113)),1,0)</f>
        <v>0</v>
      </c>
      <c r="C114">
        <f>svc!D113</f>
        <v>0</v>
      </c>
      <c r="D114">
        <f>svc!$B113</f>
        <v>0</v>
      </c>
      <c r="E114">
        <f>svc!G113</f>
        <v>0</v>
      </c>
      <c r="F114" t="str">
        <f>CONCATENATE("ups-",svc!$B113,"-",svc!I113)</f>
        <v>ups--</v>
      </c>
      <c r="G114" t="str">
        <f>CONCATENATE("svc-",svc!$B113,"-",svc!I113)</f>
        <v>svc--</v>
      </c>
      <c r="H114" t="e">
        <f>CONCATENATE("route-",VLOOKUP($D114,kong_np_var!$B$10:$D$16,2,FALSE),"-",svc!$B113,"-",svc!I113)</f>
        <v>#N/A</v>
      </c>
      <c r="I114" t="e">
        <f>CONCATENATE(VLOOKUP($D114,kong_np_var!$B$20:$H$26,SUBSTITUTE(I$1,"target_","") + 1,FALSE),":",$E114)</f>
        <v>#N/A</v>
      </c>
      <c r="J114" t="e">
        <f>CONCATENATE(VLOOKUP($D114,kong_np_var!$B$20:$H$26,SUBSTITUTE(J$1,"target_","") + 1,FALSE),":",$E114)</f>
        <v>#N/A</v>
      </c>
      <c r="K114" t="e">
        <f>CONCATENATE(VLOOKUP($D114,kong_np_var!$B$20:$H$26,SUBSTITUTE(K$1,"target_","") + 1,FALSE),":",$E114)</f>
        <v>#N/A</v>
      </c>
      <c r="L114" t="e">
        <f>IF($C114="dmz","",CONCATENATE(VLOOKUP($D114,kong_np_var!$B$20:$H$26,SUBSTITUTE(L$1,"target_","") + 1,FALSE),":",$E114))</f>
        <v>#N/A</v>
      </c>
      <c r="M114" t="e">
        <f>IF($C114="dmz","",CONCATENATE(VLOOKUP($D114,kong_np_var!$B$20:$H$26,SUBSTITUTE(M$1,"target_","") + 1,FALSE),":",$E114))</f>
        <v>#N/A</v>
      </c>
      <c r="N114" t="e">
        <f>IF($C114="dmz","",CONCATENATE(VLOOKUP($D114,kong_np_var!$B$20:$H$26,SUBSTITUTE(N$1,"target_","") + 1,FALSE),":",$E114))</f>
        <v>#N/A</v>
      </c>
      <c r="O114" t="e">
        <f>VLOOKUP($D114,kong_np_var!$B$10:$D$16,3,FALSE)</f>
        <v>#N/A</v>
      </c>
      <c r="P114" t="str">
        <f>CONCATENATE("/",C114,MID(D114,2,15),"/",svc!$I113)</f>
        <v>/0/</v>
      </c>
      <c r="Q114" t="e">
        <f>VLOOKUP(C114,kong_np_var!$B$6:$C$7,2,FALSE)</f>
        <v>#N/A</v>
      </c>
      <c r="R114" t="e">
        <f>SUBSTITUTE(SUBSTITUTE(kong_np_var!$J$1,"&lt;upstream_name&gt;",$F114),"&lt;kong_api_url&gt;",$Q114)</f>
        <v>#N/A</v>
      </c>
      <c r="S114" t="e">
        <f>SUBSTITUTE(SUBSTITUTE(SUBSTITUTE(SUBSTITUTE(kong_np_var!$J$2,"&lt;kong_api_url&gt;",$Q114),"&lt;upstream_name&gt;",$F114),"&lt;port&gt;",$E114),"&lt;service_name&gt;",$G114)</f>
        <v>#N/A</v>
      </c>
      <c r="T114" t="e">
        <f>SUBSTITUTE(SUBSTITUTE(SUBSTITUTE(SUBSTITUTE(SUBSTITUTE(kong_np_var!$J$3,"&lt;kong_api_url&gt;",$Q114),"&lt;route_name&gt;",$H114),"&lt;service_name&gt;",$G114),"&lt;host&gt;",$O114),"&lt;path&gt;",$P114)</f>
        <v>#N/A</v>
      </c>
      <c r="U114" t="e">
        <f t="shared" ref="U114:U142" si="31">IF(I114="","","curl -X POST " &amp; $Q114 &amp; "/upstreams/"&amp; $F114 &amp;"/targets -d 'target="&amp; I114 &amp; "'")</f>
        <v>#N/A</v>
      </c>
      <c r="V114" t="e">
        <f t="shared" ref="V114:V142" si="32">IF(J114="","","curl -X POST " &amp; $Q114 &amp; "/upstreams/"&amp; $F114 &amp;"/targets -d 'target="&amp; J114 &amp; "'")</f>
        <v>#N/A</v>
      </c>
      <c r="W114" t="e">
        <f t="shared" ref="W114:W142" si="33">IF(K114="","","curl -X POST " &amp; $Q114 &amp; "/upstreams/"&amp; $F114 &amp;"/targets -d 'target="&amp; K114 &amp; "'")</f>
        <v>#N/A</v>
      </c>
      <c r="X114" t="e">
        <f t="shared" ref="X114:X142" si="34">IF(L114="","","curl -X POST " &amp; $Q114 &amp; "/upstreams/"&amp; $F114 &amp;"/targets -d 'target="&amp; L114 &amp; "'")</f>
        <v>#N/A</v>
      </c>
      <c r="Y114" t="e">
        <f t="shared" ref="Y114:Y142" si="35">IF(M114="","","curl -X POST " &amp; $Q114 &amp; "/upstreams/"&amp; $F114 &amp;"/targets -d 'target="&amp; M114 &amp; "'")</f>
        <v>#N/A</v>
      </c>
      <c r="Z114" t="e">
        <f t="shared" ref="Z114:Z142" si="36">IF(N114="","","curl -X POST " &amp; $Q114 &amp; "/upstreams/"&amp; $F114 &amp;"/targets -d 'target="&amp; N114 &amp; "'")</f>
        <v>#N/A</v>
      </c>
    </row>
    <row r="115" spans="1:26">
      <c r="A115">
        <f>IF(ISNUMBER(SEARCH("rest_api",svc!R114)),1,0)</f>
        <v>0</v>
      </c>
      <c r="C115">
        <f>svc!D114</f>
        <v>0</v>
      </c>
      <c r="D115">
        <f>svc!$B114</f>
        <v>0</v>
      </c>
      <c r="E115">
        <f>svc!G114</f>
        <v>0</v>
      </c>
      <c r="F115" t="str">
        <f>CONCATENATE("ups-",svc!$B114,"-",svc!I114)</f>
        <v>ups--</v>
      </c>
      <c r="G115" t="str">
        <f>CONCATENATE("svc-",svc!$B114,"-",svc!I114)</f>
        <v>svc--</v>
      </c>
      <c r="H115" t="e">
        <f>CONCATENATE("route-",VLOOKUP($D115,kong_np_var!$B$10:$D$16,2,FALSE),"-",svc!$B114,"-",svc!I114)</f>
        <v>#N/A</v>
      </c>
      <c r="I115" t="e">
        <f>CONCATENATE(VLOOKUP($D115,kong_np_var!$B$20:$H$26,SUBSTITUTE(I$1,"target_","") + 1,FALSE),":",$E115)</f>
        <v>#N/A</v>
      </c>
      <c r="J115" t="e">
        <f>CONCATENATE(VLOOKUP($D115,kong_np_var!$B$20:$H$26,SUBSTITUTE(J$1,"target_","") + 1,FALSE),":",$E115)</f>
        <v>#N/A</v>
      </c>
      <c r="K115" t="e">
        <f>CONCATENATE(VLOOKUP($D115,kong_np_var!$B$20:$H$26,SUBSTITUTE(K$1,"target_","") + 1,FALSE),":",$E115)</f>
        <v>#N/A</v>
      </c>
      <c r="L115" t="e">
        <f>IF($C115="dmz","",CONCATENATE(VLOOKUP($D115,kong_np_var!$B$20:$H$26,SUBSTITUTE(L$1,"target_","") + 1,FALSE),":",$E115))</f>
        <v>#N/A</v>
      </c>
      <c r="M115" t="e">
        <f>IF($C115="dmz","",CONCATENATE(VLOOKUP($D115,kong_np_var!$B$20:$H$26,SUBSTITUTE(M$1,"target_","") + 1,FALSE),":",$E115))</f>
        <v>#N/A</v>
      </c>
      <c r="N115" t="e">
        <f>IF($C115="dmz","",CONCATENATE(VLOOKUP($D115,kong_np_var!$B$20:$H$26,SUBSTITUTE(N$1,"target_","") + 1,FALSE),":",$E115))</f>
        <v>#N/A</v>
      </c>
      <c r="O115" t="e">
        <f>VLOOKUP($D115,kong_np_var!$B$10:$D$16,3,FALSE)</f>
        <v>#N/A</v>
      </c>
      <c r="P115" t="str">
        <f>CONCATENATE("/",C115,MID(D115,2,15),"/",svc!$I114)</f>
        <v>/0/</v>
      </c>
      <c r="Q115" t="e">
        <f>VLOOKUP(C115,kong_np_var!$B$6:$C$7,2,FALSE)</f>
        <v>#N/A</v>
      </c>
      <c r="R115" t="e">
        <f>SUBSTITUTE(SUBSTITUTE(kong_np_var!$J$1,"&lt;upstream_name&gt;",$F115),"&lt;kong_api_url&gt;",$Q115)</f>
        <v>#N/A</v>
      </c>
      <c r="S115" t="e">
        <f>SUBSTITUTE(SUBSTITUTE(SUBSTITUTE(SUBSTITUTE(kong_np_var!$J$2,"&lt;kong_api_url&gt;",$Q115),"&lt;upstream_name&gt;",$F115),"&lt;port&gt;",$E115),"&lt;service_name&gt;",$G115)</f>
        <v>#N/A</v>
      </c>
      <c r="T115" t="e">
        <f>SUBSTITUTE(SUBSTITUTE(SUBSTITUTE(SUBSTITUTE(SUBSTITUTE(kong_np_var!$J$3,"&lt;kong_api_url&gt;",$Q115),"&lt;route_name&gt;",$H115),"&lt;service_name&gt;",$G115),"&lt;host&gt;",$O115),"&lt;path&gt;",$P115)</f>
        <v>#N/A</v>
      </c>
      <c r="U115" t="e">
        <f t="shared" si="31"/>
        <v>#N/A</v>
      </c>
      <c r="V115" t="e">
        <f t="shared" si="32"/>
        <v>#N/A</v>
      </c>
      <c r="W115" t="e">
        <f t="shared" si="33"/>
        <v>#N/A</v>
      </c>
      <c r="X115" t="e">
        <f t="shared" si="34"/>
        <v>#N/A</v>
      </c>
      <c r="Y115" t="e">
        <f t="shared" si="35"/>
        <v>#N/A</v>
      </c>
      <c r="Z115" t="e">
        <f t="shared" si="36"/>
        <v>#N/A</v>
      </c>
    </row>
    <row r="116" spans="1:26">
      <c r="A116">
        <f>IF(ISNUMBER(SEARCH("rest_api",svc!R115)),1,0)</f>
        <v>0</v>
      </c>
      <c r="C116">
        <f>svc!D115</f>
        <v>0</v>
      </c>
      <c r="D116">
        <f>svc!$B115</f>
        <v>0</v>
      </c>
      <c r="E116">
        <f>svc!G115</f>
        <v>0</v>
      </c>
      <c r="F116" t="str">
        <f>CONCATENATE("ups-",svc!$B115,"-",svc!I115)</f>
        <v>ups--</v>
      </c>
      <c r="G116" t="str">
        <f>CONCATENATE("svc-",svc!$B115,"-",svc!I115)</f>
        <v>svc--</v>
      </c>
      <c r="H116" t="e">
        <f>CONCATENATE("route-",VLOOKUP($D116,kong_np_var!$B$10:$D$16,2,FALSE),"-",svc!$B115,"-",svc!I115)</f>
        <v>#N/A</v>
      </c>
      <c r="I116" t="e">
        <f>CONCATENATE(VLOOKUP($D116,kong_np_var!$B$20:$H$26,SUBSTITUTE(I$1,"target_","") + 1,FALSE),":",$E116)</f>
        <v>#N/A</v>
      </c>
      <c r="J116" t="e">
        <f>CONCATENATE(VLOOKUP($D116,kong_np_var!$B$20:$H$26,SUBSTITUTE(J$1,"target_","") + 1,FALSE),":",$E116)</f>
        <v>#N/A</v>
      </c>
      <c r="K116" t="e">
        <f>CONCATENATE(VLOOKUP($D116,kong_np_var!$B$20:$H$26,SUBSTITUTE(K$1,"target_","") + 1,FALSE),":",$E116)</f>
        <v>#N/A</v>
      </c>
      <c r="L116" t="e">
        <f>IF($C116="dmz","",CONCATENATE(VLOOKUP($D116,kong_np_var!$B$20:$H$26,SUBSTITUTE(L$1,"target_","") + 1,FALSE),":",$E116))</f>
        <v>#N/A</v>
      </c>
      <c r="M116" t="e">
        <f>IF($C116="dmz","",CONCATENATE(VLOOKUP($D116,kong_np_var!$B$20:$H$26,SUBSTITUTE(M$1,"target_","") + 1,FALSE),":",$E116))</f>
        <v>#N/A</v>
      </c>
      <c r="N116" t="e">
        <f>IF($C116="dmz","",CONCATENATE(VLOOKUP($D116,kong_np_var!$B$20:$H$26,SUBSTITUTE(N$1,"target_","") + 1,FALSE),":",$E116))</f>
        <v>#N/A</v>
      </c>
      <c r="O116" t="e">
        <f>VLOOKUP($D116,kong_np_var!$B$10:$D$16,3,FALSE)</f>
        <v>#N/A</v>
      </c>
      <c r="P116" t="str">
        <f>CONCATENATE("/",C116,MID(D116,2,15),"/",svc!$I115)</f>
        <v>/0/</v>
      </c>
      <c r="Q116" t="e">
        <f>VLOOKUP(C116,kong_np_var!$B$6:$C$7,2,FALSE)</f>
        <v>#N/A</v>
      </c>
      <c r="R116" t="e">
        <f>SUBSTITUTE(SUBSTITUTE(kong_np_var!$J$1,"&lt;upstream_name&gt;",$F116),"&lt;kong_api_url&gt;",$Q116)</f>
        <v>#N/A</v>
      </c>
      <c r="S116" t="e">
        <f>SUBSTITUTE(SUBSTITUTE(SUBSTITUTE(SUBSTITUTE(kong_np_var!$J$2,"&lt;kong_api_url&gt;",$Q116),"&lt;upstream_name&gt;",$F116),"&lt;port&gt;",$E116),"&lt;service_name&gt;",$G116)</f>
        <v>#N/A</v>
      </c>
      <c r="T116" t="e">
        <f>SUBSTITUTE(SUBSTITUTE(SUBSTITUTE(SUBSTITUTE(SUBSTITUTE(kong_np_var!$J$3,"&lt;kong_api_url&gt;",$Q116),"&lt;route_name&gt;",$H116),"&lt;service_name&gt;",$G116),"&lt;host&gt;",$O116),"&lt;path&gt;",$P116)</f>
        <v>#N/A</v>
      </c>
      <c r="U116" t="e">
        <f t="shared" si="31"/>
        <v>#N/A</v>
      </c>
      <c r="V116" t="e">
        <f t="shared" si="32"/>
        <v>#N/A</v>
      </c>
      <c r="W116" t="e">
        <f t="shared" si="33"/>
        <v>#N/A</v>
      </c>
      <c r="X116" t="e">
        <f t="shared" si="34"/>
        <v>#N/A</v>
      </c>
      <c r="Y116" t="e">
        <f t="shared" si="35"/>
        <v>#N/A</v>
      </c>
      <c r="Z116" t="e">
        <f t="shared" si="36"/>
        <v>#N/A</v>
      </c>
    </row>
    <row r="117" spans="1:26">
      <c r="A117">
        <f>IF(ISNUMBER(SEARCH("rest_api",svc!R116)),1,0)</f>
        <v>0</v>
      </c>
      <c r="C117">
        <f>svc!D116</f>
        <v>0</v>
      </c>
      <c r="D117">
        <f>svc!$B116</f>
        <v>0</v>
      </c>
      <c r="E117">
        <f>svc!G116</f>
        <v>0</v>
      </c>
      <c r="F117" t="str">
        <f>CONCATENATE("ups-",svc!$B116,"-",svc!I116)</f>
        <v>ups--</v>
      </c>
      <c r="G117" t="str">
        <f>CONCATENATE("svc-",svc!$B116,"-",svc!I116)</f>
        <v>svc--</v>
      </c>
      <c r="H117" t="e">
        <f>CONCATENATE("route-",VLOOKUP($D117,kong_np_var!$B$10:$D$16,2,FALSE),"-",svc!$B116,"-",svc!I116)</f>
        <v>#N/A</v>
      </c>
      <c r="I117" t="e">
        <f>CONCATENATE(VLOOKUP($D117,kong_np_var!$B$20:$H$26,SUBSTITUTE(I$1,"target_","") + 1,FALSE),":",$E117)</f>
        <v>#N/A</v>
      </c>
      <c r="J117" t="e">
        <f>CONCATENATE(VLOOKUP($D117,kong_np_var!$B$20:$H$26,SUBSTITUTE(J$1,"target_","") + 1,FALSE),":",$E117)</f>
        <v>#N/A</v>
      </c>
      <c r="K117" t="e">
        <f>CONCATENATE(VLOOKUP($D117,kong_np_var!$B$20:$H$26,SUBSTITUTE(K$1,"target_","") + 1,FALSE),":",$E117)</f>
        <v>#N/A</v>
      </c>
      <c r="L117" t="e">
        <f>IF($C117="dmz","",CONCATENATE(VLOOKUP($D117,kong_np_var!$B$20:$H$26,SUBSTITUTE(L$1,"target_","") + 1,FALSE),":",$E117))</f>
        <v>#N/A</v>
      </c>
      <c r="M117" t="e">
        <f>IF($C117="dmz","",CONCATENATE(VLOOKUP($D117,kong_np_var!$B$20:$H$26,SUBSTITUTE(M$1,"target_","") + 1,FALSE),":",$E117))</f>
        <v>#N/A</v>
      </c>
      <c r="N117" t="e">
        <f>IF($C117="dmz","",CONCATENATE(VLOOKUP($D117,kong_np_var!$B$20:$H$26,SUBSTITUTE(N$1,"target_","") + 1,FALSE),":",$E117))</f>
        <v>#N/A</v>
      </c>
      <c r="O117" t="e">
        <f>VLOOKUP($D117,kong_np_var!$B$10:$D$16,3,FALSE)</f>
        <v>#N/A</v>
      </c>
      <c r="P117" t="str">
        <f>CONCATENATE("/",C117,MID(D117,2,15),"/",svc!$I116)</f>
        <v>/0/</v>
      </c>
      <c r="Q117" t="e">
        <f>VLOOKUP(C117,kong_np_var!$B$6:$C$7,2,FALSE)</f>
        <v>#N/A</v>
      </c>
      <c r="R117" t="e">
        <f>SUBSTITUTE(SUBSTITUTE(kong_np_var!$J$1,"&lt;upstream_name&gt;",$F117),"&lt;kong_api_url&gt;",$Q117)</f>
        <v>#N/A</v>
      </c>
      <c r="S117" t="e">
        <f>SUBSTITUTE(SUBSTITUTE(SUBSTITUTE(SUBSTITUTE(kong_np_var!$J$2,"&lt;kong_api_url&gt;",$Q117),"&lt;upstream_name&gt;",$F117),"&lt;port&gt;",$E117),"&lt;service_name&gt;",$G117)</f>
        <v>#N/A</v>
      </c>
      <c r="T117" t="e">
        <f>SUBSTITUTE(SUBSTITUTE(SUBSTITUTE(SUBSTITUTE(SUBSTITUTE(kong_np_var!$J$3,"&lt;kong_api_url&gt;",$Q117),"&lt;route_name&gt;",$H117),"&lt;service_name&gt;",$G117),"&lt;host&gt;",$O117),"&lt;path&gt;",$P117)</f>
        <v>#N/A</v>
      </c>
      <c r="U117" t="e">
        <f t="shared" si="31"/>
        <v>#N/A</v>
      </c>
      <c r="V117" t="e">
        <f t="shared" si="32"/>
        <v>#N/A</v>
      </c>
      <c r="W117" t="e">
        <f t="shared" si="33"/>
        <v>#N/A</v>
      </c>
      <c r="X117" t="e">
        <f t="shared" si="34"/>
        <v>#N/A</v>
      </c>
      <c r="Y117" t="e">
        <f t="shared" si="35"/>
        <v>#N/A</v>
      </c>
      <c r="Z117" t="e">
        <f t="shared" si="36"/>
        <v>#N/A</v>
      </c>
    </row>
    <row r="118" spans="1:26">
      <c r="A118">
        <f>IF(ISNUMBER(SEARCH("rest_api",svc!R117)),1,0)</f>
        <v>0</v>
      </c>
      <c r="C118">
        <f>svc!D117</f>
        <v>0</v>
      </c>
      <c r="D118">
        <f>svc!$B117</f>
        <v>0</v>
      </c>
      <c r="E118">
        <f>svc!G117</f>
        <v>0</v>
      </c>
      <c r="F118" t="str">
        <f>CONCATENATE("ups-",svc!$B117,"-",svc!I117)</f>
        <v>ups--</v>
      </c>
      <c r="G118" t="str">
        <f>CONCATENATE("svc-",svc!$B117,"-",svc!I117)</f>
        <v>svc--</v>
      </c>
      <c r="H118" t="e">
        <f>CONCATENATE("route-",VLOOKUP($D118,kong_np_var!$B$10:$D$16,2,FALSE),"-",svc!$B117,"-",svc!I117)</f>
        <v>#N/A</v>
      </c>
      <c r="I118" t="e">
        <f>CONCATENATE(VLOOKUP($D118,kong_np_var!$B$20:$H$26,SUBSTITUTE(I$1,"target_","") + 1,FALSE),":",$E118)</f>
        <v>#N/A</v>
      </c>
      <c r="J118" t="e">
        <f>CONCATENATE(VLOOKUP($D118,kong_np_var!$B$20:$H$26,SUBSTITUTE(J$1,"target_","") + 1,FALSE),":",$E118)</f>
        <v>#N/A</v>
      </c>
      <c r="K118" t="e">
        <f>CONCATENATE(VLOOKUP($D118,kong_np_var!$B$20:$H$26,SUBSTITUTE(K$1,"target_","") + 1,FALSE),":",$E118)</f>
        <v>#N/A</v>
      </c>
      <c r="L118" t="e">
        <f>IF($C118="dmz","",CONCATENATE(VLOOKUP($D118,kong_np_var!$B$20:$H$26,SUBSTITUTE(L$1,"target_","") + 1,FALSE),":",$E118))</f>
        <v>#N/A</v>
      </c>
      <c r="M118" t="e">
        <f>IF($C118="dmz","",CONCATENATE(VLOOKUP($D118,kong_np_var!$B$20:$H$26,SUBSTITUTE(M$1,"target_","") + 1,FALSE),":",$E118))</f>
        <v>#N/A</v>
      </c>
      <c r="N118" t="e">
        <f>IF($C118="dmz","",CONCATENATE(VLOOKUP($D118,kong_np_var!$B$20:$H$26,SUBSTITUTE(N$1,"target_","") + 1,FALSE),":",$E118))</f>
        <v>#N/A</v>
      </c>
      <c r="O118" t="e">
        <f>VLOOKUP($D118,kong_np_var!$B$10:$D$16,3,FALSE)</f>
        <v>#N/A</v>
      </c>
      <c r="P118" t="str">
        <f>CONCATENATE("/",C118,MID(D118,2,15),"/",svc!$I117)</f>
        <v>/0/</v>
      </c>
      <c r="Q118" t="e">
        <f>VLOOKUP(C118,kong_np_var!$B$6:$C$7,2,FALSE)</f>
        <v>#N/A</v>
      </c>
      <c r="R118" t="e">
        <f>SUBSTITUTE(SUBSTITUTE(kong_np_var!$J$1,"&lt;upstream_name&gt;",$F118),"&lt;kong_api_url&gt;",$Q118)</f>
        <v>#N/A</v>
      </c>
      <c r="S118" t="e">
        <f>SUBSTITUTE(SUBSTITUTE(SUBSTITUTE(SUBSTITUTE(kong_np_var!$J$2,"&lt;kong_api_url&gt;",$Q118),"&lt;upstream_name&gt;",$F118),"&lt;port&gt;",$E118),"&lt;service_name&gt;",$G118)</f>
        <v>#N/A</v>
      </c>
      <c r="T118" t="e">
        <f>SUBSTITUTE(SUBSTITUTE(SUBSTITUTE(SUBSTITUTE(SUBSTITUTE(kong_np_var!$J$3,"&lt;kong_api_url&gt;",$Q118),"&lt;route_name&gt;",$H118),"&lt;service_name&gt;",$G118),"&lt;host&gt;",$O118),"&lt;path&gt;",$P118)</f>
        <v>#N/A</v>
      </c>
      <c r="U118" t="e">
        <f t="shared" si="31"/>
        <v>#N/A</v>
      </c>
      <c r="V118" t="e">
        <f t="shared" si="32"/>
        <v>#N/A</v>
      </c>
      <c r="W118" t="e">
        <f t="shared" si="33"/>
        <v>#N/A</v>
      </c>
      <c r="X118" t="e">
        <f t="shared" si="34"/>
        <v>#N/A</v>
      </c>
      <c r="Y118" t="e">
        <f t="shared" si="35"/>
        <v>#N/A</v>
      </c>
      <c r="Z118" t="e">
        <f t="shared" si="36"/>
        <v>#N/A</v>
      </c>
    </row>
    <row r="119" spans="1:26">
      <c r="A119">
        <f>IF(ISNUMBER(SEARCH("rest_api",svc!R118)),1,0)</f>
        <v>0</v>
      </c>
      <c r="C119">
        <f>svc!D118</f>
        <v>0</v>
      </c>
      <c r="D119">
        <f>svc!$B118</f>
        <v>0</v>
      </c>
      <c r="E119">
        <f>svc!G118</f>
        <v>0</v>
      </c>
      <c r="F119" t="str">
        <f>CONCATENATE("ups-",svc!$B118,"-",svc!I118)</f>
        <v>ups--</v>
      </c>
      <c r="G119" t="str">
        <f>CONCATENATE("svc-",svc!$B118,"-",svc!I118)</f>
        <v>svc--</v>
      </c>
      <c r="H119" t="e">
        <f>CONCATENATE("route-",VLOOKUP($D119,kong_np_var!$B$10:$D$16,2,FALSE),"-",svc!$B118,"-",svc!I118)</f>
        <v>#N/A</v>
      </c>
      <c r="I119" t="e">
        <f>CONCATENATE(VLOOKUP($D119,kong_np_var!$B$20:$H$26,SUBSTITUTE(I$1,"target_","") + 1,FALSE),":",$E119)</f>
        <v>#N/A</v>
      </c>
      <c r="J119" t="e">
        <f>CONCATENATE(VLOOKUP($D119,kong_np_var!$B$20:$H$26,SUBSTITUTE(J$1,"target_","") + 1,FALSE),":",$E119)</f>
        <v>#N/A</v>
      </c>
      <c r="K119" t="e">
        <f>CONCATENATE(VLOOKUP($D119,kong_np_var!$B$20:$H$26,SUBSTITUTE(K$1,"target_","") + 1,FALSE),":",$E119)</f>
        <v>#N/A</v>
      </c>
      <c r="L119" t="e">
        <f>IF($C119="dmz","",CONCATENATE(VLOOKUP($D119,kong_np_var!$B$20:$H$26,SUBSTITUTE(L$1,"target_","") + 1,FALSE),":",$E119))</f>
        <v>#N/A</v>
      </c>
      <c r="M119" t="e">
        <f>IF($C119="dmz","",CONCATENATE(VLOOKUP($D119,kong_np_var!$B$20:$H$26,SUBSTITUTE(M$1,"target_","") + 1,FALSE),":",$E119))</f>
        <v>#N/A</v>
      </c>
      <c r="N119" t="e">
        <f>IF($C119="dmz","",CONCATENATE(VLOOKUP($D119,kong_np_var!$B$20:$H$26,SUBSTITUTE(N$1,"target_","") + 1,FALSE),":",$E119))</f>
        <v>#N/A</v>
      </c>
      <c r="O119" t="e">
        <f>VLOOKUP($D119,kong_np_var!$B$10:$D$16,3,FALSE)</f>
        <v>#N/A</v>
      </c>
      <c r="P119" t="str">
        <f>CONCATENATE("/",C119,MID(D119,2,15),"/",svc!$I118)</f>
        <v>/0/</v>
      </c>
      <c r="Q119" t="e">
        <f>VLOOKUP(C119,kong_np_var!$B$6:$C$7,2,FALSE)</f>
        <v>#N/A</v>
      </c>
      <c r="R119" t="e">
        <f>SUBSTITUTE(SUBSTITUTE(kong_np_var!$J$1,"&lt;upstream_name&gt;",$F119),"&lt;kong_api_url&gt;",$Q119)</f>
        <v>#N/A</v>
      </c>
      <c r="S119" t="e">
        <f>SUBSTITUTE(SUBSTITUTE(SUBSTITUTE(SUBSTITUTE(kong_np_var!$J$2,"&lt;kong_api_url&gt;",$Q119),"&lt;upstream_name&gt;",$F119),"&lt;port&gt;",$E119),"&lt;service_name&gt;",$G119)</f>
        <v>#N/A</v>
      </c>
      <c r="T119" t="e">
        <f>SUBSTITUTE(SUBSTITUTE(SUBSTITUTE(SUBSTITUTE(SUBSTITUTE(kong_np_var!$J$3,"&lt;kong_api_url&gt;",$Q119),"&lt;route_name&gt;",$H119),"&lt;service_name&gt;",$G119),"&lt;host&gt;",$O119),"&lt;path&gt;",$P119)</f>
        <v>#N/A</v>
      </c>
      <c r="U119" t="e">
        <f t="shared" si="31"/>
        <v>#N/A</v>
      </c>
      <c r="V119" t="e">
        <f t="shared" si="32"/>
        <v>#N/A</v>
      </c>
      <c r="W119" t="e">
        <f t="shared" si="33"/>
        <v>#N/A</v>
      </c>
      <c r="X119" t="e">
        <f t="shared" si="34"/>
        <v>#N/A</v>
      </c>
      <c r="Y119" t="e">
        <f t="shared" si="35"/>
        <v>#N/A</v>
      </c>
      <c r="Z119" t="e">
        <f t="shared" si="36"/>
        <v>#N/A</v>
      </c>
    </row>
    <row r="120" spans="1:26">
      <c r="A120">
        <f>IF(ISNUMBER(SEARCH("rest_api",svc!R119)),1,0)</f>
        <v>0</v>
      </c>
      <c r="C120">
        <f>svc!D119</f>
        <v>0</v>
      </c>
      <c r="D120">
        <f>svc!$B119</f>
        <v>0</v>
      </c>
      <c r="E120">
        <f>svc!G119</f>
        <v>0</v>
      </c>
      <c r="F120" t="str">
        <f>CONCATENATE("ups-",svc!$B119,"-",svc!I119)</f>
        <v>ups--</v>
      </c>
      <c r="G120" t="str">
        <f>CONCATENATE("svc-",svc!$B119,"-",svc!I119)</f>
        <v>svc--</v>
      </c>
      <c r="H120" t="e">
        <f>CONCATENATE("route-",VLOOKUP($D120,kong_np_var!$B$10:$D$16,2,FALSE),"-",svc!$B119,"-",svc!I119)</f>
        <v>#N/A</v>
      </c>
      <c r="I120" t="e">
        <f>CONCATENATE(VLOOKUP($D120,kong_np_var!$B$20:$H$26,SUBSTITUTE(I$1,"target_","") + 1,FALSE),":",$E120)</f>
        <v>#N/A</v>
      </c>
      <c r="J120" t="e">
        <f>CONCATENATE(VLOOKUP($D120,kong_np_var!$B$20:$H$26,SUBSTITUTE(J$1,"target_","") + 1,FALSE),":",$E120)</f>
        <v>#N/A</v>
      </c>
      <c r="K120" t="e">
        <f>CONCATENATE(VLOOKUP($D120,kong_np_var!$B$20:$H$26,SUBSTITUTE(K$1,"target_","") + 1,FALSE),":",$E120)</f>
        <v>#N/A</v>
      </c>
      <c r="L120" t="e">
        <f>IF($C120="dmz","",CONCATENATE(VLOOKUP($D120,kong_np_var!$B$20:$H$26,SUBSTITUTE(L$1,"target_","") + 1,FALSE),":",$E120))</f>
        <v>#N/A</v>
      </c>
      <c r="M120" t="e">
        <f>IF($C120="dmz","",CONCATENATE(VLOOKUP($D120,kong_np_var!$B$20:$H$26,SUBSTITUTE(M$1,"target_","") + 1,FALSE),":",$E120))</f>
        <v>#N/A</v>
      </c>
      <c r="N120" t="e">
        <f>IF($C120="dmz","",CONCATENATE(VLOOKUP($D120,kong_np_var!$B$20:$H$26,SUBSTITUTE(N$1,"target_","") + 1,FALSE),":",$E120))</f>
        <v>#N/A</v>
      </c>
      <c r="O120" t="e">
        <f>VLOOKUP($D120,kong_np_var!$B$10:$D$16,3,FALSE)</f>
        <v>#N/A</v>
      </c>
      <c r="P120" t="str">
        <f>CONCATENATE("/",C120,MID(D120,2,15),"/",svc!$I119)</f>
        <v>/0/</v>
      </c>
      <c r="Q120" t="e">
        <f>VLOOKUP(C120,kong_np_var!$B$6:$C$7,2,FALSE)</f>
        <v>#N/A</v>
      </c>
      <c r="R120" t="e">
        <f>SUBSTITUTE(SUBSTITUTE(kong_np_var!$J$1,"&lt;upstream_name&gt;",$F120),"&lt;kong_api_url&gt;",$Q120)</f>
        <v>#N/A</v>
      </c>
      <c r="S120" t="e">
        <f>SUBSTITUTE(SUBSTITUTE(SUBSTITUTE(SUBSTITUTE(kong_np_var!$J$2,"&lt;kong_api_url&gt;",$Q120),"&lt;upstream_name&gt;",$F120),"&lt;port&gt;",$E120),"&lt;service_name&gt;",$G120)</f>
        <v>#N/A</v>
      </c>
      <c r="T120" t="e">
        <f>SUBSTITUTE(SUBSTITUTE(SUBSTITUTE(SUBSTITUTE(SUBSTITUTE(kong_np_var!$J$3,"&lt;kong_api_url&gt;",$Q120),"&lt;route_name&gt;",$H120),"&lt;service_name&gt;",$G120),"&lt;host&gt;",$O120),"&lt;path&gt;",$P120)</f>
        <v>#N/A</v>
      </c>
      <c r="U120" t="e">
        <f t="shared" si="31"/>
        <v>#N/A</v>
      </c>
      <c r="V120" t="e">
        <f t="shared" si="32"/>
        <v>#N/A</v>
      </c>
      <c r="W120" t="e">
        <f t="shared" si="33"/>
        <v>#N/A</v>
      </c>
      <c r="X120" t="e">
        <f t="shared" si="34"/>
        <v>#N/A</v>
      </c>
      <c r="Y120" t="e">
        <f t="shared" si="35"/>
        <v>#N/A</v>
      </c>
      <c r="Z120" t="e">
        <f t="shared" si="36"/>
        <v>#N/A</v>
      </c>
    </row>
    <row r="121" spans="1:26">
      <c r="A121">
        <f>IF(ISNUMBER(SEARCH("rest_api",svc!R120)),1,0)</f>
        <v>0</v>
      </c>
      <c r="C121">
        <f>svc!D120</f>
        <v>0</v>
      </c>
      <c r="D121">
        <f>svc!$B120</f>
        <v>0</v>
      </c>
      <c r="E121">
        <f>svc!G120</f>
        <v>0</v>
      </c>
      <c r="F121" t="str">
        <f>CONCATENATE("ups-",svc!$B120,"-",svc!I120)</f>
        <v>ups--</v>
      </c>
      <c r="G121" t="str">
        <f>CONCATENATE("svc-",svc!$B120,"-",svc!I120)</f>
        <v>svc--</v>
      </c>
      <c r="H121" t="e">
        <f>CONCATENATE("route-",VLOOKUP($D121,kong_np_var!$B$10:$D$16,2,FALSE),"-",svc!$B120,"-",svc!I120)</f>
        <v>#N/A</v>
      </c>
      <c r="I121" t="e">
        <f>CONCATENATE(VLOOKUP($D121,kong_np_var!$B$20:$H$26,SUBSTITUTE(I$1,"target_","") + 1,FALSE),":",$E121)</f>
        <v>#N/A</v>
      </c>
      <c r="J121" t="e">
        <f>CONCATENATE(VLOOKUP($D121,kong_np_var!$B$20:$H$26,SUBSTITUTE(J$1,"target_","") + 1,FALSE),":",$E121)</f>
        <v>#N/A</v>
      </c>
      <c r="K121" t="e">
        <f>CONCATENATE(VLOOKUP($D121,kong_np_var!$B$20:$H$26,SUBSTITUTE(K$1,"target_","") + 1,FALSE),":",$E121)</f>
        <v>#N/A</v>
      </c>
      <c r="L121" t="e">
        <f>IF($C121="dmz","",CONCATENATE(VLOOKUP($D121,kong_np_var!$B$20:$H$26,SUBSTITUTE(L$1,"target_","") + 1,FALSE),":",$E121))</f>
        <v>#N/A</v>
      </c>
      <c r="M121" t="e">
        <f>IF($C121="dmz","",CONCATENATE(VLOOKUP($D121,kong_np_var!$B$20:$H$26,SUBSTITUTE(M$1,"target_","") + 1,FALSE),":",$E121))</f>
        <v>#N/A</v>
      </c>
      <c r="N121" t="e">
        <f>IF($C121="dmz","",CONCATENATE(VLOOKUP($D121,kong_np_var!$B$20:$H$26,SUBSTITUTE(N$1,"target_","") + 1,FALSE),":",$E121))</f>
        <v>#N/A</v>
      </c>
      <c r="O121" t="e">
        <f>VLOOKUP($D121,kong_np_var!$B$10:$D$16,3,FALSE)</f>
        <v>#N/A</v>
      </c>
      <c r="P121" t="str">
        <f>CONCATENATE("/",C121,MID(D121,2,15),"/",svc!$I120)</f>
        <v>/0/</v>
      </c>
      <c r="Q121" t="e">
        <f>VLOOKUP(C121,kong_np_var!$B$6:$C$7,2,FALSE)</f>
        <v>#N/A</v>
      </c>
      <c r="R121" t="e">
        <f>SUBSTITUTE(SUBSTITUTE(kong_np_var!$J$1,"&lt;upstream_name&gt;",$F121),"&lt;kong_api_url&gt;",$Q121)</f>
        <v>#N/A</v>
      </c>
      <c r="S121" t="e">
        <f>SUBSTITUTE(SUBSTITUTE(SUBSTITUTE(SUBSTITUTE(kong_np_var!$J$2,"&lt;kong_api_url&gt;",$Q121),"&lt;upstream_name&gt;",$F121),"&lt;port&gt;",$E121),"&lt;service_name&gt;",$G121)</f>
        <v>#N/A</v>
      </c>
      <c r="T121" t="e">
        <f>SUBSTITUTE(SUBSTITUTE(SUBSTITUTE(SUBSTITUTE(SUBSTITUTE(kong_np_var!$J$3,"&lt;kong_api_url&gt;",$Q121),"&lt;route_name&gt;",$H121),"&lt;service_name&gt;",$G121),"&lt;host&gt;",$O121),"&lt;path&gt;",$P121)</f>
        <v>#N/A</v>
      </c>
      <c r="U121" t="e">
        <f t="shared" si="31"/>
        <v>#N/A</v>
      </c>
      <c r="V121" t="e">
        <f t="shared" si="32"/>
        <v>#N/A</v>
      </c>
      <c r="W121" t="e">
        <f t="shared" si="33"/>
        <v>#N/A</v>
      </c>
      <c r="X121" t="e">
        <f t="shared" si="34"/>
        <v>#N/A</v>
      </c>
      <c r="Y121" t="e">
        <f t="shared" si="35"/>
        <v>#N/A</v>
      </c>
      <c r="Z121" t="e">
        <f t="shared" si="36"/>
        <v>#N/A</v>
      </c>
    </row>
    <row r="122" spans="1:26">
      <c r="A122">
        <f>IF(ISNUMBER(SEARCH("rest_api",svc!R121)),1,0)</f>
        <v>0</v>
      </c>
      <c r="C122">
        <f>svc!D121</f>
        <v>0</v>
      </c>
      <c r="D122">
        <f>svc!$B121</f>
        <v>0</v>
      </c>
      <c r="E122">
        <f>svc!G121</f>
        <v>0</v>
      </c>
      <c r="F122" t="str">
        <f>CONCATENATE("ups-",svc!$B121,"-",svc!I121)</f>
        <v>ups--</v>
      </c>
      <c r="G122" t="str">
        <f>CONCATENATE("svc-",svc!$B121,"-",svc!I121)</f>
        <v>svc--</v>
      </c>
      <c r="H122" t="e">
        <f>CONCATENATE("route-",VLOOKUP($D122,kong_np_var!$B$10:$D$16,2,FALSE),"-",svc!$B121,"-",svc!I121)</f>
        <v>#N/A</v>
      </c>
      <c r="I122" t="e">
        <f>CONCATENATE(VLOOKUP($D122,kong_np_var!$B$20:$H$26,SUBSTITUTE(I$1,"target_","") + 1,FALSE),":",$E122)</f>
        <v>#N/A</v>
      </c>
      <c r="J122" t="e">
        <f>CONCATENATE(VLOOKUP($D122,kong_np_var!$B$20:$H$26,SUBSTITUTE(J$1,"target_","") + 1,FALSE),":",$E122)</f>
        <v>#N/A</v>
      </c>
      <c r="K122" t="e">
        <f>CONCATENATE(VLOOKUP($D122,kong_np_var!$B$20:$H$26,SUBSTITUTE(K$1,"target_","") + 1,FALSE),":",$E122)</f>
        <v>#N/A</v>
      </c>
      <c r="L122" t="e">
        <f>IF($C122="dmz","",CONCATENATE(VLOOKUP($D122,kong_np_var!$B$20:$H$26,SUBSTITUTE(L$1,"target_","") + 1,FALSE),":",$E122))</f>
        <v>#N/A</v>
      </c>
      <c r="M122" t="e">
        <f>IF($C122="dmz","",CONCATENATE(VLOOKUP($D122,kong_np_var!$B$20:$H$26,SUBSTITUTE(M$1,"target_","") + 1,FALSE),":",$E122))</f>
        <v>#N/A</v>
      </c>
      <c r="N122" t="e">
        <f>IF($C122="dmz","",CONCATENATE(VLOOKUP($D122,kong_np_var!$B$20:$H$26,SUBSTITUTE(N$1,"target_","") + 1,FALSE),":",$E122))</f>
        <v>#N/A</v>
      </c>
      <c r="O122" t="e">
        <f>VLOOKUP($D122,kong_np_var!$B$10:$D$16,3,FALSE)</f>
        <v>#N/A</v>
      </c>
      <c r="P122" t="str">
        <f>CONCATENATE("/",C122,MID(D122,2,15),"/",svc!$I121)</f>
        <v>/0/</v>
      </c>
      <c r="Q122" t="e">
        <f>VLOOKUP(C122,kong_np_var!$B$6:$C$7,2,FALSE)</f>
        <v>#N/A</v>
      </c>
      <c r="R122" t="e">
        <f>SUBSTITUTE(SUBSTITUTE(kong_np_var!$J$1,"&lt;upstream_name&gt;",$F122),"&lt;kong_api_url&gt;",$Q122)</f>
        <v>#N/A</v>
      </c>
      <c r="S122" t="e">
        <f>SUBSTITUTE(SUBSTITUTE(SUBSTITUTE(SUBSTITUTE(kong_np_var!$J$2,"&lt;kong_api_url&gt;",$Q122),"&lt;upstream_name&gt;",$F122),"&lt;port&gt;",$E122),"&lt;service_name&gt;",$G122)</f>
        <v>#N/A</v>
      </c>
      <c r="T122" t="e">
        <f>SUBSTITUTE(SUBSTITUTE(SUBSTITUTE(SUBSTITUTE(SUBSTITUTE(kong_np_var!$J$3,"&lt;kong_api_url&gt;",$Q122),"&lt;route_name&gt;",$H122),"&lt;service_name&gt;",$G122),"&lt;host&gt;",$O122),"&lt;path&gt;",$P122)</f>
        <v>#N/A</v>
      </c>
      <c r="U122" t="e">
        <f t="shared" si="31"/>
        <v>#N/A</v>
      </c>
      <c r="V122" t="e">
        <f t="shared" si="32"/>
        <v>#N/A</v>
      </c>
      <c r="W122" t="e">
        <f t="shared" si="33"/>
        <v>#N/A</v>
      </c>
      <c r="X122" t="e">
        <f t="shared" si="34"/>
        <v>#N/A</v>
      </c>
      <c r="Y122" t="e">
        <f t="shared" si="35"/>
        <v>#N/A</v>
      </c>
      <c r="Z122" t="e">
        <f t="shared" si="36"/>
        <v>#N/A</v>
      </c>
    </row>
    <row r="123" spans="1:26">
      <c r="A123">
        <f>IF(ISNUMBER(SEARCH("rest_api",svc!R122)),1,0)</f>
        <v>0</v>
      </c>
      <c r="C123">
        <f>svc!D122</f>
        <v>0</v>
      </c>
      <c r="D123">
        <f>svc!$B122</f>
        <v>0</v>
      </c>
      <c r="E123">
        <f>svc!G122</f>
        <v>0</v>
      </c>
      <c r="F123" t="str">
        <f>CONCATENATE("ups-",svc!$B122,"-",svc!I122)</f>
        <v>ups--</v>
      </c>
      <c r="G123" t="str">
        <f>CONCATENATE("svc-",svc!$B122,"-",svc!I122)</f>
        <v>svc--</v>
      </c>
      <c r="H123" t="e">
        <f>CONCATENATE("route-",VLOOKUP($D123,kong_np_var!$B$10:$D$16,2,FALSE),"-",svc!$B122,"-",svc!I122)</f>
        <v>#N/A</v>
      </c>
      <c r="I123" t="e">
        <f>CONCATENATE(VLOOKUP($D123,kong_np_var!$B$20:$H$26,SUBSTITUTE(I$1,"target_","") + 1,FALSE),":",$E123)</f>
        <v>#N/A</v>
      </c>
      <c r="J123" t="e">
        <f>CONCATENATE(VLOOKUP($D123,kong_np_var!$B$20:$H$26,SUBSTITUTE(J$1,"target_","") + 1,FALSE),":",$E123)</f>
        <v>#N/A</v>
      </c>
      <c r="K123" t="e">
        <f>CONCATENATE(VLOOKUP($D123,kong_np_var!$B$20:$H$26,SUBSTITUTE(K$1,"target_","") + 1,FALSE),":",$E123)</f>
        <v>#N/A</v>
      </c>
      <c r="L123" t="e">
        <f>IF($C123="dmz","",CONCATENATE(VLOOKUP($D123,kong_np_var!$B$20:$H$26,SUBSTITUTE(L$1,"target_","") + 1,FALSE),":",$E123))</f>
        <v>#N/A</v>
      </c>
      <c r="M123" t="e">
        <f>IF($C123="dmz","",CONCATENATE(VLOOKUP($D123,kong_np_var!$B$20:$H$26,SUBSTITUTE(M$1,"target_","") + 1,FALSE),":",$E123))</f>
        <v>#N/A</v>
      </c>
      <c r="N123" t="e">
        <f>IF($C123="dmz","",CONCATENATE(VLOOKUP($D123,kong_np_var!$B$20:$H$26,SUBSTITUTE(N$1,"target_","") + 1,FALSE),":",$E123))</f>
        <v>#N/A</v>
      </c>
      <c r="O123" t="e">
        <f>VLOOKUP($D123,kong_np_var!$B$10:$D$16,3,FALSE)</f>
        <v>#N/A</v>
      </c>
      <c r="P123" t="str">
        <f>CONCATENATE("/",C123,MID(D123,2,15),"/",svc!$I122)</f>
        <v>/0/</v>
      </c>
      <c r="Q123" t="e">
        <f>VLOOKUP(C123,kong_np_var!$B$6:$C$7,2,FALSE)</f>
        <v>#N/A</v>
      </c>
      <c r="R123" t="e">
        <f>SUBSTITUTE(SUBSTITUTE(kong_np_var!$J$1,"&lt;upstream_name&gt;",$F123),"&lt;kong_api_url&gt;",$Q123)</f>
        <v>#N/A</v>
      </c>
      <c r="S123" t="e">
        <f>SUBSTITUTE(SUBSTITUTE(SUBSTITUTE(SUBSTITUTE(kong_np_var!$J$2,"&lt;kong_api_url&gt;",$Q123),"&lt;upstream_name&gt;",$F123),"&lt;port&gt;",$E123),"&lt;service_name&gt;",$G123)</f>
        <v>#N/A</v>
      </c>
      <c r="T123" t="e">
        <f>SUBSTITUTE(SUBSTITUTE(SUBSTITUTE(SUBSTITUTE(SUBSTITUTE(kong_np_var!$J$3,"&lt;kong_api_url&gt;",$Q123),"&lt;route_name&gt;",$H123),"&lt;service_name&gt;",$G123),"&lt;host&gt;",$O123),"&lt;path&gt;",$P123)</f>
        <v>#N/A</v>
      </c>
      <c r="U123" t="e">
        <f t="shared" si="31"/>
        <v>#N/A</v>
      </c>
      <c r="V123" t="e">
        <f t="shared" si="32"/>
        <v>#N/A</v>
      </c>
      <c r="W123" t="e">
        <f t="shared" si="33"/>
        <v>#N/A</v>
      </c>
      <c r="X123" t="e">
        <f t="shared" si="34"/>
        <v>#N/A</v>
      </c>
      <c r="Y123" t="e">
        <f t="shared" si="35"/>
        <v>#N/A</v>
      </c>
      <c r="Z123" t="e">
        <f t="shared" si="36"/>
        <v>#N/A</v>
      </c>
    </row>
    <row r="124" spans="1:26">
      <c r="A124">
        <f>IF(ISNUMBER(SEARCH("rest_api",svc!R123)),1,0)</f>
        <v>0</v>
      </c>
      <c r="C124">
        <f>svc!D123</f>
        <v>0</v>
      </c>
      <c r="D124">
        <f>svc!$B123</f>
        <v>0</v>
      </c>
      <c r="E124">
        <f>svc!G123</f>
        <v>0</v>
      </c>
      <c r="F124" t="str">
        <f>CONCATENATE("ups-",svc!$B123,"-",svc!I123)</f>
        <v>ups--</v>
      </c>
      <c r="G124" t="str">
        <f>CONCATENATE("svc-",svc!$B123,"-",svc!I123)</f>
        <v>svc--</v>
      </c>
      <c r="H124" t="e">
        <f>CONCATENATE("route-",VLOOKUP($D124,kong_np_var!$B$10:$D$16,2,FALSE),"-",svc!$B123,"-",svc!I123)</f>
        <v>#N/A</v>
      </c>
      <c r="I124" t="e">
        <f>CONCATENATE(VLOOKUP($D124,kong_np_var!$B$20:$H$26,SUBSTITUTE(I$1,"target_","") + 1,FALSE),":",$E124)</f>
        <v>#N/A</v>
      </c>
      <c r="J124" t="e">
        <f>CONCATENATE(VLOOKUP($D124,kong_np_var!$B$20:$H$26,SUBSTITUTE(J$1,"target_","") + 1,FALSE),":",$E124)</f>
        <v>#N/A</v>
      </c>
      <c r="K124" t="e">
        <f>CONCATENATE(VLOOKUP($D124,kong_np_var!$B$20:$H$26,SUBSTITUTE(K$1,"target_","") + 1,FALSE),":",$E124)</f>
        <v>#N/A</v>
      </c>
      <c r="L124" t="e">
        <f>IF($C124="dmz","",CONCATENATE(VLOOKUP($D124,kong_np_var!$B$20:$H$26,SUBSTITUTE(L$1,"target_","") + 1,FALSE),":",$E124))</f>
        <v>#N/A</v>
      </c>
      <c r="M124" t="e">
        <f>IF($C124="dmz","",CONCATENATE(VLOOKUP($D124,kong_np_var!$B$20:$H$26,SUBSTITUTE(M$1,"target_","") + 1,FALSE),":",$E124))</f>
        <v>#N/A</v>
      </c>
      <c r="N124" t="e">
        <f>IF($C124="dmz","",CONCATENATE(VLOOKUP($D124,kong_np_var!$B$20:$H$26,SUBSTITUTE(N$1,"target_","") + 1,FALSE),":",$E124))</f>
        <v>#N/A</v>
      </c>
      <c r="O124" t="e">
        <f>VLOOKUP($D124,kong_np_var!$B$10:$D$16,3,FALSE)</f>
        <v>#N/A</v>
      </c>
      <c r="P124" t="str">
        <f>CONCATENATE("/",C124,MID(D124,2,15),"/",svc!$I123)</f>
        <v>/0/</v>
      </c>
      <c r="Q124" t="e">
        <f>VLOOKUP(C124,kong_np_var!$B$6:$C$7,2,FALSE)</f>
        <v>#N/A</v>
      </c>
      <c r="R124" t="e">
        <f>SUBSTITUTE(SUBSTITUTE(kong_np_var!$J$1,"&lt;upstream_name&gt;",$F124),"&lt;kong_api_url&gt;",$Q124)</f>
        <v>#N/A</v>
      </c>
      <c r="S124" t="e">
        <f>SUBSTITUTE(SUBSTITUTE(SUBSTITUTE(SUBSTITUTE(kong_np_var!$J$2,"&lt;kong_api_url&gt;",$Q124),"&lt;upstream_name&gt;",$F124),"&lt;port&gt;",$E124),"&lt;service_name&gt;",$G124)</f>
        <v>#N/A</v>
      </c>
      <c r="T124" t="e">
        <f>SUBSTITUTE(SUBSTITUTE(SUBSTITUTE(SUBSTITUTE(SUBSTITUTE(kong_np_var!$J$3,"&lt;kong_api_url&gt;",$Q124),"&lt;route_name&gt;",$H124),"&lt;service_name&gt;",$G124),"&lt;host&gt;",$O124),"&lt;path&gt;",$P124)</f>
        <v>#N/A</v>
      </c>
      <c r="U124" t="e">
        <f t="shared" si="31"/>
        <v>#N/A</v>
      </c>
      <c r="V124" t="e">
        <f t="shared" si="32"/>
        <v>#N/A</v>
      </c>
      <c r="W124" t="e">
        <f t="shared" si="33"/>
        <v>#N/A</v>
      </c>
      <c r="X124" t="e">
        <f t="shared" si="34"/>
        <v>#N/A</v>
      </c>
      <c r="Y124" t="e">
        <f t="shared" si="35"/>
        <v>#N/A</v>
      </c>
      <c r="Z124" t="e">
        <f t="shared" si="36"/>
        <v>#N/A</v>
      </c>
    </row>
    <row r="125" spans="1:26">
      <c r="A125">
        <f>IF(ISNUMBER(SEARCH("rest_api",svc!R124)),1,0)</f>
        <v>0</v>
      </c>
      <c r="C125">
        <f>svc!D124</f>
        <v>0</v>
      </c>
      <c r="D125">
        <f>svc!$B124</f>
        <v>0</v>
      </c>
      <c r="E125">
        <f>svc!G124</f>
        <v>0</v>
      </c>
      <c r="F125" t="str">
        <f>CONCATENATE("ups-",svc!$B124,"-",svc!I124)</f>
        <v>ups--</v>
      </c>
      <c r="G125" t="str">
        <f>CONCATENATE("svc-",svc!$B124,"-",svc!I124)</f>
        <v>svc--</v>
      </c>
      <c r="H125" t="e">
        <f>CONCATENATE("route-",VLOOKUP($D125,kong_np_var!$B$10:$D$16,2,FALSE),"-",svc!$B124,"-",svc!I124)</f>
        <v>#N/A</v>
      </c>
      <c r="I125" t="e">
        <f>CONCATENATE(VLOOKUP($D125,kong_np_var!$B$20:$H$26,SUBSTITUTE(I$1,"target_","") + 1,FALSE),":",$E125)</f>
        <v>#N/A</v>
      </c>
      <c r="J125" t="e">
        <f>CONCATENATE(VLOOKUP($D125,kong_np_var!$B$20:$H$26,SUBSTITUTE(J$1,"target_","") + 1,FALSE),":",$E125)</f>
        <v>#N/A</v>
      </c>
      <c r="K125" t="e">
        <f>CONCATENATE(VLOOKUP($D125,kong_np_var!$B$20:$H$26,SUBSTITUTE(K$1,"target_","") + 1,FALSE),":",$E125)</f>
        <v>#N/A</v>
      </c>
      <c r="L125" t="e">
        <f>IF($C125="dmz","",CONCATENATE(VLOOKUP($D125,kong_np_var!$B$20:$H$26,SUBSTITUTE(L$1,"target_","") + 1,FALSE),":",$E125))</f>
        <v>#N/A</v>
      </c>
      <c r="M125" t="e">
        <f>IF($C125="dmz","",CONCATENATE(VLOOKUP($D125,kong_np_var!$B$20:$H$26,SUBSTITUTE(M$1,"target_","") + 1,FALSE),":",$E125))</f>
        <v>#N/A</v>
      </c>
      <c r="N125" t="e">
        <f>IF($C125="dmz","",CONCATENATE(VLOOKUP($D125,kong_np_var!$B$20:$H$26,SUBSTITUTE(N$1,"target_","") + 1,FALSE),":",$E125))</f>
        <v>#N/A</v>
      </c>
      <c r="O125" t="e">
        <f>VLOOKUP($D125,kong_np_var!$B$10:$D$16,3,FALSE)</f>
        <v>#N/A</v>
      </c>
      <c r="P125" t="str">
        <f>CONCATENATE("/",C125,MID(D125,2,15),"/",svc!$I124)</f>
        <v>/0/</v>
      </c>
      <c r="Q125" t="e">
        <f>VLOOKUP(C125,kong_np_var!$B$6:$C$7,2,FALSE)</f>
        <v>#N/A</v>
      </c>
      <c r="R125" t="e">
        <f>SUBSTITUTE(SUBSTITUTE(kong_np_var!$J$1,"&lt;upstream_name&gt;",$F125),"&lt;kong_api_url&gt;",$Q125)</f>
        <v>#N/A</v>
      </c>
      <c r="S125" t="e">
        <f>SUBSTITUTE(SUBSTITUTE(SUBSTITUTE(SUBSTITUTE(kong_np_var!$J$2,"&lt;kong_api_url&gt;",$Q125),"&lt;upstream_name&gt;",$F125),"&lt;port&gt;",$E125),"&lt;service_name&gt;",$G125)</f>
        <v>#N/A</v>
      </c>
      <c r="T125" t="e">
        <f>SUBSTITUTE(SUBSTITUTE(SUBSTITUTE(SUBSTITUTE(SUBSTITUTE(kong_np_var!$J$3,"&lt;kong_api_url&gt;",$Q125),"&lt;route_name&gt;",$H125),"&lt;service_name&gt;",$G125),"&lt;host&gt;",$O125),"&lt;path&gt;",$P125)</f>
        <v>#N/A</v>
      </c>
      <c r="U125" t="e">
        <f t="shared" si="31"/>
        <v>#N/A</v>
      </c>
      <c r="V125" t="e">
        <f t="shared" si="32"/>
        <v>#N/A</v>
      </c>
      <c r="W125" t="e">
        <f t="shared" si="33"/>
        <v>#N/A</v>
      </c>
      <c r="X125" t="e">
        <f t="shared" si="34"/>
        <v>#N/A</v>
      </c>
      <c r="Y125" t="e">
        <f t="shared" si="35"/>
        <v>#N/A</v>
      </c>
      <c r="Z125" t="e">
        <f t="shared" si="36"/>
        <v>#N/A</v>
      </c>
    </row>
    <row r="126" spans="1:26">
      <c r="A126">
        <f>IF(ISNUMBER(SEARCH("rest_api",svc!R125)),1,0)</f>
        <v>0</v>
      </c>
      <c r="C126">
        <f>svc!D125</f>
        <v>0</v>
      </c>
      <c r="D126">
        <f>svc!$B125</f>
        <v>0</v>
      </c>
      <c r="E126">
        <f>svc!G125</f>
        <v>0</v>
      </c>
      <c r="F126" t="str">
        <f>CONCATENATE("ups-",svc!$B125,"-",svc!I125)</f>
        <v>ups--</v>
      </c>
      <c r="G126" t="str">
        <f>CONCATENATE("svc-",svc!$B125,"-",svc!I125)</f>
        <v>svc--</v>
      </c>
      <c r="H126" t="e">
        <f>CONCATENATE("route-",VLOOKUP($D126,kong_np_var!$B$10:$D$16,2,FALSE),"-",svc!$B125,"-",svc!I125)</f>
        <v>#N/A</v>
      </c>
      <c r="I126" t="e">
        <f>CONCATENATE(VLOOKUP($D126,kong_np_var!$B$20:$H$26,SUBSTITUTE(I$1,"target_","") + 1,FALSE),":",$E126)</f>
        <v>#N/A</v>
      </c>
      <c r="J126" t="e">
        <f>CONCATENATE(VLOOKUP($D126,kong_np_var!$B$20:$H$26,SUBSTITUTE(J$1,"target_","") + 1,FALSE),":",$E126)</f>
        <v>#N/A</v>
      </c>
      <c r="K126" t="e">
        <f>CONCATENATE(VLOOKUP($D126,kong_np_var!$B$20:$H$26,SUBSTITUTE(K$1,"target_","") + 1,FALSE),":",$E126)</f>
        <v>#N/A</v>
      </c>
      <c r="L126" t="e">
        <f>IF($C126="dmz","",CONCATENATE(VLOOKUP($D126,kong_np_var!$B$20:$H$26,SUBSTITUTE(L$1,"target_","") + 1,FALSE),":",$E126))</f>
        <v>#N/A</v>
      </c>
      <c r="M126" t="e">
        <f>IF($C126="dmz","",CONCATENATE(VLOOKUP($D126,kong_np_var!$B$20:$H$26,SUBSTITUTE(M$1,"target_","") + 1,FALSE),":",$E126))</f>
        <v>#N/A</v>
      </c>
      <c r="N126" t="e">
        <f>IF($C126="dmz","",CONCATENATE(VLOOKUP($D126,kong_np_var!$B$20:$H$26,SUBSTITUTE(N$1,"target_","") + 1,FALSE),":",$E126))</f>
        <v>#N/A</v>
      </c>
      <c r="O126" t="e">
        <f>VLOOKUP($D126,kong_np_var!$B$10:$D$16,3,FALSE)</f>
        <v>#N/A</v>
      </c>
      <c r="P126" t="str">
        <f>CONCATENATE("/",C126,MID(D126,2,15),"/",svc!$I125)</f>
        <v>/0/</v>
      </c>
      <c r="Q126" t="e">
        <f>VLOOKUP(C126,kong_np_var!$B$6:$C$7,2,FALSE)</f>
        <v>#N/A</v>
      </c>
      <c r="R126" t="e">
        <f>SUBSTITUTE(SUBSTITUTE(kong_np_var!$J$1,"&lt;upstream_name&gt;",$F126),"&lt;kong_api_url&gt;",$Q126)</f>
        <v>#N/A</v>
      </c>
      <c r="S126" t="e">
        <f>SUBSTITUTE(SUBSTITUTE(SUBSTITUTE(SUBSTITUTE(kong_np_var!$J$2,"&lt;kong_api_url&gt;",$Q126),"&lt;upstream_name&gt;",$F126),"&lt;port&gt;",$E126),"&lt;service_name&gt;",$G126)</f>
        <v>#N/A</v>
      </c>
      <c r="T126" t="e">
        <f>SUBSTITUTE(SUBSTITUTE(SUBSTITUTE(SUBSTITUTE(SUBSTITUTE(kong_np_var!$J$3,"&lt;kong_api_url&gt;",$Q126),"&lt;route_name&gt;",$H126),"&lt;service_name&gt;",$G126),"&lt;host&gt;",$O126),"&lt;path&gt;",$P126)</f>
        <v>#N/A</v>
      </c>
      <c r="U126" t="e">
        <f t="shared" si="31"/>
        <v>#N/A</v>
      </c>
      <c r="V126" t="e">
        <f t="shared" si="32"/>
        <v>#N/A</v>
      </c>
      <c r="W126" t="e">
        <f t="shared" si="33"/>
        <v>#N/A</v>
      </c>
      <c r="X126" t="e">
        <f t="shared" si="34"/>
        <v>#N/A</v>
      </c>
      <c r="Y126" t="e">
        <f t="shared" si="35"/>
        <v>#N/A</v>
      </c>
      <c r="Z126" t="e">
        <f t="shared" si="36"/>
        <v>#N/A</v>
      </c>
    </row>
    <row r="127" spans="1:26">
      <c r="A127">
        <f>IF(ISNUMBER(SEARCH("rest_api",svc!R126)),1,0)</f>
        <v>0</v>
      </c>
      <c r="C127">
        <f>svc!D126</f>
        <v>0</v>
      </c>
      <c r="D127">
        <f>svc!$B126</f>
        <v>0</v>
      </c>
      <c r="E127">
        <f>svc!G126</f>
        <v>0</v>
      </c>
      <c r="F127" t="str">
        <f>CONCATENATE("ups-",svc!$B126,"-",svc!I126)</f>
        <v>ups--</v>
      </c>
      <c r="G127" t="str">
        <f>CONCATENATE("svc-",svc!$B126,"-",svc!I126)</f>
        <v>svc--</v>
      </c>
      <c r="H127" t="e">
        <f>CONCATENATE("route-",VLOOKUP($D127,kong_np_var!$B$10:$D$16,2,FALSE),"-",svc!$B126,"-",svc!I126)</f>
        <v>#N/A</v>
      </c>
      <c r="I127" t="e">
        <f>CONCATENATE(VLOOKUP($D127,kong_np_var!$B$20:$H$26,SUBSTITUTE(I$1,"target_","") + 1,FALSE),":",$E127)</f>
        <v>#N/A</v>
      </c>
      <c r="J127" t="e">
        <f>CONCATENATE(VLOOKUP($D127,kong_np_var!$B$20:$H$26,SUBSTITUTE(J$1,"target_","") + 1,FALSE),":",$E127)</f>
        <v>#N/A</v>
      </c>
      <c r="K127" t="e">
        <f>CONCATENATE(VLOOKUP($D127,kong_np_var!$B$20:$H$26,SUBSTITUTE(K$1,"target_","") + 1,FALSE),":",$E127)</f>
        <v>#N/A</v>
      </c>
      <c r="L127" t="e">
        <f>IF($C127="dmz","",CONCATENATE(VLOOKUP($D127,kong_np_var!$B$20:$H$26,SUBSTITUTE(L$1,"target_","") + 1,FALSE),":",$E127))</f>
        <v>#N/A</v>
      </c>
      <c r="M127" t="e">
        <f>IF($C127="dmz","",CONCATENATE(VLOOKUP($D127,kong_np_var!$B$20:$H$26,SUBSTITUTE(M$1,"target_","") + 1,FALSE),":",$E127))</f>
        <v>#N/A</v>
      </c>
      <c r="N127" t="e">
        <f>IF($C127="dmz","",CONCATENATE(VLOOKUP($D127,kong_np_var!$B$20:$H$26,SUBSTITUTE(N$1,"target_","") + 1,FALSE),":",$E127))</f>
        <v>#N/A</v>
      </c>
      <c r="O127" t="e">
        <f>VLOOKUP($D127,kong_np_var!$B$10:$D$16,3,FALSE)</f>
        <v>#N/A</v>
      </c>
      <c r="P127" t="str">
        <f>CONCATENATE("/",C127,MID(D127,2,15),"/",svc!$I126)</f>
        <v>/0/</v>
      </c>
      <c r="Q127" t="e">
        <f>VLOOKUP(C127,kong_np_var!$B$6:$C$7,2,FALSE)</f>
        <v>#N/A</v>
      </c>
      <c r="R127" t="e">
        <f>SUBSTITUTE(SUBSTITUTE(kong_np_var!$J$1,"&lt;upstream_name&gt;",$F127),"&lt;kong_api_url&gt;",$Q127)</f>
        <v>#N/A</v>
      </c>
      <c r="S127" t="e">
        <f>SUBSTITUTE(SUBSTITUTE(SUBSTITUTE(SUBSTITUTE(kong_np_var!$J$2,"&lt;kong_api_url&gt;",$Q127),"&lt;upstream_name&gt;",$F127),"&lt;port&gt;",$E127),"&lt;service_name&gt;",$G127)</f>
        <v>#N/A</v>
      </c>
      <c r="T127" t="e">
        <f>SUBSTITUTE(SUBSTITUTE(SUBSTITUTE(SUBSTITUTE(SUBSTITUTE(kong_np_var!$J$3,"&lt;kong_api_url&gt;",$Q127),"&lt;route_name&gt;",$H127),"&lt;service_name&gt;",$G127),"&lt;host&gt;",$O127),"&lt;path&gt;",$P127)</f>
        <v>#N/A</v>
      </c>
      <c r="U127" t="e">
        <f t="shared" si="31"/>
        <v>#N/A</v>
      </c>
      <c r="V127" t="e">
        <f t="shared" si="32"/>
        <v>#N/A</v>
      </c>
      <c r="W127" t="e">
        <f t="shared" si="33"/>
        <v>#N/A</v>
      </c>
      <c r="X127" t="e">
        <f t="shared" si="34"/>
        <v>#N/A</v>
      </c>
      <c r="Y127" t="e">
        <f t="shared" si="35"/>
        <v>#N/A</v>
      </c>
      <c r="Z127" t="e">
        <f t="shared" si="36"/>
        <v>#N/A</v>
      </c>
    </row>
    <row r="128" spans="1:26">
      <c r="A128">
        <f>IF(ISNUMBER(SEARCH("rest_api",svc!R127)),1,0)</f>
        <v>0</v>
      </c>
      <c r="C128">
        <f>svc!D127</f>
        <v>0</v>
      </c>
      <c r="D128">
        <f>svc!$B127</f>
        <v>0</v>
      </c>
      <c r="E128">
        <f>svc!G127</f>
        <v>0</v>
      </c>
      <c r="F128" t="str">
        <f>CONCATENATE("ups-",svc!$B127,"-",svc!I127)</f>
        <v>ups--</v>
      </c>
      <c r="G128" t="str">
        <f>CONCATENATE("svc-",svc!$B127,"-",svc!I127)</f>
        <v>svc--</v>
      </c>
      <c r="H128" t="e">
        <f>CONCATENATE("route-",VLOOKUP($D128,kong_np_var!$B$10:$D$16,2,FALSE),"-",svc!$B127,"-",svc!I127)</f>
        <v>#N/A</v>
      </c>
      <c r="I128" t="e">
        <f>CONCATENATE(VLOOKUP($D128,kong_np_var!$B$20:$H$26,SUBSTITUTE(I$1,"target_","") + 1,FALSE),":",$E128)</f>
        <v>#N/A</v>
      </c>
      <c r="J128" t="e">
        <f>CONCATENATE(VLOOKUP($D128,kong_np_var!$B$20:$H$26,SUBSTITUTE(J$1,"target_","") + 1,FALSE),":",$E128)</f>
        <v>#N/A</v>
      </c>
      <c r="K128" t="e">
        <f>CONCATENATE(VLOOKUP($D128,kong_np_var!$B$20:$H$26,SUBSTITUTE(K$1,"target_","") + 1,FALSE),":",$E128)</f>
        <v>#N/A</v>
      </c>
      <c r="L128" t="e">
        <f>IF($C128="dmz","",CONCATENATE(VLOOKUP($D128,kong_np_var!$B$20:$H$26,SUBSTITUTE(L$1,"target_","") + 1,FALSE),":",$E128))</f>
        <v>#N/A</v>
      </c>
      <c r="M128" t="e">
        <f>IF($C128="dmz","",CONCATENATE(VLOOKUP($D128,kong_np_var!$B$20:$H$26,SUBSTITUTE(M$1,"target_","") + 1,FALSE),":",$E128))</f>
        <v>#N/A</v>
      </c>
      <c r="N128" t="e">
        <f>IF($C128="dmz","",CONCATENATE(VLOOKUP($D128,kong_np_var!$B$20:$H$26,SUBSTITUTE(N$1,"target_","") + 1,FALSE),":",$E128))</f>
        <v>#N/A</v>
      </c>
      <c r="O128" t="e">
        <f>VLOOKUP($D128,kong_np_var!$B$10:$D$16,3,FALSE)</f>
        <v>#N/A</v>
      </c>
      <c r="P128" t="str">
        <f>CONCATENATE("/",C128,MID(D128,2,15),"/",svc!$I127)</f>
        <v>/0/</v>
      </c>
      <c r="Q128" t="e">
        <f>VLOOKUP(C128,kong_np_var!$B$6:$C$7,2,FALSE)</f>
        <v>#N/A</v>
      </c>
      <c r="R128" t="e">
        <f>SUBSTITUTE(SUBSTITUTE(kong_np_var!$J$1,"&lt;upstream_name&gt;",$F128),"&lt;kong_api_url&gt;",$Q128)</f>
        <v>#N/A</v>
      </c>
      <c r="S128" t="e">
        <f>SUBSTITUTE(SUBSTITUTE(SUBSTITUTE(SUBSTITUTE(kong_np_var!$J$2,"&lt;kong_api_url&gt;",$Q128),"&lt;upstream_name&gt;",$F128),"&lt;port&gt;",$E128),"&lt;service_name&gt;",$G128)</f>
        <v>#N/A</v>
      </c>
      <c r="T128" t="e">
        <f>SUBSTITUTE(SUBSTITUTE(SUBSTITUTE(SUBSTITUTE(SUBSTITUTE(kong_np_var!$J$3,"&lt;kong_api_url&gt;",$Q128),"&lt;route_name&gt;",$H128),"&lt;service_name&gt;",$G128),"&lt;host&gt;",$O128),"&lt;path&gt;",$P128)</f>
        <v>#N/A</v>
      </c>
      <c r="U128" t="e">
        <f t="shared" si="31"/>
        <v>#N/A</v>
      </c>
      <c r="V128" t="e">
        <f t="shared" si="32"/>
        <v>#N/A</v>
      </c>
      <c r="W128" t="e">
        <f t="shared" si="33"/>
        <v>#N/A</v>
      </c>
      <c r="X128" t="e">
        <f t="shared" si="34"/>
        <v>#N/A</v>
      </c>
      <c r="Y128" t="e">
        <f t="shared" si="35"/>
        <v>#N/A</v>
      </c>
      <c r="Z128" t="e">
        <f t="shared" si="36"/>
        <v>#N/A</v>
      </c>
    </row>
    <row r="129" spans="1:26">
      <c r="A129">
        <f>IF(ISNUMBER(SEARCH("rest_api",svc!R128)),1,0)</f>
        <v>0</v>
      </c>
      <c r="C129">
        <f>svc!D128</f>
        <v>0</v>
      </c>
      <c r="D129">
        <f>svc!$B128</f>
        <v>0</v>
      </c>
      <c r="E129">
        <f>svc!G128</f>
        <v>0</v>
      </c>
      <c r="F129" t="str">
        <f>CONCATENATE("ups-",svc!$B128,"-",svc!I128)</f>
        <v>ups--</v>
      </c>
      <c r="G129" t="str">
        <f>CONCATENATE("svc-",svc!$B128,"-",svc!I128)</f>
        <v>svc--</v>
      </c>
      <c r="H129" t="e">
        <f>CONCATENATE("route-",VLOOKUP($D129,kong_np_var!$B$10:$D$16,2,FALSE),"-",svc!$B128,"-",svc!I128)</f>
        <v>#N/A</v>
      </c>
      <c r="I129" t="e">
        <f>CONCATENATE(VLOOKUP($D129,kong_np_var!$B$20:$H$26,SUBSTITUTE(I$1,"target_","") + 1,FALSE),":",$E129)</f>
        <v>#N/A</v>
      </c>
      <c r="J129" t="e">
        <f>CONCATENATE(VLOOKUP($D129,kong_np_var!$B$20:$H$26,SUBSTITUTE(J$1,"target_","") + 1,FALSE),":",$E129)</f>
        <v>#N/A</v>
      </c>
      <c r="K129" t="e">
        <f>CONCATENATE(VLOOKUP($D129,kong_np_var!$B$20:$H$26,SUBSTITUTE(K$1,"target_","") + 1,FALSE),":",$E129)</f>
        <v>#N/A</v>
      </c>
      <c r="L129" t="e">
        <f>IF($C129="dmz","",CONCATENATE(VLOOKUP($D129,kong_np_var!$B$20:$H$26,SUBSTITUTE(L$1,"target_","") + 1,FALSE),":",$E129))</f>
        <v>#N/A</v>
      </c>
      <c r="M129" t="e">
        <f>IF($C129="dmz","",CONCATENATE(VLOOKUP($D129,kong_np_var!$B$20:$H$26,SUBSTITUTE(M$1,"target_","") + 1,FALSE),":",$E129))</f>
        <v>#N/A</v>
      </c>
      <c r="N129" t="e">
        <f>IF($C129="dmz","",CONCATENATE(VLOOKUP($D129,kong_np_var!$B$20:$H$26,SUBSTITUTE(N$1,"target_","") + 1,FALSE),":",$E129))</f>
        <v>#N/A</v>
      </c>
      <c r="O129" t="e">
        <f>VLOOKUP($D129,kong_np_var!$B$10:$D$16,3,FALSE)</f>
        <v>#N/A</v>
      </c>
      <c r="P129" t="str">
        <f>CONCATENATE("/",C129,MID(D129,2,15),"/",svc!$I128)</f>
        <v>/0/</v>
      </c>
      <c r="Q129" t="e">
        <f>VLOOKUP(C129,kong_np_var!$B$6:$C$7,2,FALSE)</f>
        <v>#N/A</v>
      </c>
      <c r="R129" t="e">
        <f>SUBSTITUTE(SUBSTITUTE(kong_np_var!$J$1,"&lt;upstream_name&gt;",$F129),"&lt;kong_api_url&gt;",$Q129)</f>
        <v>#N/A</v>
      </c>
      <c r="S129" t="e">
        <f>SUBSTITUTE(SUBSTITUTE(SUBSTITUTE(SUBSTITUTE(kong_np_var!$J$2,"&lt;kong_api_url&gt;",$Q129),"&lt;upstream_name&gt;",$F129),"&lt;port&gt;",$E129),"&lt;service_name&gt;",$G129)</f>
        <v>#N/A</v>
      </c>
      <c r="T129" t="e">
        <f>SUBSTITUTE(SUBSTITUTE(SUBSTITUTE(SUBSTITUTE(SUBSTITUTE(kong_np_var!$J$3,"&lt;kong_api_url&gt;",$Q129),"&lt;route_name&gt;",$H129),"&lt;service_name&gt;",$G129),"&lt;host&gt;",$O129),"&lt;path&gt;",$P129)</f>
        <v>#N/A</v>
      </c>
      <c r="U129" t="e">
        <f t="shared" si="31"/>
        <v>#N/A</v>
      </c>
      <c r="V129" t="e">
        <f t="shared" si="32"/>
        <v>#N/A</v>
      </c>
      <c r="W129" t="e">
        <f t="shared" si="33"/>
        <v>#N/A</v>
      </c>
      <c r="X129" t="e">
        <f t="shared" si="34"/>
        <v>#N/A</v>
      </c>
      <c r="Y129" t="e">
        <f t="shared" si="35"/>
        <v>#N/A</v>
      </c>
      <c r="Z129" t="e">
        <f t="shared" si="36"/>
        <v>#N/A</v>
      </c>
    </row>
    <row r="130" spans="1:26">
      <c r="A130">
        <f>IF(ISNUMBER(SEARCH("rest_api",svc!R129)),1,0)</f>
        <v>0</v>
      </c>
      <c r="C130">
        <f>svc!D129</f>
        <v>0</v>
      </c>
      <c r="D130">
        <f>svc!$B129</f>
        <v>0</v>
      </c>
      <c r="E130">
        <f>svc!G129</f>
        <v>0</v>
      </c>
      <c r="F130" t="str">
        <f>CONCATENATE("ups-",svc!$B129,"-",svc!I129)</f>
        <v>ups--</v>
      </c>
      <c r="G130" t="str">
        <f>CONCATENATE("svc-",svc!$B129,"-",svc!I129)</f>
        <v>svc--</v>
      </c>
      <c r="H130" t="e">
        <f>CONCATENATE("route-",VLOOKUP($D130,kong_np_var!$B$10:$D$16,2,FALSE),"-",svc!$B129,"-",svc!I129)</f>
        <v>#N/A</v>
      </c>
      <c r="I130" t="e">
        <f>CONCATENATE(VLOOKUP($D130,kong_np_var!$B$20:$H$26,SUBSTITUTE(I$1,"target_","") + 1,FALSE),":",$E130)</f>
        <v>#N/A</v>
      </c>
      <c r="J130" t="e">
        <f>CONCATENATE(VLOOKUP($D130,kong_np_var!$B$20:$H$26,SUBSTITUTE(J$1,"target_","") + 1,FALSE),":",$E130)</f>
        <v>#N/A</v>
      </c>
      <c r="K130" t="e">
        <f>CONCATENATE(VLOOKUP($D130,kong_np_var!$B$20:$H$26,SUBSTITUTE(K$1,"target_","") + 1,FALSE),":",$E130)</f>
        <v>#N/A</v>
      </c>
      <c r="L130" t="e">
        <f>IF($C130="dmz","",CONCATENATE(VLOOKUP($D130,kong_np_var!$B$20:$H$26,SUBSTITUTE(L$1,"target_","") + 1,FALSE),":",$E130))</f>
        <v>#N/A</v>
      </c>
      <c r="M130" t="e">
        <f>IF($C130="dmz","",CONCATENATE(VLOOKUP($D130,kong_np_var!$B$20:$H$26,SUBSTITUTE(M$1,"target_","") + 1,FALSE),":",$E130))</f>
        <v>#N/A</v>
      </c>
      <c r="N130" t="e">
        <f>IF($C130="dmz","",CONCATENATE(VLOOKUP($D130,kong_np_var!$B$20:$H$26,SUBSTITUTE(N$1,"target_","") + 1,FALSE),":",$E130))</f>
        <v>#N/A</v>
      </c>
      <c r="O130" t="e">
        <f>VLOOKUP($D130,kong_np_var!$B$10:$D$16,3,FALSE)</f>
        <v>#N/A</v>
      </c>
      <c r="P130" t="str">
        <f>CONCATENATE("/",C130,MID(D130,2,15),"/",svc!$I129)</f>
        <v>/0/</v>
      </c>
      <c r="Q130" t="e">
        <f>VLOOKUP(C130,kong_np_var!$B$6:$C$7,2,FALSE)</f>
        <v>#N/A</v>
      </c>
      <c r="R130" t="e">
        <f>SUBSTITUTE(SUBSTITUTE(kong_np_var!$J$1,"&lt;upstream_name&gt;",$F130),"&lt;kong_api_url&gt;",$Q130)</f>
        <v>#N/A</v>
      </c>
      <c r="S130" t="e">
        <f>SUBSTITUTE(SUBSTITUTE(SUBSTITUTE(SUBSTITUTE(kong_np_var!$J$2,"&lt;kong_api_url&gt;",$Q130),"&lt;upstream_name&gt;",$F130),"&lt;port&gt;",$E130),"&lt;service_name&gt;",$G130)</f>
        <v>#N/A</v>
      </c>
      <c r="T130" t="e">
        <f>SUBSTITUTE(SUBSTITUTE(SUBSTITUTE(SUBSTITUTE(SUBSTITUTE(kong_np_var!$J$3,"&lt;kong_api_url&gt;",$Q130),"&lt;route_name&gt;",$H130),"&lt;service_name&gt;",$G130),"&lt;host&gt;",$O130),"&lt;path&gt;",$P130)</f>
        <v>#N/A</v>
      </c>
      <c r="U130" t="e">
        <f t="shared" si="31"/>
        <v>#N/A</v>
      </c>
      <c r="V130" t="e">
        <f t="shared" si="32"/>
        <v>#N/A</v>
      </c>
      <c r="W130" t="e">
        <f t="shared" si="33"/>
        <v>#N/A</v>
      </c>
      <c r="X130" t="e">
        <f t="shared" si="34"/>
        <v>#N/A</v>
      </c>
      <c r="Y130" t="e">
        <f t="shared" si="35"/>
        <v>#N/A</v>
      </c>
      <c r="Z130" t="e">
        <f t="shared" si="36"/>
        <v>#N/A</v>
      </c>
    </row>
    <row r="131" spans="1:26">
      <c r="A131">
        <f>IF(ISNUMBER(SEARCH("rest_api",svc!R130)),1,0)</f>
        <v>0</v>
      </c>
      <c r="C131">
        <f>svc!D130</f>
        <v>0</v>
      </c>
      <c r="D131">
        <f>svc!$B130</f>
        <v>0</v>
      </c>
      <c r="E131">
        <f>svc!G130</f>
        <v>0</v>
      </c>
      <c r="F131" t="str">
        <f>CONCATENATE("ups-",svc!$B130,"-",svc!I130)</f>
        <v>ups--</v>
      </c>
      <c r="G131" t="str">
        <f>CONCATENATE("svc-",svc!$B130,"-",svc!I130)</f>
        <v>svc--</v>
      </c>
      <c r="H131" t="e">
        <f>CONCATENATE("route-",VLOOKUP($D131,kong_np_var!$B$10:$D$16,2,FALSE),"-",svc!$B130,"-",svc!I130)</f>
        <v>#N/A</v>
      </c>
      <c r="I131" t="e">
        <f>CONCATENATE(VLOOKUP($D131,kong_np_var!$B$20:$H$26,SUBSTITUTE(I$1,"target_","") + 1,FALSE),":",$E131)</f>
        <v>#N/A</v>
      </c>
      <c r="J131" t="e">
        <f>CONCATENATE(VLOOKUP($D131,kong_np_var!$B$20:$H$26,SUBSTITUTE(J$1,"target_","") + 1,FALSE),":",$E131)</f>
        <v>#N/A</v>
      </c>
      <c r="K131" t="e">
        <f>CONCATENATE(VLOOKUP($D131,kong_np_var!$B$20:$H$26,SUBSTITUTE(K$1,"target_","") + 1,FALSE),":",$E131)</f>
        <v>#N/A</v>
      </c>
      <c r="L131" t="e">
        <f>IF($C131="dmz","",CONCATENATE(VLOOKUP($D131,kong_np_var!$B$20:$H$26,SUBSTITUTE(L$1,"target_","") + 1,FALSE),":",$E131))</f>
        <v>#N/A</v>
      </c>
      <c r="M131" t="e">
        <f>IF($C131="dmz","",CONCATENATE(VLOOKUP($D131,kong_np_var!$B$20:$H$26,SUBSTITUTE(M$1,"target_","") + 1,FALSE),":",$E131))</f>
        <v>#N/A</v>
      </c>
      <c r="N131" t="e">
        <f>IF($C131="dmz","",CONCATENATE(VLOOKUP($D131,kong_np_var!$B$20:$H$26,SUBSTITUTE(N$1,"target_","") + 1,FALSE),":",$E131))</f>
        <v>#N/A</v>
      </c>
      <c r="O131" t="e">
        <f>VLOOKUP($D131,kong_np_var!$B$10:$D$16,3,FALSE)</f>
        <v>#N/A</v>
      </c>
      <c r="P131" t="str">
        <f>CONCATENATE("/",C131,MID(D131,2,15),"/",svc!$I130)</f>
        <v>/0/</v>
      </c>
      <c r="Q131" t="e">
        <f>VLOOKUP(C131,kong_np_var!$B$6:$C$7,2,FALSE)</f>
        <v>#N/A</v>
      </c>
      <c r="R131" t="e">
        <f>SUBSTITUTE(SUBSTITUTE(kong_np_var!$J$1,"&lt;upstream_name&gt;",$F131),"&lt;kong_api_url&gt;",$Q131)</f>
        <v>#N/A</v>
      </c>
      <c r="S131" t="e">
        <f>SUBSTITUTE(SUBSTITUTE(SUBSTITUTE(SUBSTITUTE(kong_np_var!$J$2,"&lt;kong_api_url&gt;",$Q131),"&lt;upstream_name&gt;",$F131),"&lt;port&gt;",$E131),"&lt;service_name&gt;",$G131)</f>
        <v>#N/A</v>
      </c>
      <c r="T131" t="e">
        <f>SUBSTITUTE(SUBSTITUTE(SUBSTITUTE(SUBSTITUTE(SUBSTITUTE(kong_np_var!$J$3,"&lt;kong_api_url&gt;",$Q131),"&lt;route_name&gt;",$H131),"&lt;service_name&gt;",$G131),"&lt;host&gt;",$O131),"&lt;path&gt;",$P131)</f>
        <v>#N/A</v>
      </c>
      <c r="U131" t="e">
        <f t="shared" si="31"/>
        <v>#N/A</v>
      </c>
      <c r="V131" t="e">
        <f t="shared" si="32"/>
        <v>#N/A</v>
      </c>
      <c r="W131" t="e">
        <f t="shared" si="33"/>
        <v>#N/A</v>
      </c>
      <c r="X131" t="e">
        <f t="shared" si="34"/>
        <v>#N/A</v>
      </c>
      <c r="Y131" t="e">
        <f t="shared" si="35"/>
        <v>#N/A</v>
      </c>
      <c r="Z131" t="e">
        <f t="shared" si="36"/>
        <v>#N/A</v>
      </c>
    </row>
    <row r="132" spans="1:26">
      <c r="A132">
        <f>IF(ISNUMBER(SEARCH("rest_api",svc!R131)),1,0)</f>
        <v>0</v>
      </c>
      <c r="C132">
        <f>svc!D131</f>
        <v>0</v>
      </c>
      <c r="D132">
        <f>svc!$B131</f>
        <v>0</v>
      </c>
      <c r="E132">
        <f>svc!G131</f>
        <v>0</v>
      </c>
      <c r="F132" t="str">
        <f>CONCATENATE("ups-",svc!$B131,"-",svc!I131)</f>
        <v>ups--</v>
      </c>
      <c r="G132" t="str">
        <f>CONCATENATE("svc-",svc!$B131,"-",svc!I131)</f>
        <v>svc--</v>
      </c>
      <c r="H132" t="e">
        <f>CONCATENATE("route-",VLOOKUP($D132,kong_np_var!$B$10:$D$16,2,FALSE),"-",svc!$B131,"-",svc!I131)</f>
        <v>#N/A</v>
      </c>
      <c r="I132" t="e">
        <f>CONCATENATE(VLOOKUP($D132,kong_np_var!$B$20:$H$26,SUBSTITUTE(I$1,"target_","") + 1,FALSE),":",$E132)</f>
        <v>#N/A</v>
      </c>
      <c r="J132" t="e">
        <f>CONCATENATE(VLOOKUP($D132,kong_np_var!$B$20:$H$26,SUBSTITUTE(J$1,"target_","") + 1,FALSE),":",$E132)</f>
        <v>#N/A</v>
      </c>
      <c r="K132" t="e">
        <f>CONCATENATE(VLOOKUP($D132,kong_np_var!$B$20:$H$26,SUBSTITUTE(K$1,"target_","") + 1,FALSE),":",$E132)</f>
        <v>#N/A</v>
      </c>
      <c r="L132" t="e">
        <f>IF($C132="dmz","",CONCATENATE(VLOOKUP($D132,kong_np_var!$B$20:$H$26,SUBSTITUTE(L$1,"target_","") + 1,FALSE),":",$E132))</f>
        <v>#N/A</v>
      </c>
      <c r="M132" t="e">
        <f>IF($C132="dmz","",CONCATENATE(VLOOKUP($D132,kong_np_var!$B$20:$H$26,SUBSTITUTE(M$1,"target_","") + 1,FALSE),":",$E132))</f>
        <v>#N/A</v>
      </c>
      <c r="N132" t="e">
        <f>IF($C132="dmz","",CONCATENATE(VLOOKUP($D132,kong_np_var!$B$20:$H$26,SUBSTITUTE(N$1,"target_","") + 1,FALSE),":",$E132))</f>
        <v>#N/A</v>
      </c>
      <c r="O132" t="e">
        <f>VLOOKUP($D132,kong_np_var!$B$10:$D$16,3,FALSE)</f>
        <v>#N/A</v>
      </c>
      <c r="P132" t="str">
        <f>CONCATENATE("/",C132,MID(D132,2,15),"/",svc!$I131)</f>
        <v>/0/</v>
      </c>
      <c r="Q132" t="e">
        <f>VLOOKUP(C132,kong_np_var!$B$6:$C$7,2,FALSE)</f>
        <v>#N/A</v>
      </c>
      <c r="R132" t="e">
        <f>SUBSTITUTE(SUBSTITUTE(kong_np_var!$J$1,"&lt;upstream_name&gt;",$F132),"&lt;kong_api_url&gt;",$Q132)</f>
        <v>#N/A</v>
      </c>
      <c r="S132" t="e">
        <f>SUBSTITUTE(SUBSTITUTE(SUBSTITUTE(SUBSTITUTE(kong_np_var!$J$2,"&lt;kong_api_url&gt;",$Q132),"&lt;upstream_name&gt;",$F132),"&lt;port&gt;",$E132),"&lt;service_name&gt;",$G132)</f>
        <v>#N/A</v>
      </c>
      <c r="T132" t="e">
        <f>SUBSTITUTE(SUBSTITUTE(SUBSTITUTE(SUBSTITUTE(SUBSTITUTE(kong_np_var!$J$3,"&lt;kong_api_url&gt;",$Q132),"&lt;route_name&gt;",$H132),"&lt;service_name&gt;",$G132),"&lt;host&gt;",$O132),"&lt;path&gt;",$P132)</f>
        <v>#N/A</v>
      </c>
      <c r="U132" t="e">
        <f t="shared" si="31"/>
        <v>#N/A</v>
      </c>
      <c r="V132" t="e">
        <f t="shared" si="32"/>
        <v>#N/A</v>
      </c>
      <c r="W132" t="e">
        <f t="shared" si="33"/>
        <v>#N/A</v>
      </c>
      <c r="X132" t="e">
        <f t="shared" si="34"/>
        <v>#N/A</v>
      </c>
      <c r="Y132" t="e">
        <f t="shared" si="35"/>
        <v>#N/A</v>
      </c>
      <c r="Z132" t="e">
        <f t="shared" si="36"/>
        <v>#N/A</v>
      </c>
    </row>
    <row r="133" spans="1:26">
      <c r="A133">
        <f>IF(ISNUMBER(SEARCH("rest_api",svc!R132)),1,0)</f>
        <v>0</v>
      </c>
      <c r="C133">
        <f>svc!D132</f>
        <v>0</v>
      </c>
      <c r="D133">
        <f>svc!$B132</f>
        <v>0</v>
      </c>
      <c r="E133">
        <f>svc!G132</f>
        <v>0</v>
      </c>
      <c r="F133" t="str">
        <f>CONCATENATE("ups-",svc!$B132,"-",svc!I132)</f>
        <v>ups--</v>
      </c>
      <c r="G133" t="str">
        <f>CONCATENATE("svc-",svc!$B132,"-",svc!I132)</f>
        <v>svc--</v>
      </c>
      <c r="H133" t="e">
        <f>CONCATENATE("route-",VLOOKUP($D133,kong_np_var!$B$10:$D$16,2,FALSE),"-",svc!$B132,"-",svc!I132)</f>
        <v>#N/A</v>
      </c>
      <c r="I133" t="e">
        <f>CONCATENATE(VLOOKUP($D133,kong_np_var!$B$20:$H$26,SUBSTITUTE(I$1,"target_","") + 1,FALSE),":",$E133)</f>
        <v>#N/A</v>
      </c>
      <c r="J133" t="e">
        <f>CONCATENATE(VLOOKUP($D133,kong_np_var!$B$20:$H$26,SUBSTITUTE(J$1,"target_","") + 1,FALSE),":",$E133)</f>
        <v>#N/A</v>
      </c>
      <c r="K133" t="e">
        <f>CONCATENATE(VLOOKUP($D133,kong_np_var!$B$20:$H$26,SUBSTITUTE(K$1,"target_","") + 1,FALSE),":",$E133)</f>
        <v>#N/A</v>
      </c>
      <c r="L133" t="e">
        <f>IF($C133="dmz","",CONCATENATE(VLOOKUP($D133,kong_np_var!$B$20:$H$26,SUBSTITUTE(L$1,"target_","") + 1,FALSE),":",$E133))</f>
        <v>#N/A</v>
      </c>
      <c r="M133" t="e">
        <f>IF($C133="dmz","",CONCATENATE(VLOOKUP($D133,kong_np_var!$B$20:$H$26,SUBSTITUTE(M$1,"target_","") + 1,FALSE),":",$E133))</f>
        <v>#N/A</v>
      </c>
      <c r="N133" t="e">
        <f>IF($C133="dmz","",CONCATENATE(VLOOKUP($D133,kong_np_var!$B$20:$H$26,SUBSTITUTE(N$1,"target_","") + 1,FALSE),":",$E133))</f>
        <v>#N/A</v>
      </c>
      <c r="O133" t="e">
        <f>VLOOKUP($D133,kong_np_var!$B$10:$D$16,3,FALSE)</f>
        <v>#N/A</v>
      </c>
      <c r="P133" t="str">
        <f>CONCATENATE("/",C133,MID(D133,2,15),"/",svc!$I132)</f>
        <v>/0/</v>
      </c>
      <c r="Q133" t="e">
        <f>VLOOKUP(C133,kong_np_var!$B$6:$C$7,2,FALSE)</f>
        <v>#N/A</v>
      </c>
      <c r="R133" t="e">
        <f>SUBSTITUTE(SUBSTITUTE(kong_np_var!$J$1,"&lt;upstream_name&gt;",$F133),"&lt;kong_api_url&gt;",$Q133)</f>
        <v>#N/A</v>
      </c>
      <c r="S133" t="e">
        <f>SUBSTITUTE(SUBSTITUTE(SUBSTITUTE(SUBSTITUTE(kong_np_var!$J$2,"&lt;kong_api_url&gt;",$Q133),"&lt;upstream_name&gt;",$F133),"&lt;port&gt;",$E133),"&lt;service_name&gt;",$G133)</f>
        <v>#N/A</v>
      </c>
      <c r="T133" t="e">
        <f>SUBSTITUTE(SUBSTITUTE(SUBSTITUTE(SUBSTITUTE(SUBSTITUTE(kong_np_var!$J$3,"&lt;kong_api_url&gt;",$Q133),"&lt;route_name&gt;",$H133),"&lt;service_name&gt;",$G133),"&lt;host&gt;",$O133),"&lt;path&gt;",$P133)</f>
        <v>#N/A</v>
      </c>
      <c r="U133" t="e">
        <f t="shared" si="31"/>
        <v>#N/A</v>
      </c>
      <c r="V133" t="e">
        <f t="shared" si="32"/>
        <v>#N/A</v>
      </c>
      <c r="W133" t="e">
        <f t="shared" si="33"/>
        <v>#N/A</v>
      </c>
      <c r="X133" t="e">
        <f t="shared" si="34"/>
        <v>#N/A</v>
      </c>
      <c r="Y133" t="e">
        <f t="shared" si="35"/>
        <v>#N/A</v>
      </c>
      <c r="Z133" t="e">
        <f t="shared" si="36"/>
        <v>#N/A</v>
      </c>
    </row>
    <row r="134" spans="1:26">
      <c r="A134">
        <f>IF(ISNUMBER(SEARCH("rest_api",svc!R133)),1,0)</f>
        <v>0</v>
      </c>
      <c r="C134">
        <f>svc!D133</f>
        <v>0</v>
      </c>
      <c r="D134">
        <f>svc!$B133</f>
        <v>0</v>
      </c>
      <c r="E134">
        <f>svc!G133</f>
        <v>0</v>
      </c>
      <c r="F134" t="str">
        <f>CONCATENATE("ups-",svc!$B133,"-",svc!I133)</f>
        <v>ups--</v>
      </c>
      <c r="G134" t="str">
        <f>CONCATENATE("svc-",svc!$B133,"-",svc!I133)</f>
        <v>svc--</v>
      </c>
      <c r="H134" t="e">
        <f>CONCATENATE("route-",VLOOKUP($D134,kong_np_var!$B$10:$D$16,2,FALSE),"-",svc!$B133,"-",svc!I133)</f>
        <v>#N/A</v>
      </c>
      <c r="I134" t="e">
        <f>CONCATENATE(VLOOKUP($D134,kong_np_var!$B$20:$H$26,SUBSTITUTE(I$1,"target_","") + 1,FALSE),":",$E134)</f>
        <v>#N/A</v>
      </c>
      <c r="J134" t="e">
        <f>CONCATENATE(VLOOKUP($D134,kong_np_var!$B$20:$H$26,SUBSTITUTE(J$1,"target_","") + 1,FALSE),":",$E134)</f>
        <v>#N/A</v>
      </c>
      <c r="K134" t="e">
        <f>CONCATENATE(VLOOKUP($D134,kong_np_var!$B$20:$H$26,SUBSTITUTE(K$1,"target_","") + 1,FALSE),":",$E134)</f>
        <v>#N/A</v>
      </c>
      <c r="L134" t="e">
        <f>IF($C134="dmz","",CONCATENATE(VLOOKUP($D134,kong_np_var!$B$20:$H$26,SUBSTITUTE(L$1,"target_","") + 1,FALSE),":",$E134))</f>
        <v>#N/A</v>
      </c>
      <c r="M134" t="e">
        <f>IF($C134="dmz","",CONCATENATE(VLOOKUP($D134,kong_np_var!$B$20:$H$26,SUBSTITUTE(M$1,"target_","") + 1,FALSE),":",$E134))</f>
        <v>#N/A</v>
      </c>
      <c r="N134" t="e">
        <f>IF($C134="dmz","",CONCATENATE(VLOOKUP($D134,kong_np_var!$B$20:$H$26,SUBSTITUTE(N$1,"target_","") + 1,FALSE),":",$E134))</f>
        <v>#N/A</v>
      </c>
      <c r="O134" t="e">
        <f>VLOOKUP($D134,kong_np_var!$B$10:$D$16,3,FALSE)</f>
        <v>#N/A</v>
      </c>
      <c r="P134" t="str">
        <f>CONCATENATE("/",C134,MID(D134,2,15),"/",svc!$I133)</f>
        <v>/0/</v>
      </c>
      <c r="Q134" t="e">
        <f>VLOOKUP(C134,kong_np_var!$B$6:$C$7,2,FALSE)</f>
        <v>#N/A</v>
      </c>
      <c r="R134" t="e">
        <f>SUBSTITUTE(SUBSTITUTE(kong_np_var!$J$1,"&lt;upstream_name&gt;",$F134),"&lt;kong_api_url&gt;",$Q134)</f>
        <v>#N/A</v>
      </c>
      <c r="S134" t="e">
        <f>SUBSTITUTE(SUBSTITUTE(SUBSTITUTE(SUBSTITUTE(kong_np_var!$J$2,"&lt;kong_api_url&gt;",$Q134),"&lt;upstream_name&gt;",$F134),"&lt;port&gt;",$E134),"&lt;service_name&gt;",$G134)</f>
        <v>#N/A</v>
      </c>
      <c r="T134" t="e">
        <f>SUBSTITUTE(SUBSTITUTE(SUBSTITUTE(SUBSTITUTE(SUBSTITUTE(kong_np_var!$J$3,"&lt;kong_api_url&gt;",$Q134),"&lt;route_name&gt;",$H134),"&lt;service_name&gt;",$G134),"&lt;host&gt;",$O134),"&lt;path&gt;",$P134)</f>
        <v>#N/A</v>
      </c>
      <c r="U134" t="e">
        <f t="shared" si="31"/>
        <v>#N/A</v>
      </c>
      <c r="V134" t="e">
        <f t="shared" si="32"/>
        <v>#N/A</v>
      </c>
      <c r="W134" t="e">
        <f t="shared" si="33"/>
        <v>#N/A</v>
      </c>
      <c r="X134" t="e">
        <f t="shared" si="34"/>
        <v>#N/A</v>
      </c>
      <c r="Y134" t="e">
        <f t="shared" si="35"/>
        <v>#N/A</v>
      </c>
      <c r="Z134" t="e">
        <f t="shared" si="36"/>
        <v>#N/A</v>
      </c>
    </row>
    <row r="135" spans="1:26">
      <c r="A135">
        <f>IF(ISNUMBER(SEARCH("rest_api",svc!R134)),1,0)</f>
        <v>0</v>
      </c>
      <c r="C135">
        <f>svc!D134</f>
        <v>0</v>
      </c>
      <c r="D135">
        <f>svc!$B134</f>
        <v>0</v>
      </c>
      <c r="E135">
        <f>svc!G134</f>
        <v>0</v>
      </c>
      <c r="F135" t="str">
        <f>CONCATENATE("ups-",svc!$B134,"-",svc!I134)</f>
        <v>ups--</v>
      </c>
      <c r="G135" t="str">
        <f>CONCATENATE("svc-",svc!$B134,"-",svc!I134)</f>
        <v>svc--</v>
      </c>
      <c r="H135" t="e">
        <f>CONCATENATE("route-",VLOOKUP($D135,kong_np_var!$B$10:$D$16,2,FALSE),"-",svc!$B134,"-",svc!I134)</f>
        <v>#N/A</v>
      </c>
      <c r="I135" t="e">
        <f>CONCATENATE(VLOOKUP($D135,kong_np_var!$B$20:$H$26,SUBSTITUTE(I$1,"target_","") + 1,FALSE),":",$E135)</f>
        <v>#N/A</v>
      </c>
      <c r="J135" t="e">
        <f>CONCATENATE(VLOOKUP($D135,kong_np_var!$B$20:$H$26,SUBSTITUTE(J$1,"target_","") + 1,FALSE),":",$E135)</f>
        <v>#N/A</v>
      </c>
      <c r="K135" t="e">
        <f>CONCATENATE(VLOOKUP($D135,kong_np_var!$B$20:$H$26,SUBSTITUTE(K$1,"target_","") + 1,FALSE),":",$E135)</f>
        <v>#N/A</v>
      </c>
      <c r="L135" t="e">
        <f>IF($C135="dmz","",CONCATENATE(VLOOKUP($D135,kong_np_var!$B$20:$H$26,SUBSTITUTE(L$1,"target_","") + 1,FALSE),":",$E135))</f>
        <v>#N/A</v>
      </c>
      <c r="M135" t="e">
        <f>IF($C135="dmz","",CONCATENATE(VLOOKUP($D135,kong_np_var!$B$20:$H$26,SUBSTITUTE(M$1,"target_","") + 1,FALSE),":",$E135))</f>
        <v>#N/A</v>
      </c>
      <c r="N135" t="e">
        <f>IF($C135="dmz","",CONCATENATE(VLOOKUP($D135,kong_np_var!$B$20:$H$26,SUBSTITUTE(N$1,"target_","") + 1,FALSE),":",$E135))</f>
        <v>#N/A</v>
      </c>
      <c r="O135" t="e">
        <f>VLOOKUP($D135,kong_np_var!$B$10:$D$16,3,FALSE)</f>
        <v>#N/A</v>
      </c>
      <c r="P135" t="str">
        <f>CONCATENATE("/",C135,MID(D135,2,15),"/",svc!$I134)</f>
        <v>/0/</v>
      </c>
      <c r="Q135" t="e">
        <f>VLOOKUP(C135,kong_np_var!$B$6:$C$7,2,FALSE)</f>
        <v>#N/A</v>
      </c>
      <c r="R135" t="e">
        <f>SUBSTITUTE(SUBSTITUTE(kong_np_var!$J$1,"&lt;upstream_name&gt;",$F135),"&lt;kong_api_url&gt;",$Q135)</f>
        <v>#N/A</v>
      </c>
      <c r="S135" t="e">
        <f>SUBSTITUTE(SUBSTITUTE(SUBSTITUTE(SUBSTITUTE(kong_np_var!$J$2,"&lt;kong_api_url&gt;",$Q135),"&lt;upstream_name&gt;",$F135),"&lt;port&gt;",$E135),"&lt;service_name&gt;",$G135)</f>
        <v>#N/A</v>
      </c>
      <c r="T135" t="e">
        <f>SUBSTITUTE(SUBSTITUTE(SUBSTITUTE(SUBSTITUTE(SUBSTITUTE(kong_np_var!$J$3,"&lt;kong_api_url&gt;",$Q135),"&lt;route_name&gt;",$H135),"&lt;service_name&gt;",$G135),"&lt;host&gt;",$O135),"&lt;path&gt;",$P135)</f>
        <v>#N/A</v>
      </c>
      <c r="U135" t="e">
        <f t="shared" si="31"/>
        <v>#N/A</v>
      </c>
      <c r="V135" t="e">
        <f t="shared" si="32"/>
        <v>#N/A</v>
      </c>
      <c r="W135" t="e">
        <f t="shared" si="33"/>
        <v>#N/A</v>
      </c>
      <c r="X135" t="e">
        <f t="shared" si="34"/>
        <v>#N/A</v>
      </c>
      <c r="Y135" t="e">
        <f t="shared" si="35"/>
        <v>#N/A</v>
      </c>
      <c r="Z135" t="e">
        <f t="shared" si="36"/>
        <v>#N/A</v>
      </c>
    </row>
    <row r="136" spans="1:26">
      <c r="A136">
        <f>IF(ISNUMBER(SEARCH("rest_api",svc!R135)),1,0)</f>
        <v>0</v>
      </c>
      <c r="C136">
        <f>svc!D135</f>
        <v>0</v>
      </c>
      <c r="D136">
        <f>svc!$B135</f>
        <v>0</v>
      </c>
      <c r="E136">
        <f>svc!G135</f>
        <v>0</v>
      </c>
      <c r="F136" t="str">
        <f>CONCATENATE("ups-",svc!$B135,"-",svc!I135)</f>
        <v>ups--</v>
      </c>
      <c r="G136" t="str">
        <f>CONCATENATE("svc-",svc!$B135,"-",svc!I135)</f>
        <v>svc--</v>
      </c>
      <c r="H136" t="e">
        <f>CONCATENATE("route-",VLOOKUP($D136,kong_np_var!$B$10:$D$16,2,FALSE),"-",svc!$B135,"-",svc!I135)</f>
        <v>#N/A</v>
      </c>
      <c r="I136" t="e">
        <f>CONCATENATE(VLOOKUP($D136,kong_np_var!$B$20:$H$26,SUBSTITUTE(I$1,"target_","") + 1,FALSE),":",$E136)</f>
        <v>#N/A</v>
      </c>
      <c r="J136" t="e">
        <f>CONCATENATE(VLOOKUP($D136,kong_np_var!$B$20:$H$26,SUBSTITUTE(J$1,"target_","") + 1,FALSE),":",$E136)</f>
        <v>#N/A</v>
      </c>
      <c r="K136" t="e">
        <f>CONCATENATE(VLOOKUP($D136,kong_np_var!$B$20:$H$26,SUBSTITUTE(K$1,"target_","") + 1,FALSE),":",$E136)</f>
        <v>#N/A</v>
      </c>
      <c r="L136" t="e">
        <f>IF($C136="dmz","",CONCATENATE(VLOOKUP($D136,kong_np_var!$B$20:$H$26,SUBSTITUTE(L$1,"target_","") + 1,FALSE),":",$E136))</f>
        <v>#N/A</v>
      </c>
      <c r="M136" t="e">
        <f>IF($C136="dmz","",CONCATENATE(VLOOKUP($D136,kong_np_var!$B$20:$H$26,SUBSTITUTE(M$1,"target_","") + 1,FALSE),":",$E136))</f>
        <v>#N/A</v>
      </c>
      <c r="N136" t="e">
        <f>IF($C136="dmz","",CONCATENATE(VLOOKUP($D136,kong_np_var!$B$20:$H$26,SUBSTITUTE(N$1,"target_","") + 1,FALSE),":",$E136))</f>
        <v>#N/A</v>
      </c>
      <c r="O136" t="e">
        <f>VLOOKUP($D136,kong_np_var!$B$10:$D$16,3,FALSE)</f>
        <v>#N/A</v>
      </c>
      <c r="P136" t="str">
        <f>CONCATENATE("/",C136,MID(D136,2,15),"/",svc!$I135)</f>
        <v>/0/</v>
      </c>
      <c r="Q136" t="e">
        <f>VLOOKUP(C136,kong_np_var!$B$6:$C$7,2,FALSE)</f>
        <v>#N/A</v>
      </c>
      <c r="R136" t="e">
        <f>SUBSTITUTE(SUBSTITUTE(kong_np_var!$J$1,"&lt;upstream_name&gt;",$F136),"&lt;kong_api_url&gt;",$Q136)</f>
        <v>#N/A</v>
      </c>
      <c r="S136" t="e">
        <f>SUBSTITUTE(SUBSTITUTE(SUBSTITUTE(SUBSTITUTE(kong_np_var!$J$2,"&lt;kong_api_url&gt;",$Q136),"&lt;upstream_name&gt;",$F136),"&lt;port&gt;",$E136),"&lt;service_name&gt;",$G136)</f>
        <v>#N/A</v>
      </c>
      <c r="T136" t="e">
        <f>SUBSTITUTE(SUBSTITUTE(SUBSTITUTE(SUBSTITUTE(SUBSTITUTE(kong_np_var!$J$3,"&lt;kong_api_url&gt;",$Q136),"&lt;route_name&gt;",$H136),"&lt;service_name&gt;",$G136),"&lt;host&gt;",$O136),"&lt;path&gt;",$P136)</f>
        <v>#N/A</v>
      </c>
      <c r="U136" t="e">
        <f t="shared" si="31"/>
        <v>#N/A</v>
      </c>
      <c r="V136" t="e">
        <f t="shared" si="32"/>
        <v>#N/A</v>
      </c>
      <c r="W136" t="e">
        <f t="shared" si="33"/>
        <v>#N/A</v>
      </c>
      <c r="X136" t="e">
        <f t="shared" si="34"/>
        <v>#N/A</v>
      </c>
      <c r="Y136" t="e">
        <f t="shared" si="35"/>
        <v>#N/A</v>
      </c>
      <c r="Z136" t="e">
        <f t="shared" si="36"/>
        <v>#N/A</v>
      </c>
    </row>
    <row r="137" spans="1:26">
      <c r="A137">
        <f>IF(ISNUMBER(SEARCH("rest_api",svc!R136)),1,0)</f>
        <v>0</v>
      </c>
      <c r="C137">
        <f>svc!D136</f>
        <v>0</v>
      </c>
      <c r="D137">
        <f>svc!$B136</f>
        <v>0</v>
      </c>
      <c r="E137">
        <f>svc!G136</f>
        <v>0</v>
      </c>
      <c r="F137" t="str">
        <f>CONCATENATE("ups-",svc!$B136,"-",svc!I136)</f>
        <v>ups--</v>
      </c>
      <c r="G137" t="str">
        <f>CONCATENATE("svc-",svc!$B136,"-",svc!I136)</f>
        <v>svc--</v>
      </c>
      <c r="H137" t="e">
        <f>CONCATENATE("route-",VLOOKUP($D137,kong_np_var!$B$10:$D$16,2,FALSE),"-",svc!$B136,"-",svc!I136)</f>
        <v>#N/A</v>
      </c>
      <c r="I137" t="e">
        <f>CONCATENATE(VLOOKUP($D137,kong_np_var!$B$20:$H$26,SUBSTITUTE(I$1,"target_","") + 1,FALSE),":",$E137)</f>
        <v>#N/A</v>
      </c>
      <c r="J137" t="e">
        <f>CONCATENATE(VLOOKUP($D137,kong_np_var!$B$20:$H$26,SUBSTITUTE(J$1,"target_","") + 1,FALSE),":",$E137)</f>
        <v>#N/A</v>
      </c>
      <c r="K137" t="e">
        <f>CONCATENATE(VLOOKUP($D137,kong_np_var!$B$20:$H$26,SUBSTITUTE(K$1,"target_","") + 1,FALSE),":",$E137)</f>
        <v>#N/A</v>
      </c>
      <c r="L137" t="e">
        <f>IF($C137="dmz","",CONCATENATE(VLOOKUP($D137,kong_np_var!$B$20:$H$26,SUBSTITUTE(L$1,"target_","") + 1,FALSE),":",$E137))</f>
        <v>#N/A</v>
      </c>
      <c r="M137" t="e">
        <f>IF($C137="dmz","",CONCATENATE(VLOOKUP($D137,kong_np_var!$B$20:$H$26,SUBSTITUTE(M$1,"target_","") + 1,FALSE),":",$E137))</f>
        <v>#N/A</v>
      </c>
      <c r="N137" t="e">
        <f>IF($C137="dmz","",CONCATENATE(VLOOKUP($D137,kong_np_var!$B$20:$H$26,SUBSTITUTE(N$1,"target_","") + 1,FALSE),":",$E137))</f>
        <v>#N/A</v>
      </c>
      <c r="O137" t="e">
        <f>VLOOKUP($D137,kong_np_var!$B$10:$D$16,3,FALSE)</f>
        <v>#N/A</v>
      </c>
      <c r="P137" t="str">
        <f>CONCATENATE("/",C137,MID(D137,2,15),"/",svc!$I136)</f>
        <v>/0/</v>
      </c>
      <c r="Q137" t="e">
        <f>VLOOKUP(C137,kong_np_var!$B$6:$C$7,2,FALSE)</f>
        <v>#N/A</v>
      </c>
      <c r="R137" t="e">
        <f>SUBSTITUTE(SUBSTITUTE(kong_np_var!$J$1,"&lt;upstream_name&gt;",$F137),"&lt;kong_api_url&gt;",$Q137)</f>
        <v>#N/A</v>
      </c>
      <c r="S137" t="e">
        <f>SUBSTITUTE(SUBSTITUTE(SUBSTITUTE(SUBSTITUTE(kong_np_var!$J$2,"&lt;kong_api_url&gt;",$Q137),"&lt;upstream_name&gt;",$F137),"&lt;port&gt;",$E137),"&lt;service_name&gt;",$G137)</f>
        <v>#N/A</v>
      </c>
      <c r="T137" t="e">
        <f>SUBSTITUTE(SUBSTITUTE(SUBSTITUTE(SUBSTITUTE(SUBSTITUTE(kong_np_var!$J$3,"&lt;kong_api_url&gt;",$Q137),"&lt;route_name&gt;",$H137),"&lt;service_name&gt;",$G137),"&lt;host&gt;",$O137),"&lt;path&gt;",$P137)</f>
        <v>#N/A</v>
      </c>
      <c r="U137" t="e">
        <f t="shared" si="31"/>
        <v>#N/A</v>
      </c>
      <c r="V137" t="e">
        <f t="shared" si="32"/>
        <v>#N/A</v>
      </c>
      <c r="W137" t="e">
        <f t="shared" si="33"/>
        <v>#N/A</v>
      </c>
      <c r="X137" t="e">
        <f t="shared" si="34"/>
        <v>#N/A</v>
      </c>
      <c r="Y137" t="e">
        <f t="shared" si="35"/>
        <v>#N/A</v>
      </c>
      <c r="Z137" t="e">
        <f t="shared" si="36"/>
        <v>#N/A</v>
      </c>
    </row>
    <row r="138" spans="1:26">
      <c r="A138">
        <f>IF(ISNUMBER(SEARCH("rest_api",svc!R137)),1,0)</f>
        <v>0</v>
      </c>
      <c r="C138">
        <f>svc!D137</f>
        <v>0</v>
      </c>
      <c r="D138">
        <f>svc!$B137</f>
        <v>0</v>
      </c>
      <c r="E138">
        <f>svc!G137</f>
        <v>0</v>
      </c>
      <c r="F138" t="str">
        <f>CONCATENATE("ups-",svc!$B137,"-",svc!I137)</f>
        <v>ups--</v>
      </c>
      <c r="G138" t="str">
        <f>CONCATENATE("svc-",svc!$B137,"-",svc!I137)</f>
        <v>svc--</v>
      </c>
      <c r="H138" t="e">
        <f>CONCATENATE("route-",VLOOKUP($D138,kong_np_var!$B$10:$D$16,2,FALSE),"-",svc!$B137,"-",svc!I137)</f>
        <v>#N/A</v>
      </c>
      <c r="I138" t="e">
        <f>CONCATENATE(VLOOKUP($D138,kong_np_var!$B$20:$H$26,SUBSTITUTE(I$1,"target_","") + 1,FALSE),":",$E138)</f>
        <v>#N/A</v>
      </c>
      <c r="J138" t="e">
        <f>CONCATENATE(VLOOKUP($D138,kong_np_var!$B$20:$H$26,SUBSTITUTE(J$1,"target_","") + 1,FALSE),":",$E138)</f>
        <v>#N/A</v>
      </c>
      <c r="K138" t="e">
        <f>CONCATENATE(VLOOKUP($D138,kong_np_var!$B$20:$H$26,SUBSTITUTE(K$1,"target_","") + 1,FALSE),":",$E138)</f>
        <v>#N/A</v>
      </c>
      <c r="L138" t="e">
        <f>IF($C138="dmz","",CONCATENATE(VLOOKUP($D138,kong_np_var!$B$20:$H$26,SUBSTITUTE(L$1,"target_","") + 1,FALSE),":",$E138))</f>
        <v>#N/A</v>
      </c>
      <c r="M138" t="e">
        <f>IF($C138="dmz","",CONCATENATE(VLOOKUP($D138,kong_np_var!$B$20:$H$26,SUBSTITUTE(M$1,"target_","") + 1,FALSE),":",$E138))</f>
        <v>#N/A</v>
      </c>
      <c r="N138" t="e">
        <f>IF($C138="dmz","",CONCATENATE(VLOOKUP($D138,kong_np_var!$B$20:$H$26,SUBSTITUTE(N$1,"target_","") + 1,FALSE),":",$E138))</f>
        <v>#N/A</v>
      </c>
      <c r="O138" t="e">
        <f>VLOOKUP($D138,kong_np_var!$B$10:$D$16,3,FALSE)</f>
        <v>#N/A</v>
      </c>
      <c r="P138" t="str">
        <f>CONCATENATE("/",C138,MID(D138,2,15),"/",svc!$I137)</f>
        <v>/0/</v>
      </c>
      <c r="Q138" t="e">
        <f>VLOOKUP(C138,kong_np_var!$B$6:$C$7,2,FALSE)</f>
        <v>#N/A</v>
      </c>
      <c r="R138" t="e">
        <f>SUBSTITUTE(SUBSTITUTE(kong_np_var!$J$1,"&lt;upstream_name&gt;",$F138),"&lt;kong_api_url&gt;",$Q138)</f>
        <v>#N/A</v>
      </c>
      <c r="S138" t="e">
        <f>SUBSTITUTE(SUBSTITUTE(SUBSTITUTE(SUBSTITUTE(kong_np_var!$J$2,"&lt;kong_api_url&gt;",$Q138),"&lt;upstream_name&gt;",$F138),"&lt;port&gt;",$E138),"&lt;service_name&gt;",$G138)</f>
        <v>#N/A</v>
      </c>
      <c r="T138" t="e">
        <f>SUBSTITUTE(SUBSTITUTE(SUBSTITUTE(SUBSTITUTE(SUBSTITUTE(kong_np_var!$J$3,"&lt;kong_api_url&gt;",$Q138),"&lt;route_name&gt;",$H138),"&lt;service_name&gt;",$G138),"&lt;host&gt;",$O138),"&lt;path&gt;",$P138)</f>
        <v>#N/A</v>
      </c>
      <c r="U138" t="e">
        <f t="shared" si="31"/>
        <v>#N/A</v>
      </c>
      <c r="V138" t="e">
        <f t="shared" si="32"/>
        <v>#N/A</v>
      </c>
      <c r="W138" t="e">
        <f t="shared" si="33"/>
        <v>#N/A</v>
      </c>
      <c r="X138" t="e">
        <f t="shared" si="34"/>
        <v>#N/A</v>
      </c>
      <c r="Y138" t="e">
        <f t="shared" si="35"/>
        <v>#N/A</v>
      </c>
      <c r="Z138" t="e">
        <f t="shared" si="36"/>
        <v>#N/A</v>
      </c>
    </row>
    <row r="139" spans="1:26">
      <c r="A139">
        <f>IF(ISNUMBER(SEARCH("rest_api",svc!R138)),1,0)</f>
        <v>0</v>
      </c>
      <c r="C139">
        <f>svc!D138</f>
        <v>0</v>
      </c>
      <c r="D139">
        <f>svc!$B138</f>
        <v>0</v>
      </c>
      <c r="E139">
        <f>svc!G138</f>
        <v>0</v>
      </c>
      <c r="F139" t="str">
        <f>CONCATENATE("ups-",svc!$B138,"-",svc!I138)</f>
        <v>ups--</v>
      </c>
      <c r="G139" t="str">
        <f>CONCATENATE("svc-",svc!$B138,"-",svc!I138)</f>
        <v>svc--</v>
      </c>
      <c r="H139" t="e">
        <f>CONCATENATE("route-",VLOOKUP($D139,kong_np_var!$B$10:$D$16,2,FALSE),"-",svc!$B138,"-",svc!I138)</f>
        <v>#N/A</v>
      </c>
      <c r="I139" t="e">
        <f>CONCATENATE(VLOOKUP($D139,kong_np_var!$B$20:$H$26,SUBSTITUTE(I$1,"target_","") + 1,FALSE),":",$E139)</f>
        <v>#N/A</v>
      </c>
      <c r="J139" t="e">
        <f>CONCATENATE(VLOOKUP($D139,kong_np_var!$B$20:$H$26,SUBSTITUTE(J$1,"target_","") + 1,FALSE),":",$E139)</f>
        <v>#N/A</v>
      </c>
      <c r="K139" t="e">
        <f>CONCATENATE(VLOOKUP($D139,kong_np_var!$B$20:$H$26,SUBSTITUTE(K$1,"target_","") + 1,FALSE),":",$E139)</f>
        <v>#N/A</v>
      </c>
      <c r="L139" t="e">
        <f>IF($C139="dmz","",CONCATENATE(VLOOKUP($D139,kong_np_var!$B$20:$H$26,SUBSTITUTE(L$1,"target_","") + 1,FALSE),":",$E139))</f>
        <v>#N/A</v>
      </c>
      <c r="M139" t="e">
        <f>IF($C139="dmz","",CONCATENATE(VLOOKUP($D139,kong_np_var!$B$20:$H$26,SUBSTITUTE(M$1,"target_","") + 1,FALSE),":",$E139))</f>
        <v>#N/A</v>
      </c>
      <c r="N139" t="e">
        <f>IF($C139="dmz","",CONCATENATE(VLOOKUP($D139,kong_np_var!$B$20:$H$26,SUBSTITUTE(N$1,"target_","") + 1,FALSE),":",$E139))</f>
        <v>#N/A</v>
      </c>
      <c r="O139" t="e">
        <f>VLOOKUP($D139,kong_np_var!$B$10:$D$16,3,FALSE)</f>
        <v>#N/A</v>
      </c>
      <c r="P139" t="str">
        <f>CONCATENATE("/",C139,MID(D139,2,15),"/",svc!$I138)</f>
        <v>/0/</v>
      </c>
      <c r="Q139" t="e">
        <f>VLOOKUP(C139,kong_np_var!$B$6:$C$7,2,FALSE)</f>
        <v>#N/A</v>
      </c>
      <c r="R139" t="e">
        <f>SUBSTITUTE(SUBSTITUTE(kong_np_var!$J$1,"&lt;upstream_name&gt;",$F139),"&lt;kong_api_url&gt;",$Q139)</f>
        <v>#N/A</v>
      </c>
      <c r="S139" t="e">
        <f>SUBSTITUTE(SUBSTITUTE(SUBSTITUTE(SUBSTITUTE(kong_np_var!$J$2,"&lt;kong_api_url&gt;",$Q139),"&lt;upstream_name&gt;",$F139),"&lt;port&gt;",$E139),"&lt;service_name&gt;",$G139)</f>
        <v>#N/A</v>
      </c>
      <c r="T139" t="e">
        <f>SUBSTITUTE(SUBSTITUTE(SUBSTITUTE(SUBSTITUTE(SUBSTITUTE(kong_np_var!$J$3,"&lt;kong_api_url&gt;",$Q139),"&lt;route_name&gt;",$H139),"&lt;service_name&gt;",$G139),"&lt;host&gt;",$O139),"&lt;path&gt;",$P139)</f>
        <v>#N/A</v>
      </c>
      <c r="U139" t="e">
        <f t="shared" si="31"/>
        <v>#N/A</v>
      </c>
      <c r="V139" t="e">
        <f t="shared" si="32"/>
        <v>#N/A</v>
      </c>
      <c r="W139" t="e">
        <f t="shared" si="33"/>
        <v>#N/A</v>
      </c>
      <c r="X139" t="e">
        <f t="shared" si="34"/>
        <v>#N/A</v>
      </c>
      <c r="Y139" t="e">
        <f t="shared" si="35"/>
        <v>#N/A</v>
      </c>
      <c r="Z139" t="e">
        <f t="shared" si="36"/>
        <v>#N/A</v>
      </c>
    </row>
    <row r="140" spans="1:26">
      <c r="A140">
        <f>IF(ISNUMBER(SEARCH("rest_api",svc!R139)),1,0)</f>
        <v>0</v>
      </c>
      <c r="C140">
        <f>svc!D139</f>
        <v>0</v>
      </c>
      <c r="D140">
        <f>svc!$B139</f>
        <v>0</v>
      </c>
      <c r="E140">
        <f>svc!G139</f>
        <v>0</v>
      </c>
      <c r="F140" t="str">
        <f>CONCATENATE("ups-",svc!$B139,"-",svc!I139)</f>
        <v>ups--</v>
      </c>
      <c r="G140" t="str">
        <f>CONCATENATE("svc-",svc!$B139,"-",svc!I139)</f>
        <v>svc--</v>
      </c>
      <c r="H140" t="e">
        <f>CONCATENATE("route-",VLOOKUP($D140,kong_np_var!$B$10:$D$16,2,FALSE),"-",svc!$B139,"-",svc!I139)</f>
        <v>#N/A</v>
      </c>
      <c r="I140" t="e">
        <f>CONCATENATE(VLOOKUP($D140,kong_np_var!$B$20:$H$26,SUBSTITUTE(I$1,"target_","") + 1,FALSE),":",$E140)</f>
        <v>#N/A</v>
      </c>
      <c r="J140" t="e">
        <f>CONCATENATE(VLOOKUP($D140,kong_np_var!$B$20:$H$26,SUBSTITUTE(J$1,"target_","") + 1,FALSE),":",$E140)</f>
        <v>#N/A</v>
      </c>
      <c r="K140" t="e">
        <f>CONCATENATE(VLOOKUP($D140,kong_np_var!$B$20:$H$26,SUBSTITUTE(K$1,"target_","") + 1,FALSE),":",$E140)</f>
        <v>#N/A</v>
      </c>
      <c r="L140" t="e">
        <f>IF($C140="dmz","",CONCATENATE(VLOOKUP($D140,kong_np_var!$B$20:$H$26,SUBSTITUTE(L$1,"target_","") + 1,FALSE),":",$E140))</f>
        <v>#N/A</v>
      </c>
      <c r="M140" t="e">
        <f>IF($C140="dmz","",CONCATENATE(VLOOKUP($D140,kong_np_var!$B$20:$H$26,SUBSTITUTE(M$1,"target_","") + 1,FALSE),":",$E140))</f>
        <v>#N/A</v>
      </c>
      <c r="N140" t="e">
        <f>IF($C140="dmz","",CONCATENATE(VLOOKUP($D140,kong_np_var!$B$20:$H$26,SUBSTITUTE(N$1,"target_","") + 1,FALSE),":",$E140))</f>
        <v>#N/A</v>
      </c>
      <c r="O140" t="e">
        <f>VLOOKUP($D140,kong_np_var!$B$10:$D$16,3,FALSE)</f>
        <v>#N/A</v>
      </c>
      <c r="P140" t="str">
        <f>CONCATENATE("/",C140,MID(D140,2,15),"/",svc!$I139)</f>
        <v>/0/</v>
      </c>
      <c r="Q140" t="e">
        <f>VLOOKUP(C140,kong_np_var!$B$6:$C$7,2,FALSE)</f>
        <v>#N/A</v>
      </c>
      <c r="R140" t="e">
        <f>SUBSTITUTE(SUBSTITUTE(kong_np_var!$J$1,"&lt;upstream_name&gt;",$F140),"&lt;kong_api_url&gt;",$Q140)</f>
        <v>#N/A</v>
      </c>
      <c r="S140" t="e">
        <f>SUBSTITUTE(SUBSTITUTE(SUBSTITUTE(SUBSTITUTE(kong_np_var!$J$2,"&lt;kong_api_url&gt;",$Q140),"&lt;upstream_name&gt;",$F140),"&lt;port&gt;",$E140),"&lt;service_name&gt;",$G140)</f>
        <v>#N/A</v>
      </c>
      <c r="T140" t="e">
        <f>SUBSTITUTE(SUBSTITUTE(SUBSTITUTE(SUBSTITUTE(SUBSTITUTE(kong_np_var!$J$3,"&lt;kong_api_url&gt;",$Q140),"&lt;route_name&gt;",$H140),"&lt;service_name&gt;",$G140),"&lt;host&gt;",$O140),"&lt;path&gt;",$P140)</f>
        <v>#N/A</v>
      </c>
      <c r="U140" t="e">
        <f t="shared" si="31"/>
        <v>#N/A</v>
      </c>
      <c r="V140" t="e">
        <f t="shared" si="32"/>
        <v>#N/A</v>
      </c>
      <c r="W140" t="e">
        <f t="shared" si="33"/>
        <v>#N/A</v>
      </c>
      <c r="X140" t="e">
        <f t="shared" si="34"/>
        <v>#N/A</v>
      </c>
      <c r="Y140" t="e">
        <f t="shared" si="35"/>
        <v>#N/A</v>
      </c>
      <c r="Z140" t="e">
        <f t="shared" si="36"/>
        <v>#N/A</v>
      </c>
    </row>
    <row r="141" spans="1:26">
      <c r="A141">
        <f>IF(ISNUMBER(SEARCH("rest_api",svc!R140)),1,0)</f>
        <v>0</v>
      </c>
      <c r="C141">
        <f>svc!D140</f>
        <v>0</v>
      </c>
      <c r="D141">
        <f>svc!$B140</f>
        <v>0</v>
      </c>
      <c r="E141">
        <f>svc!G140</f>
        <v>0</v>
      </c>
      <c r="F141" t="str">
        <f>CONCATENATE("ups-",svc!$B140,"-",svc!I140)</f>
        <v>ups--</v>
      </c>
      <c r="G141" t="str">
        <f>CONCATENATE("svc-",svc!$B140,"-",svc!I140)</f>
        <v>svc--</v>
      </c>
      <c r="H141" t="e">
        <f>CONCATENATE("route-",VLOOKUP($D141,kong_np_var!$B$10:$D$16,2,FALSE),"-",svc!$B140,"-",svc!I140)</f>
        <v>#N/A</v>
      </c>
      <c r="I141" t="e">
        <f>CONCATENATE(VLOOKUP($D141,kong_np_var!$B$20:$H$26,SUBSTITUTE(I$1,"target_","") + 1,FALSE),":",$E141)</f>
        <v>#N/A</v>
      </c>
      <c r="J141" t="e">
        <f>CONCATENATE(VLOOKUP($D141,kong_np_var!$B$20:$H$26,SUBSTITUTE(J$1,"target_","") + 1,FALSE),":",$E141)</f>
        <v>#N/A</v>
      </c>
      <c r="K141" t="e">
        <f>CONCATENATE(VLOOKUP($D141,kong_np_var!$B$20:$H$26,SUBSTITUTE(K$1,"target_","") + 1,FALSE),":",$E141)</f>
        <v>#N/A</v>
      </c>
      <c r="L141" t="e">
        <f>IF($C141="dmz","",CONCATENATE(VLOOKUP($D141,kong_np_var!$B$20:$H$26,SUBSTITUTE(L$1,"target_","") + 1,FALSE),":",$E141))</f>
        <v>#N/A</v>
      </c>
      <c r="M141" t="e">
        <f>IF($C141="dmz","",CONCATENATE(VLOOKUP($D141,kong_np_var!$B$20:$H$26,SUBSTITUTE(M$1,"target_","") + 1,FALSE),":",$E141))</f>
        <v>#N/A</v>
      </c>
      <c r="N141" t="e">
        <f>IF($C141="dmz","",CONCATENATE(VLOOKUP($D141,kong_np_var!$B$20:$H$26,SUBSTITUTE(N$1,"target_","") + 1,FALSE),":",$E141))</f>
        <v>#N/A</v>
      </c>
      <c r="O141" t="e">
        <f>VLOOKUP($D141,kong_np_var!$B$10:$D$16,3,FALSE)</f>
        <v>#N/A</v>
      </c>
      <c r="P141" t="str">
        <f>CONCATENATE("/",C141,MID(D141,2,15),"/",svc!$I140)</f>
        <v>/0/</v>
      </c>
      <c r="Q141" t="e">
        <f>VLOOKUP(C141,kong_np_var!$B$6:$C$7,2,FALSE)</f>
        <v>#N/A</v>
      </c>
      <c r="R141" t="e">
        <f>SUBSTITUTE(SUBSTITUTE(kong_np_var!$J$1,"&lt;upstream_name&gt;",$F141),"&lt;kong_api_url&gt;",$Q141)</f>
        <v>#N/A</v>
      </c>
      <c r="S141" t="e">
        <f>SUBSTITUTE(SUBSTITUTE(SUBSTITUTE(SUBSTITUTE(kong_np_var!$J$2,"&lt;kong_api_url&gt;",$Q141),"&lt;upstream_name&gt;",$F141),"&lt;port&gt;",$E141),"&lt;service_name&gt;",$G141)</f>
        <v>#N/A</v>
      </c>
      <c r="T141" t="e">
        <f>SUBSTITUTE(SUBSTITUTE(SUBSTITUTE(SUBSTITUTE(SUBSTITUTE(kong_np_var!$J$3,"&lt;kong_api_url&gt;",$Q141),"&lt;route_name&gt;",$H141),"&lt;service_name&gt;",$G141),"&lt;host&gt;",$O141),"&lt;path&gt;",$P141)</f>
        <v>#N/A</v>
      </c>
      <c r="U141" t="e">
        <f t="shared" si="31"/>
        <v>#N/A</v>
      </c>
      <c r="V141" t="e">
        <f t="shared" si="32"/>
        <v>#N/A</v>
      </c>
      <c r="W141" t="e">
        <f t="shared" si="33"/>
        <v>#N/A</v>
      </c>
      <c r="X141" t="e">
        <f t="shared" si="34"/>
        <v>#N/A</v>
      </c>
      <c r="Y141" t="e">
        <f t="shared" si="35"/>
        <v>#N/A</v>
      </c>
      <c r="Z141" t="e">
        <f t="shared" si="36"/>
        <v>#N/A</v>
      </c>
    </row>
    <row r="142" spans="1:26">
      <c r="A142">
        <f>IF(ISNUMBER(SEARCH("rest_api",svc!R141)),1,0)</f>
        <v>0</v>
      </c>
      <c r="C142">
        <f>svc!D141</f>
        <v>0</v>
      </c>
      <c r="D142">
        <f>svc!$B141</f>
        <v>0</v>
      </c>
      <c r="E142">
        <f>svc!G141</f>
        <v>0</v>
      </c>
      <c r="F142" t="str">
        <f>CONCATENATE("ups-",svc!$B141,"-",svc!I141)</f>
        <v>ups--</v>
      </c>
      <c r="G142" t="str">
        <f>CONCATENATE("svc-",svc!$B141,"-",svc!I141)</f>
        <v>svc--</v>
      </c>
      <c r="H142" t="e">
        <f>CONCATENATE("route-",VLOOKUP($D142,kong_np_var!$B$10:$D$16,2,FALSE),"-",svc!$B141,"-",svc!I141)</f>
        <v>#N/A</v>
      </c>
      <c r="I142" t="e">
        <f>CONCATENATE(VLOOKUP($D142,kong_np_var!$B$20:$H$26,SUBSTITUTE(I$1,"target_","") + 1,FALSE),":",$E142)</f>
        <v>#N/A</v>
      </c>
      <c r="J142" t="e">
        <f>CONCATENATE(VLOOKUP($D142,kong_np_var!$B$20:$H$26,SUBSTITUTE(J$1,"target_","") + 1,FALSE),":",$E142)</f>
        <v>#N/A</v>
      </c>
      <c r="K142" t="e">
        <f>CONCATENATE(VLOOKUP($D142,kong_np_var!$B$20:$H$26,SUBSTITUTE(K$1,"target_","") + 1,FALSE),":",$E142)</f>
        <v>#N/A</v>
      </c>
      <c r="L142" t="e">
        <f>IF($C142="dmz","",CONCATENATE(VLOOKUP($D142,kong_np_var!$B$20:$H$26,SUBSTITUTE(L$1,"target_","") + 1,FALSE),":",$E142))</f>
        <v>#N/A</v>
      </c>
      <c r="M142" t="e">
        <f>IF($C142="dmz","",CONCATENATE(VLOOKUP($D142,kong_np_var!$B$20:$H$26,SUBSTITUTE(M$1,"target_","") + 1,FALSE),":",$E142))</f>
        <v>#N/A</v>
      </c>
      <c r="N142" t="e">
        <f>IF($C142="dmz","",CONCATENATE(VLOOKUP($D142,kong_np_var!$B$20:$H$26,SUBSTITUTE(N$1,"target_","") + 1,FALSE),":",$E142))</f>
        <v>#N/A</v>
      </c>
      <c r="O142" t="e">
        <f>VLOOKUP($D142,kong_np_var!$B$10:$D$16,3,FALSE)</f>
        <v>#N/A</v>
      </c>
      <c r="P142" t="str">
        <f>CONCATENATE("/",C142,MID(D142,2,15),"/",svc!$I141)</f>
        <v>/0/</v>
      </c>
      <c r="Q142" t="e">
        <f>VLOOKUP(C142,kong_np_var!$B$6:$C$7,2,FALSE)</f>
        <v>#N/A</v>
      </c>
      <c r="R142" t="e">
        <f>SUBSTITUTE(SUBSTITUTE(kong_np_var!$J$1,"&lt;upstream_name&gt;",$F142),"&lt;kong_api_url&gt;",$Q142)</f>
        <v>#N/A</v>
      </c>
      <c r="S142" t="e">
        <f>SUBSTITUTE(SUBSTITUTE(SUBSTITUTE(SUBSTITUTE(kong_np_var!$J$2,"&lt;kong_api_url&gt;",$Q142),"&lt;upstream_name&gt;",$F142),"&lt;port&gt;",$E142),"&lt;service_name&gt;",$G142)</f>
        <v>#N/A</v>
      </c>
      <c r="T142" t="e">
        <f>SUBSTITUTE(SUBSTITUTE(SUBSTITUTE(SUBSTITUTE(SUBSTITUTE(kong_np_var!$J$3,"&lt;kong_api_url&gt;",$Q142),"&lt;route_name&gt;",$H142),"&lt;service_name&gt;",$G142),"&lt;host&gt;",$O142),"&lt;path&gt;",$P142)</f>
        <v>#N/A</v>
      </c>
      <c r="U142" t="e">
        <f t="shared" si="31"/>
        <v>#N/A</v>
      </c>
      <c r="V142" t="e">
        <f t="shared" si="32"/>
        <v>#N/A</v>
      </c>
      <c r="W142" t="e">
        <f t="shared" si="33"/>
        <v>#N/A</v>
      </c>
      <c r="X142" t="e">
        <f t="shared" si="34"/>
        <v>#N/A</v>
      </c>
      <c r="Y142" t="e">
        <f t="shared" si="35"/>
        <v>#N/A</v>
      </c>
      <c r="Z142" t="e">
        <f t="shared" si="36"/>
        <v>#N/A</v>
      </c>
    </row>
  </sheetData>
  <autoFilter ref="A1:X110">
    <filterColumn colId="0">
      <filters>
        <filter val="1"/>
      </filters>
    </filterColumn>
    <filterColumn colId="3">
      <filters>
        <filter val="v504"/>
        <filter val="v504_itoms1"/>
        <filter val="v510"/>
        <filter val="v630"/>
        <filter val="v804"/>
        <filter val="v810"/>
        <filter val="v904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selection activeCell="D16" sqref="A9:D16"/>
    </sheetView>
  </sheetViews>
  <sheetFormatPr defaultColWidth="20.42578125" defaultRowHeight="15.75"/>
  <cols>
    <col min="1" max="1" width="12.7109375" bestFit="1" customWidth="1"/>
    <col min="2" max="2" width="10.140625" bestFit="1" customWidth="1"/>
    <col min="3" max="3" width="25.5703125" bestFit="1" customWidth="1"/>
    <col min="4" max="8" width="15" bestFit="1" customWidth="1"/>
    <col min="9" max="9" width="17.7109375" bestFit="1" customWidth="1"/>
    <col min="10" max="10" width="126" bestFit="1" customWidth="1"/>
  </cols>
  <sheetData>
    <row r="1" spans="1:10">
      <c r="I1" t="s">
        <v>383</v>
      </c>
      <c r="J1" t="s">
        <v>397</v>
      </c>
    </row>
    <row r="2" spans="1:10">
      <c r="I2" t="s">
        <v>384</v>
      </c>
      <c r="J2" t="s">
        <v>399</v>
      </c>
    </row>
    <row r="3" spans="1:10">
      <c r="I3" t="s">
        <v>385</v>
      </c>
      <c r="J3" t="s">
        <v>398</v>
      </c>
    </row>
    <row r="4" spans="1:10">
      <c r="I4" t="s">
        <v>410</v>
      </c>
      <c r="J4" t="s">
        <v>461</v>
      </c>
    </row>
    <row r="6" spans="1:10">
      <c r="A6" t="s">
        <v>396</v>
      </c>
      <c r="B6" t="s">
        <v>362</v>
      </c>
      <c r="C6" t="s">
        <v>465</v>
      </c>
    </row>
    <row r="7" spans="1:10">
      <c r="A7" t="s">
        <v>396</v>
      </c>
      <c r="B7" t="s">
        <v>395</v>
      </c>
      <c r="C7" t="s">
        <v>466</v>
      </c>
    </row>
    <row r="9" spans="1:10">
      <c r="C9" t="s">
        <v>386</v>
      </c>
    </row>
    <row r="10" spans="1:10">
      <c r="A10" t="s">
        <v>356</v>
      </c>
      <c r="B10" t="s">
        <v>46</v>
      </c>
      <c r="C10" t="s">
        <v>359</v>
      </c>
      <c r="D10" t="s">
        <v>467</v>
      </c>
    </row>
    <row r="11" spans="1:10">
      <c r="A11" t="s">
        <v>356</v>
      </c>
      <c r="B11" t="s">
        <v>365</v>
      </c>
      <c r="C11" t="s">
        <v>357</v>
      </c>
      <c r="D11" t="s">
        <v>468</v>
      </c>
    </row>
    <row r="12" spans="1:10">
      <c r="A12" t="s">
        <v>356</v>
      </c>
      <c r="B12" t="s">
        <v>366</v>
      </c>
      <c r="C12" t="s">
        <v>358</v>
      </c>
      <c r="D12" t="s">
        <v>469</v>
      </c>
    </row>
    <row r="13" spans="1:10">
      <c r="A13" t="s">
        <v>356</v>
      </c>
      <c r="B13" t="s">
        <v>357</v>
      </c>
      <c r="C13" t="s">
        <v>365</v>
      </c>
      <c r="D13" t="s">
        <v>470</v>
      </c>
    </row>
    <row r="14" spans="1:10">
      <c r="A14" t="s">
        <v>356</v>
      </c>
      <c r="B14" t="s">
        <v>358</v>
      </c>
      <c r="C14" t="s">
        <v>366</v>
      </c>
      <c r="D14" t="s">
        <v>471</v>
      </c>
    </row>
    <row r="15" spans="1:10">
      <c r="A15" t="s">
        <v>356</v>
      </c>
      <c r="B15" t="s">
        <v>359</v>
      </c>
      <c r="C15" t="s">
        <v>46</v>
      </c>
      <c r="D15" t="s">
        <v>472</v>
      </c>
    </row>
    <row r="16" spans="1:10">
      <c r="A16" t="s">
        <v>356</v>
      </c>
      <c r="B16" t="s">
        <v>360</v>
      </c>
      <c r="C16" t="s">
        <v>46</v>
      </c>
      <c r="D16" t="s">
        <v>473</v>
      </c>
    </row>
    <row r="19" spans="1:8">
      <c r="B19" t="s">
        <v>364</v>
      </c>
      <c r="C19" t="s">
        <v>368</v>
      </c>
      <c r="D19" t="s">
        <v>369</v>
      </c>
      <c r="E19" t="s">
        <v>370</v>
      </c>
      <c r="F19" t="s">
        <v>371</v>
      </c>
      <c r="G19" t="s">
        <v>372</v>
      </c>
      <c r="H19" t="s">
        <v>373</v>
      </c>
    </row>
    <row r="20" spans="1:8">
      <c r="A20" t="s">
        <v>361</v>
      </c>
      <c r="B20" t="s">
        <v>46</v>
      </c>
      <c r="C20" t="s">
        <v>474</v>
      </c>
      <c r="D20" t="s">
        <v>475</v>
      </c>
      <c r="E20" t="s">
        <v>476</v>
      </c>
      <c r="F20" t="s">
        <v>477</v>
      </c>
      <c r="G20" t="s">
        <v>478</v>
      </c>
      <c r="H20" t="s">
        <v>479</v>
      </c>
    </row>
    <row r="21" spans="1:8">
      <c r="A21" t="s">
        <v>361</v>
      </c>
      <c r="B21" t="s">
        <v>365</v>
      </c>
      <c r="C21" t="s">
        <v>480</v>
      </c>
      <c r="D21" t="s">
        <v>481</v>
      </c>
      <c r="E21" t="s">
        <v>482</v>
      </c>
      <c r="F21" t="s">
        <v>483</v>
      </c>
      <c r="G21" t="s">
        <v>484</v>
      </c>
      <c r="H21" t="s">
        <v>485</v>
      </c>
    </row>
    <row r="22" spans="1:8">
      <c r="A22" t="s">
        <v>361</v>
      </c>
      <c r="B22" t="s">
        <v>366</v>
      </c>
      <c r="C22" t="s">
        <v>486</v>
      </c>
      <c r="D22" t="s">
        <v>487</v>
      </c>
      <c r="E22" t="s">
        <v>488</v>
      </c>
      <c r="F22" t="s">
        <v>489</v>
      </c>
      <c r="G22" t="s">
        <v>490</v>
      </c>
      <c r="H22" t="s">
        <v>491</v>
      </c>
    </row>
    <row r="23" spans="1:8">
      <c r="A23" t="s">
        <v>361</v>
      </c>
      <c r="B23" t="s">
        <v>357</v>
      </c>
      <c r="C23" t="s">
        <v>492</v>
      </c>
      <c r="D23" t="s">
        <v>493</v>
      </c>
      <c r="E23" t="s">
        <v>494</v>
      </c>
    </row>
    <row r="24" spans="1:8">
      <c r="A24" t="s">
        <v>361</v>
      </c>
      <c r="B24" t="s">
        <v>358</v>
      </c>
      <c r="C24" t="s">
        <v>495</v>
      </c>
      <c r="D24" t="s">
        <v>496</v>
      </c>
      <c r="E24" t="s">
        <v>497</v>
      </c>
    </row>
    <row r="25" spans="1:8">
      <c r="A25" t="s">
        <v>361</v>
      </c>
      <c r="B25" t="s">
        <v>359</v>
      </c>
      <c r="C25" t="s">
        <v>498</v>
      </c>
      <c r="D25" t="s">
        <v>499</v>
      </c>
      <c r="E25" t="s">
        <v>500</v>
      </c>
    </row>
    <row r="26" spans="1:8">
      <c r="A26" t="s">
        <v>361</v>
      </c>
      <c r="B26" t="s">
        <v>360</v>
      </c>
      <c r="C26" t="s">
        <v>501</v>
      </c>
      <c r="D26" t="s">
        <v>502</v>
      </c>
      <c r="E26" t="s">
        <v>504</v>
      </c>
    </row>
    <row r="42" spans="9:9">
      <c r="I42" s="121"/>
    </row>
    <row r="43" spans="9:9">
      <c r="I43" s="121"/>
    </row>
    <row r="44" spans="9:9">
      <c r="I44" s="121"/>
    </row>
    <row r="45" spans="9:9">
      <c r="I45" s="121"/>
    </row>
    <row r="46" spans="9:9">
      <c r="I46" s="121"/>
    </row>
    <row r="47" spans="9:9">
      <c r="I47" s="1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34"/>
  <sheetViews>
    <sheetView workbookViewId="0">
      <pane ySplit="1" topLeftCell="A106" activePane="bottomLeft" state="frozen"/>
      <selection pane="bottomLeft" activeCell="C121" sqref="C121"/>
    </sheetView>
  </sheetViews>
  <sheetFormatPr defaultRowHeight="15.75"/>
  <cols>
    <col min="1" max="1" width="14.28515625" bestFit="1" customWidth="1"/>
    <col min="2" max="3" width="13.85546875" customWidth="1"/>
    <col min="4" max="4" width="12.42578125" bestFit="1" customWidth="1"/>
    <col min="5" max="5" width="7.85546875" bestFit="1" customWidth="1"/>
    <col min="6" max="6" width="37" customWidth="1"/>
    <col min="7" max="7" width="37.140625" customWidth="1"/>
    <col min="8" max="8" width="42.42578125" bestFit="1" customWidth="1"/>
    <col min="9" max="13" width="21.28515625" bestFit="1" customWidth="1"/>
    <col min="14" max="14" width="19.5703125" customWidth="1"/>
    <col min="15" max="15" width="13.7109375" bestFit="1" customWidth="1"/>
    <col min="16" max="16" width="38.28515625" customWidth="1"/>
    <col min="17" max="17" width="25.85546875" customWidth="1"/>
    <col min="18" max="26" width="30.7109375" customWidth="1"/>
    <col min="27" max="52" width="9.7109375" customWidth="1"/>
  </cols>
  <sheetData>
    <row r="1" spans="1:26" s="123" customFormat="1" ht="16.5" thickBot="1">
      <c r="A1" s="123" t="s">
        <v>380</v>
      </c>
      <c r="C1" s="123" t="s">
        <v>393</v>
      </c>
      <c r="D1" s="122" t="s">
        <v>364</v>
      </c>
      <c r="E1" s="123" t="s">
        <v>382</v>
      </c>
      <c r="F1" s="123" t="s">
        <v>355</v>
      </c>
      <c r="G1" s="123" t="s">
        <v>381</v>
      </c>
      <c r="H1" s="123" t="s">
        <v>387</v>
      </c>
      <c r="I1" s="123" t="s">
        <v>374</v>
      </c>
      <c r="J1" s="123" t="s">
        <v>375</v>
      </c>
      <c r="K1" s="123" t="s">
        <v>376</v>
      </c>
      <c r="L1" s="123" t="s">
        <v>377</v>
      </c>
      <c r="M1" s="123" t="s">
        <v>378</v>
      </c>
      <c r="N1" s="123" t="s">
        <v>379</v>
      </c>
      <c r="O1" s="123" t="s">
        <v>391</v>
      </c>
      <c r="P1" s="123" t="s">
        <v>392</v>
      </c>
      <c r="Q1" s="123" t="s">
        <v>396</v>
      </c>
      <c r="R1" s="123" t="s">
        <v>388</v>
      </c>
      <c r="S1" s="123" t="s">
        <v>389</v>
      </c>
      <c r="T1" s="123" t="s">
        <v>390</v>
      </c>
      <c r="U1" s="123" t="s">
        <v>411</v>
      </c>
      <c r="V1" s="123" t="s">
        <v>412</v>
      </c>
      <c r="W1" s="123" t="s">
        <v>413</v>
      </c>
      <c r="X1" s="123" t="s">
        <v>414</v>
      </c>
      <c r="Y1" s="123" t="s">
        <v>415</v>
      </c>
      <c r="Z1" s="123" t="s">
        <v>416</v>
      </c>
    </row>
    <row r="2" spans="1:26">
      <c r="A2">
        <f>IF(ISNUMBER(SEARCH("rest_api",svc!R2)),1,0)</f>
        <v>1</v>
      </c>
      <c r="C2" t="str">
        <f>svc!D2</f>
        <v>dmz</v>
      </c>
      <c r="D2" t="str">
        <f>svc!$B2</f>
        <v>v504</v>
      </c>
      <c r="E2">
        <f>svc!G2</f>
        <v>31011</v>
      </c>
      <c r="F2" t="str">
        <f>CONCATENATE("ups-",svc!$B2,"-",svc!I2)</f>
        <v>ups-v504-bes_signalr_server</v>
      </c>
      <c r="G2" t="str">
        <f>CONCATENATE("svc-",svc!$B2,"-",svc!I2)</f>
        <v>svc-v504-bes_signalr_server</v>
      </c>
      <c r="H2" t="str">
        <f>CONCATENATE("route-",VLOOKUP($D2,kong_p2_var!$B$10:$D$16,2,FALSE),"-",svc!$B2,"-",svc!I2)</f>
        <v>route-v510-v504-bes_signalr_server</v>
      </c>
      <c r="I2" t="str">
        <f>CONCATENATE(VLOOKUP($D2,kong_p2_var!$B$20:$H$26,SUBSTITUTE(I$1,"target_","") + 1,FALSE),":",$E2)</f>
        <v>172.20.148.102:31011</v>
      </c>
      <c r="J2" t="str">
        <f>CONCATENATE(VLOOKUP($D2,kong_p2_var!$B$20:$H$26,SUBSTITUTE(J$1,"target_","") + 1,FALSE),":",$E2)</f>
        <v>172.20.148.103:31011</v>
      </c>
      <c r="K2" t="str">
        <f>CONCATENATE(VLOOKUP($D2,kong_p2_var!$B$20:$H$26,SUBSTITUTE(K$1,"target_","") + 1,FALSE),":",$E2)</f>
        <v>172.20.148.104:31011</v>
      </c>
      <c r="L2" t="str">
        <f>IF($C2="dmz","",CONCATENATE(VLOOKUP($D2,kong_p2_var!$B$20:$H$26,SUBSTITUTE(L$1,"target_","") + 1,FALSE),":",$E2))</f>
        <v/>
      </c>
      <c r="M2" t="str">
        <f>IF($C2="dmz","",CONCATENATE(VLOOKUP($D2,kong_p2_var!$B$20:$H$26,SUBSTITUTE(M$1,"target_","") + 1,FALSE),":",$E2))</f>
        <v/>
      </c>
      <c r="N2" t="str">
        <f>IF($C2="dmz","",CONCATENATE(VLOOKUP($D2,kong_p2_var!$B$20:$H$26,SUBSTITUTE(N$1,"target_","") + 1,FALSE),":",$E2))</f>
        <v/>
      </c>
      <c r="O2" t="str">
        <f>VLOOKUP($D2,kong_p2_var!$B$10:$D$16,3,FALSE)</f>
        <v>172.20.148.71</v>
      </c>
      <c r="P2" t="str">
        <f>CONCATENATE("/",C2,MID(D2,2,15),"/",svc!$I2)</f>
        <v>/dmz504/bes_signalr_server</v>
      </c>
      <c r="Q2" t="str">
        <f>VLOOKUP(C2,kong_p2_var!$B$6:$C$7,2,FALSE)</f>
        <v>http://172.20.149.80:8001</v>
      </c>
      <c r="R2" t="str">
        <f>SUBSTITUTE(SUBSTITUTE(kong_p2_var!$J$1,"&lt;upstream_name&gt;",$F2),"&lt;kong_api_url&gt;",$Q2)</f>
        <v>curl -X PUT http://172.20.149.80:8001/upstreams/ups-v504-bes_signalr_server</v>
      </c>
      <c r="S2" t="str">
        <f>SUBSTITUTE(SUBSTITUTE(SUBSTITUTE(SUBSTITUTE(kong_p2_var!$J$2,"&lt;kong_api_url&gt;",$Q2),"&lt;upstream_name&gt;",$F2),"&lt;port&gt;",$E2),"&lt;service_name&gt;",$G2)</f>
        <v>curl -X PUT http://172.20.149.80:8001/services/svc-v504-bes_signalr_server -H "Content-Type: application/json" -d '{"protocol":"http","host":"ups-v504-bes_signalr_server","port":31011}'</v>
      </c>
      <c r="T2" t="str">
        <f>SUBSTITUTE(SUBSTITUTE(SUBSTITUTE(SUBSTITUTE(SUBSTITUTE(kong_p2_var!$J$3,"&lt;kong_api_url&gt;",$Q2),"&lt;route_name&gt;",$H2),"&lt;service_name&gt;",$G2),"&lt;host&gt;",$O2),"&lt;path&gt;",$P2)</f>
        <v>curl -X PUT http://172.20.149.80:8001/services/svc-v504-bes_signalr_server/routes/route-v510-v504-bes_signalr_server -H "Content-Type: application/json" -d '{"protocols":["http"],"hosts":["172.20.148.71"],"paths":["/dmz504/bes_signalr_server"]}'</v>
      </c>
      <c r="U2" t="str">
        <f t="shared" ref="U2:Z2" si="0">IF(I2="","","curl -X POST " &amp; $Q2 &amp; "/upstreams/"&amp; $F2 &amp;"/targets -d 'target="&amp; I2 &amp; "'")</f>
        <v>curl -X POST http://172.20.149.80:8001/upstreams/ups-v504-bes_signalr_server/targets -d 'target=172.20.148.102:31011'</v>
      </c>
      <c r="V2" t="str">
        <f t="shared" si="0"/>
        <v>curl -X POST http://172.20.149.80:8001/upstreams/ups-v504-bes_signalr_server/targets -d 'target=172.20.148.103:31011'</v>
      </c>
      <c r="W2" t="str">
        <f t="shared" si="0"/>
        <v>curl -X POST http://172.20.149.80:8001/upstreams/ups-v504-bes_signalr_server/targets -d 'target=172.20.148.104:31011'</v>
      </c>
      <c r="X2" t="str">
        <f t="shared" si="0"/>
        <v/>
      </c>
      <c r="Y2" t="str">
        <f t="shared" si="0"/>
        <v/>
      </c>
      <c r="Z2" t="str">
        <f t="shared" si="0"/>
        <v/>
      </c>
    </row>
    <row r="3" spans="1:26">
      <c r="A3">
        <f>IF(ISNUMBER(SEARCH("rest_api",svc!R3)),1,0)</f>
        <v>1</v>
      </c>
      <c r="C3" t="str">
        <f>svc!D3</f>
        <v>dmz</v>
      </c>
      <c r="D3" t="str">
        <f>svc!$B3</f>
        <v>v504</v>
      </c>
      <c r="E3">
        <f>svc!G3</f>
        <v>31026</v>
      </c>
      <c r="F3" t="str">
        <f>CONCATENATE("ups-",svc!$B3,"-",svc!I3)</f>
        <v>ups-v504-bes_wmm</v>
      </c>
      <c r="G3" t="str">
        <f>CONCATENATE("svc-",svc!$B3,"-",svc!I3)</f>
        <v>svc-v504-bes_wmm</v>
      </c>
      <c r="H3" t="str">
        <f>CONCATENATE("route-",VLOOKUP($D3,kong_p2_var!$B$10:$D$16,2,FALSE),"-",svc!$B3,"-",svc!I3)</f>
        <v>route-v510-v504-bes_wmm</v>
      </c>
      <c r="I3" t="str">
        <f>CONCATENATE(VLOOKUP($D3,kong_p2_var!$B$20:$H$26,SUBSTITUTE(I$1,"target_","") + 1,FALSE),":",$E3)</f>
        <v>172.20.148.102:31026</v>
      </c>
      <c r="J3" t="str">
        <f>CONCATENATE(VLOOKUP($D3,kong_p2_var!$B$20:$H$26,SUBSTITUTE(J$1,"target_","") + 1,FALSE),":",$E3)</f>
        <v>172.20.148.103:31026</v>
      </c>
      <c r="K3" t="str">
        <f>CONCATENATE(VLOOKUP($D3,kong_p2_var!$B$20:$H$26,SUBSTITUTE(K$1,"target_","") + 1,FALSE),":",$E3)</f>
        <v>172.20.148.104:31026</v>
      </c>
      <c r="L3" t="str">
        <f>IF($C3="dmz","",CONCATENATE(VLOOKUP($D3,kong_p2_var!$B$20:$H$26,SUBSTITUTE(L$1,"target_","") + 1,FALSE),":",$E3))</f>
        <v/>
      </c>
      <c r="M3" t="str">
        <f>IF($C3="dmz","",CONCATENATE(VLOOKUP($D3,kong_p2_var!$B$20:$H$26,SUBSTITUTE(M$1,"target_","") + 1,FALSE),":",$E3))</f>
        <v/>
      </c>
      <c r="N3" t="str">
        <f>IF($C3="dmz","",CONCATENATE(VLOOKUP($D3,kong_p2_var!$B$20:$H$26,SUBSTITUTE(N$1,"target_","") + 1,FALSE),":",$E3))</f>
        <v/>
      </c>
      <c r="O3" t="str">
        <f>VLOOKUP($D3,kong_p2_var!$B$10:$D$16,3,FALSE)</f>
        <v>172.20.148.71</v>
      </c>
      <c r="P3" t="str">
        <f>CONCATENATE("/",C3,MID(D3,2,15),"/",svc!$I3)</f>
        <v>/dmz504/bes_wmm</v>
      </c>
      <c r="Q3" t="str">
        <f>VLOOKUP(C3,kong_p2_var!$B$6:$C$7,2,FALSE)</f>
        <v>http://172.20.149.80:8001</v>
      </c>
      <c r="R3" t="str">
        <f>SUBSTITUTE(SUBSTITUTE(kong_p2_var!$J$1,"&lt;upstream_name&gt;",$F3),"&lt;kong_api_url&gt;",$Q3)</f>
        <v>curl -X PUT http://172.20.149.80:8001/upstreams/ups-v504-bes_wmm</v>
      </c>
      <c r="S3" t="str">
        <f>SUBSTITUTE(SUBSTITUTE(SUBSTITUTE(SUBSTITUTE(kong_p2_var!$J$2,"&lt;kong_api_url&gt;",$Q3),"&lt;upstream_name&gt;",$F3),"&lt;port&gt;",$E3),"&lt;service_name&gt;",$G3)</f>
        <v>curl -X PUT http://172.20.149.80:8001/services/svc-v504-bes_wmm -H "Content-Type: application/json" -d '{"protocol":"http","host":"ups-v504-bes_wmm","port":31026}'</v>
      </c>
      <c r="T3" t="str">
        <f>SUBSTITUTE(SUBSTITUTE(SUBSTITUTE(SUBSTITUTE(SUBSTITUTE(kong_p2_var!$J$3,"&lt;kong_api_url&gt;",$Q3),"&lt;route_name&gt;",$H3),"&lt;service_name&gt;",$G3),"&lt;host&gt;",$O3),"&lt;path&gt;",$P3)</f>
        <v>curl -X PUT http://172.20.149.80:8001/services/svc-v504-bes_wmm/routes/route-v510-v504-bes_wmm -H "Content-Type: application/json" -d '{"protocols":["http"],"hosts":["172.20.148.71"],"paths":["/dmz504/bes_wmm"]}'</v>
      </c>
      <c r="U3" t="str">
        <f t="shared" ref="U3:U66" si="1">IF(I3="","","curl -X POST " &amp; $Q3 &amp; "/upstreams/"&amp; $F3 &amp;"/targets -d 'target="&amp; I3 &amp; "'")</f>
        <v>curl -X POST http://172.20.149.80:8001/upstreams/ups-v504-bes_wmm/targets -d 'target=172.20.148.102:31026'</v>
      </c>
      <c r="V3" t="str">
        <f t="shared" ref="V3:V66" si="2">IF(J3="","","curl -X POST " &amp; $Q3 &amp; "/upstreams/"&amp; $F3 &amp;"/targets -d 'target="&amp; J3 &amp; "'")</f>
        <v>curl -X POST http://172.20.149.80:8001/upstreams/ups-v504-bes_wmm/targets -d 'target=172.20.148.103:31026'</v>
      </c>
      <c r="W3" t="str">
        <f t="shared" ref="W3:W66" si="3">IF(K3="","","curl -X POST " &amp; $Q3 &amp; "/upstreams/"&amp; $F3 &amp;"/targets -d 'target="&amp; K3 &amp; "'")</f>
        <v>curl -X POST http://172.20.149.80:8001/upstreams/ups-v504-bes_wmm/targets -d 'target=172.20.148.104:31026'</v>
      </c>
      <c r="X3" t="str">
        <f t="shared" ref="X3:X66" si="4">IF(L3="","","curl -X POST " &amp; $Q3 &amp; "/upstreams/"&amp; $F3 &amp;"/targets -d 'target="&amp; L3 &amp; "'")</f>
        <v/>
      </c>
      <c r="Y3" t="str">
        <f t="shared" ref="Y3:Y66" si="5">IF(M3="","","curl -X POST " &amp; $Q3 &amp; "/upstreams/"&amp; $F3 &amp;"/targets -d 'target="&amp; M3 &amp; "'")</f>
        <v/>
      </c>
      <c r="Z3" t="str">
        <f t="shared" ref="Z3:Z66" si="6">IF(N3="","","curl -X POST " &amp; $Q3 &amp; "/upstreams/"&amp; $F3 &amp;"/targets -d 'target="&amp; N3 &amp; "'")</f>
        <v/>
      </c>
    </row>
    <row r="4" spans="1:26">
      <c r="A4">
        <f>IF(ISNUMBER(SEARCH("rest_api",svc!R4)),1,0)</f>
        <v>1</v>
      </c>
      <c r="C4" t="str">
        <f>svc!D4</f>
        <v>dmz</v>
      </c>
      <c r="D4" t="str">
        <f>svc!$B4</f>
        <v>v804</v>
      </c>
      <c r="E4">
        <f>svc!G4</f>
        <v>31026</v>
      </c>
      <c r="F4" t="str">
        <f>CONCATENATE("ups-",svc!$B4,"-",svc!I4)</f>
        <v>ups-v804-bes_wmm</v>
      </c>
      <c r="G4" t="str">
        <f>CONCATENATE("svc-",svc!$B4,"-",svc!I4)</f>
        <v>svc-v804-bes_wmm</v>
      </c>
      <c r="H4" t="str">
        <f>CONCATENATE("route-",VLOOKUP($D4,kong_p2_var!$B$10:$D$16,2,FALSE),"-",svc!$B4,"-",svc!I4)</f>
        <v>route-v810-v804-bes_wmm</v>
      </c>
      <c r="I4" t="str">
        <f>CONCATENATE(VLOOKUP($D4,kong_p2_var!$B$20:$H$26,SUBSTITUTE(I$1,"target_","") + 1,FALSE),":",$E4)</f>
        <v>172.20.149.70:31026</v>
      </c>
      <c r="J4" t="str">
        <f>CONCATENATE(VLOOKUP($D4,kong_p2_var!$B$20:$H$26,SUBSTITUTE(J$1,"target_","") + 1,FALSE),":",$E4)</f>
        <v>172.20.149.71:31026</v>
      </c>
      <c r="K4" t="str">
        <f>CONCATENATE(VLOOKUP($D4,kong_p2_var!$B$20:$H$26,SUBSTITUTE(K$1,"target_","") + 1,FALSE),":",$E4)</f>
        <v>172.20.149.72:31026</v>
      </c>
      <c r="L4" t="str">
        <f>IF($C4="dmz","",CONCATENATE(VLOOKUP($D4,kong_p2_var!$B$20:$H$26,SUBSTITUTE(L$1,"target_","") + 1,FALSE),":",$E4))</f>
        <v/>
      </c>
      <c r="M4" t="str">
        <f>IF($C4="dmz","",CONCATENATE(VLOOKUP($D4,kong_p2_var!$B$20:$H$26,SUBSTITUTE(M$1,"target_","") + 1,FALSE),":",$E4))</f>
        <v/>
      </c>
      <c r="N4" t="str">
        <f>IF($C4="dmz","",CONCATENATE(VLOOKUP($D4,kong_p2_var!$B$20:$H$26,SUBSTITUTE(N$1,"target_","") + 1,FALSE),":",$E4))</f>
        <v/>
      </c>
      <c r="O4" t="str">
        <f>VLOOKUP($D4,kong_p2_var!$B$10:$D$16,3,FALSE)</f>
        <v>172.20.151.71</v>
      </c>
      <c r="P4" t="str">
        <f>CONCATENATE("/",C4,MID(D4,2,15),"/",svc!$I4)</f>
        <v>/dmz804/bes_wmm</v>
      </c>
      <c r="Q4" t="str">
        <f>VLOOKUP(C4,kong_p2_var!$B$6:$C$7,2,FALSE)</f>
        <v>http://172.20.149.80:8001</v>
      </c>
      <c r="R4" t="str">
        <f>SUBSTITUTE(SUBSTITUTE(kong_p2_var!$J$1,"&lt;upstream_name&gt;",$F4),"&lt;kong_api_url&gt;",$Q4)</f>
        <v>curl -X PUT http://172.20.149.80:8001/upstreams/ups-v804-bes_wmm</v>
      </c>
      <c r="S4" t="str">
        <f>SUBSTITUTE(SUBSTITUTE(SUBSTITUTE(SUBSTITUTE(kong_p2_var!$J$2,"&lt;kong_api_url&gt;",$Q4),"&lt;upstream_name&gt;",$F4),"&lt;port&gt;",$E4),"&lt;service_name&gt;",$G4)</f>
        <v>curl -X PUT http://172.20.149.80:8001/services/svc-v804-bes_wmm -H "Content-Type: application/json" -d '{"protocol":"http","host":"ups-v804-bes_wmm","port":31026}'</v>
      </c>
      <c r="T4" t="str">
        <f>SUBSTITUTE(SUBSTITUTE(SUBSTITUTE(SUBSTITUTE(SUBSTITUTE(kong_p2_var!$J$3,"&lt;kong_api_url&gt;",$Q4),"&lt;route_name&gt;",$H4),"&lt;service_name&gt;",$G4),"&lt;host&gt;",$O4),"&lt;path&gt;",$P4)</f>
        <v>curl -X PUT http://172.20.149.80:8001/services/svc-v804-bes_wmm/routes/route-v810-v804-bes_wmm -H "Content-Type: application/json" -d '{"protocols":["http"],"hosts":["172.20.151.71"],"paths":["/dmz804/bes_wmm"]}'</v>
      </c>
      <c r="U4" t="str">
        <f t="shared" si="1"/>
        <v>curl -X POST http://172.20.149.80:8001/upstreams/ups-v804-bes_wmm/targets -d 'target=172.20.149.70:31026'</v>
      </c>
      <c r="V4" t="str">
        <f t="shared" si="2"/>
        <v>curl -X POST http://172.20.149.80:8001/upstreams/ups-v804-bes_wmm/targets -d 'target=172.20.149.71:31026'</v>
      </c>
      <c r="W4" t="str">
        <f t="shared" si="3"/>
        <v>curl -X POST http://172.20.149.80:8001/upstreams/ups-v804-bes_wmm/targets -d 'target=172.20.149.72:31026'</v>
      </c>
      <c r="X4" t="str">
        <f t="shared" si="4"/>
        <v/>
      </c>
      <c r="Y4" t="str">
        <f t="shared" si="5"/>
        <v/>
      </c>
      <c r="Z4" t="str">
        <f t="shared" si="6"/>
        <v/>
      </c>
    </row>
    <row r="5" spans="1:26" hidden="1">
      <c r="A5">
        <f>IF(ISNUMBER(SEARCH("rest_api",svc!R5)),1,0)</f>
        <v>0</v>
      </c>
      <c r="C5" t="str">
        <f>svc!D5</f>
        <v>dmz</v>
      </c>
      <c r="D5" t="str">
        <f>svc!$B5</f>
        <v>v504</v>
      </c>
      <c r="E5">
        <f>svc!G5</f>
        <v>31010</v>
      </c>
      <c r="F5" t="str">
        <f>CONCATENATE("ups-",svc!$B5,"-",svc!I5)</f>
        <v>ups-v504-bescore_portal</v>
      </c>
      <c r="G5" t="str">
        <f>CONCATENATE("svc-",svc!$B5,"-",svc!I5)</f>
        <v>svc-v504-bescore_portal</v>
      </c>
      <c r="H5" t="str">
        <f>CONCATENATE("route-",VLOOKUP($D5,kong_p2_var!$B$10:$D$16,2,FALSE),"-",svc!$B5,"-",svc!I5)</f>
        <v>route-v510-v504-bescore_portal</v>
      </c>
      <c r="I5" t="str">
        <f>CONCATENATE(VLOOKUP($D5,kong_p2_var!$B$20:$H$26,SUBSTITUTE(I$1,"target_","") + 1,FALSE),":",$E5)</f>
        <v>172.20.148.102:31010</v>
      </c>
      <c r="J5" t="str">
        <f>CONCATENATE(VLOOKUP($D5,kong_p2_var!$B$20:$H$26,SUBSTITUTE(J$1,"target_","") + 1,FALSE),":",$E5)</f>
        <v>172.20.148.103:31010</v>
      </c>
      <c r="K5" t="str">
        <f>CONCATENATE(VLOOKUP($D5,kong_p2_var!$B$20:$H$26,SUBSTITUTE(K$1,"target_","") + 1,FALSE),":",$E5)</f>
        <v>172.20.148.104:31010</v>
      </c>
      <c r="L5" t="str">
        <f>IF($C5="dmz","",CONCATENATE(VLOOKUP($D5,kong_p2_var!$B$20:$H$26,SUBSTITUTE(L$1,"target_","") + 1,FALSE),":",$E5))</f>
        <v/>
      </c>
      <c r="M5" t="str">
        <f>IF($C5="dmz","",CONCATENATE(VLOOKUP($D5,kong_p2_var!$B$20:$H$26,SUBSTITUTE(M$1,"target_","") + 1,FALSE),":",$E5))</f>
        <v/>
      </c>
      <c r="N5" t="str">
        <f>IF($C5="dmz","",CONCATENATE(VLOOKUP($D5,kong_p2_var!$B$20:$H$26,SUBSTITUTE(N$1,"target_","") + 1,FALSE),":",$E5))</f>
        <v/>
      </c>
      <c r="O5" t="str">
        <f>VLOOKUP($D5,kong_p2_var!$B$10:$D$16,3,FALSE)</f>
        <v>172.20.148.71</v>
      </c>
      <c r="P5" t="str">
        <f>CONCATENATE("/",C5,MID(D5,2,15),"/",svc!$I5)</f>
        <v>/dmz504/bescore_portal</v>
      </c>
      <c r="Q5" t="str">
        <f>VLOOKUP(C5,kong_p2_var!$B$6:$C$7,2,FALSE)</f>
        <v>http://172.20.149.80:8001</v>
      </c>
      <c r="R5" t="str">
        <f>SUBSTITUTE(SUBSTITUTE(kong_p2_var!$J$1,"&lt;upstream_name&gt;",$F5),"&lt;kong_api_url&gt;",$Q5)</f>
        <v>curl -X PUT http://172.20.149.80:8001/upstreams/ups-v504-bescore_portal</v>
      </c>
      <c r="S5" t="str">
        <f>SUBSTITUTE(SUBSTITUTE(SUBSTITUTE(SUBSTITUTE(kong_p2_var!$J$2,"&lt;kong_api_url&gt;",$Q5),"&lt;upstream_name&gt;",$F5),"&lt;port&gt;",$E5),"&lt;service_name&gt;",$G5)</f>
        <v>curl -X PUT http://172.20.149.80:8001/services/svc-v504-bescore_portal -H "Content-Type: application/json" -d '{"protocol":"http","host":"ups-v504-bescore_portal","port":31010}'</v>
      </c>
      <c r="T5" t="str">
        <f>SUBSTITUTE(SUBSTITUTE(SUBSTITUTE(SUBSTITUTE(SUBSTITUTE(kong_p2_var!$J$3,"&lt;kong_api_url&gt;",$Q5),"&lt;route_name&gt;",$H5),"&lt;service_name&gt;",$G5),"&lt;host&gt;",$O5),"&lt;path&gt;",$P5)</f>
        <v>curl -X PUT http://172.20.149.80:8001/services/svc-v504-bescore_portal/routes/route-v510-v504-bescore_portal -H "Content-Type: application/json" -d '{"protocols":["http"],"hosts":["172.20.148.71"],"paths":["/dmz504/bescore_portal"]}'</v>
      </c>
      <c r="U5" t="str">
        <f t="shared" si="1"/>
        <v>curl -X POST http://172.20.149.80:8001/upstreams/ups-v504-bescore_portal/targets -d 'target=172.20.148.102:31010'</v>
      </c>
      <c r="V5" t="str">
        <f t="shared" si="2"/>
        <v>curl -X POST http://172.20.149.80:8001/upstreams/ups-v504-bescore_portal/targets -d 'target=172.20.148.103:31010'</v>
      </c>
      <c r="W5" t="str">
        <f t="shared" si="3"/>
        <v>curl -X POST http://172.20.149.80:8001/upstreams/ups-v504-bescore_portal/targets -d 'target=172.20.148.104:31010'</v>
      </c>
      <c r="X5" t="str">
        <f t="shared" si="4"/>
        <v/>
      </c>
      <c r="Y5" t="str">
        <f t="shared" si="5"/>
        <v/>
      </c>
      <c r="Z5" t="str">
        <f t="shared" si="6"/>
        <v/>
      </c>
    </row>
    <row r="6" spans="1:26" hidden="1">
      <c r="A6">
        <f>IF(ISNUMBER(SEARCH("rest_api",svc!R6)),1,0)</f>
        <v>0</v>
      </c>
      <c r="C6" t="str">
        <f>svc!D6</f>
        <v>dmz</v>
      </c>
      <c r="D6" t="str">
        <f>svc!$B6</f>
        <v>v504</v>
      </c>
      <c r="E6">
        <f>svc!G6</f>
        <v>31010</v>
      </c>
      <c r="F6" t="str">
        <f>CONCATENATE("ups-",svc!$B6,"-",svc!I6)</f>
        <v>ups-v504-bescore_portal</v>
      </c>
      <c r="G6" t="str">
        <f>CONCATENATE("svc-",svc!$B6,"-",svc!I6)</f>
        <v>svc-v504-bescore_portal</v>
      </c>
      <c r="H6" t="str">
        <f>CONCATENATE("route-",VLOOKUP($D6,kong_p2_var!$B$10:$D$16,2,FALSE),"-",svc!$B6,"-",svc!I6)</f>
        <v>route-v510-v504-bescore_portal</v>
      </c>
      <c r="I6" t="str">
        <f>CONCATENATE(VLOOKUP($D6,kong_p2_var!$B$20:$H$26,SUBSTITUTE(I$1,"target_","") + 1,FALSE),":",$E6)</f>
        <v>172.20.148.102:31010</v>
      </c>
      <c r="J6" t="str">
        <f>CONCATENATE(VLOOKUP($D6,kong_p2_var!$B$20:$H$26,SUBSTITUTE(J$1,"target_","") + 1,FALSE),":",$E6)</f>
        <v>172.20.148.103:31010</v>
      </c>
      <c r="K6" t="str">
        <f>CONCATENATE(VLOOKUP($D6,kong_p2_var!$B$20:$H$26,SUBSTITUTE(K$1,"target_","") + 1,FALSE),":",$E6)</f>
        <v>172.20.148.104:31010</v>
      </c>
      <c r="L6" t="str">
        <f>IF($C6="dmz","",CONCATENATE(VLOOKUP($D6,kong_p2_var!$B$20:$H$26,SUBSTITUTE(L$1,"target_","") + 1,FALSE),":",$E6))</f>
        <v/>
      </c>
      <c r="M6" t="str">
        <f>IF($C6="dmz","",CONCATENATE(VLOOKUP($D6,kong_p2_var!$B$20:$H$26,SUBSTITUTE(M$1,"target_","") + 1,FALSE),":",$E6))</f>
        <v/>
      </c>
      <c r="N6" t="str">
        <f>IF($C6="dmz","",CONCATENATE(VLOOKUP($D6,kong_p2_var!$B$20:$H$26,SUBSTITUTE(N$1,"target_","") + 1,FALSE),":",$E6))</f>
        <v/>
      </c>
      <c r="O6" t="str">
        <f>VLOOKUP($D6,kong_p2_var!$B$10:$D$16,3,FALSE)</f>
        <v>172.20.148.71</v>
      </c>
      <c r="P6" t="str">
        <f>CONCATENATE("/",C6,MID(D6,2,15),"/",svc!$I6)</f>
        <v>/dmz504/bescore_portal</v>
      </c>
      <c r="Q6" t="str">
        <f>VLOOKUP(C6,kong_p2_var!$B$6:$C$7,2,FALSE)</f>
        <v>http://172.20.149.80:8001</v>
      </c>
      <c r="R6" t="str">
        <f>SUBSTITUTE(SUBSTITUTE(kong_p2_var!$J$1,"&lt;upstream_name&gt;",$F6),"&lt;kong_api_url&gt;",$Q6)</f>
        <v>curl -X PUT http://172.20.149.80:8001/upstreams/ups-v504-bescore_portal</v>
      </c>
      <c r="S6" t="str">
        <f>SUBSTITUTE(SUBSTITUTE(SUBSTITUTE(SUBSTITUTE(kong_p2_var!$J$2,"&lt;kong_api_url&gt;",$Q6),"&lt;upstream_name&gt;",$F6),"&lt;port&gt;",$E6),"&lt;service_name&gt;",$G6)</f>
        <v>curl -X PUT http://172.20.149.80:8001/services/svc-v504-bescore_portal -H "Content-Type: application/json" -d '{"protocol":"http","host":"ups-v504-bescore_portal","port":31010}'</v>
      </c>
      <c r="T6" t="str">
        <f>SUBSTITUTE(SUBSTITUTE(SUBSTITUTE(SUBSTITUTE(SUBSTITUTE(kong_p2_var!$J$3,"&lt;kong_api_url&gt;",$Q6),"&lt;route_name&gt;",$H6),"&lt;service_name&gt;",$G6),"&lt;host&gt;",$O6),"&lt;path&gt;",$P6)</f>
        <v>curl -X PUT http://172.20.149.80:8001/services/svc-v504-bescore_portal/routes/route-v510-v504-bescore_portal -H "Content-Type: application/json" -d '{"protocols":["http"],"hosts":["172.20.148.71"],"paths":["/dmz504/bescore_portal"]}'</v>
      </c>
      <c r="U6" t="str">
        <f t="shared" si="1"/>
        <v>curl -X POST http://172.20.149.80:8001/upstreams/ups-v504-bescore_portal/targets -d 'target=172.20.148.102:31010'</v>
      </c>
      <c r="V6" t="str">
        <f t="shared" si="2"/>
        <v>curl -X POST http://172.20.149.80:8001/upstreams/ups-v504-bescore_portal/targets -d 'target=172.20.148.103:31010'</v>
      </c>
      <c r="W6" t="str">
        <f t="shared" si="3"/>
        <v>curl -X POST http://172.20.149.80:8001/upstreams/ups-v504-bescore_portal/targets -d 'target=172.20.148.104:31010'</v>
      </c>
      <c r="X6" t="str">
        <f t="shared" si="4"/>
        <v/>
      </c>
      <c r="Y6" t="str">
        <f t="shared" si="5"/>
        <v/>
      </c>
      <c r="Z6" t="str">
        <f t="shared" si="6"/>
        <v/>
      </c>
    </row>
    <row r="7" spans="1:26" hidden="1">
      <c r="A7">
        <f>IF(ISNUMBER(SEARCH("rest_api",svc!R7)),1,0)</f>
        <v>0</v>
      </c>
      <c r="C7" t="str">
        <f>svc!D7</f>
        <v>dmz</v>
      </c>
      <c r="D7" t="str">
        <f>svc!$B7</f>
        <v>v504</v>
      </c>
      <c r="E7">
        <f>svc!G7</f>
        <v>31028</v>
      </c>
      <c r="F7" t="str">
        <f>CONCATENATE("ups-",svc!$B7,"-",svc!I7)</f>
        <v>ups-v504-ccms_portal</v>
      </c>
      <c r="G7" t="str">
        <f>CONCATENATE("svc-",svc!$B7,"-",svc!I7)</f>
        <v>svc-v504-ccms_portal</v>
      </c>
      <c r="H7" t="str">
        <f>CONCATENATE("route-",VLOOKUP($D7,kong_p2_var!$B$10:$D$16,2,FALSE),"-",svc!$B7,"-",svc!I7)</f>
        <v>route-v510-v504-ccms_portal</v>
      </c>
      <c r="I7" t="str">
        <f>CONCATENATE(VLOOKUP($D7,kong_p2_var!$B$20:$H$26,SUBSTITUTE(I$1,"target_","") + 1,FALSE),":",$E7)</f>
        <v>172.20.148.102:31028</v>
      </c>
      <c r="J7" t="str">
        <f>CONCATENATE(VLOOKUP($D7,kong_p2_var!$B$20:$H$26,SUBSTITUTE(J$1,"target_","") + 1,FALSE),":",$E7)</f>
        <v>172.20.148.103:31028</v>
      </c>
      <c r="K7" t="str">
        <f>CONCATENATE(VLOOKUP($D7,kong_p2_var!$B$20:$H$26,SUBSTITUTE(K$1,"target_","") + 1,FALSE),":",$E7)</f>
        <v>172.20.148.104:31028</v>
      </c>
      <c r="L7" t="str">
        <f>IF($C7="dmz","",CONCATENATE(VLOOKUP($D7,kong_p2_var!$B$20:$H$26,SUBSTITUTE(L$1,"target_","") + 1,FALSE),":",$E7))</f>
        <v/>
      </c>
      <c r="M7" t="str">
        <f>IF($C7="dmz","",CONCATENATE(VLOOKUP($D7,kong_p2_var!$B$20:$H$26,SUBSTITUTE(M$1,"target_","") + 1,FALSE),":",$E7))</f>
        <v/>
      </c>
      <c r="N7" t="str">
        <f>IF($C7="dmz","",CONCATENATE(VLOOKUP($D7,kong_p2_var!$B$20:$H$26,SUBSTITUTE(N$1,"target_","") + 1,FALSE),":",$E7))</f>
        <v/>
      </c>
      <c r="O7" t="str">
        <f>VLOOKUP($D7,kong_p2_var!$B$10:$D$16,3,FALSE)</f>
        <v>172.20.148.71</v>
      </c>
      <c r="P7" t="str">
        <f>CONCATENATE("/",C7,MID(D7,2,15),"/",svc!$I7)</f>
        <v>/dmz504/ccms_portal</v>
      </c>
      <c r="Q7" t="str">
        <f>VLOOKUP(C7,kong_p2_var!$B$6:$C$7,2,FALSE)</f>
        <v>http://172.20.149.80:8001</v>
      </c>
      <c r="R7" t="str">
        <f>SUBSTITUTE(SUBSTITUTE(kong_p2_var!$J$1,"&lt;upstream_name&gt;",$F7),"&lt;kong_api_url&gt;",$Q7)</f>
        <v>curl -X PUT http://172.20.149.80:8001/upstreams/ups-v504-ccms_portal</v>
      </c>
      <c r="S7" t="str">
        <f>SUBSTITUTE(SUBSTITUTE(SUBSTITUTE(SUBSTITUTE(kong_p2_var!$J$2,"&lt;kong_api_url&gt;",$Q7),"&lt;upstream_name&gt;",$F7),"&lt;port&gt;",$E7),"&lt;service_name&gt;",$G7)</f>
        <v>curl -X PUT http://172.20.149.80:8001/services/svc-v504-ccms_portal -H "Content-Type: application/json" -d '{"protocol":"http","host":"ups-v504-ccms_portal","port":31028}'</v>
      </c>
      <c r="T7" t="str">
        <f>SUBSTITUTE(SUBSTITUTE(SUBSTITUTE(SUBSTITUTE(SUBSTITUTE(kong_p2_var!$J$3,"&lt;kong_api_url&gt;",$Q7),"&lt;route_name&gt;",$H7),"&lt;service_name&gt;",$G7),"&lt;host&gt;",$O7),"&lt;path&gt;",$P7)</f>
        <v>curl -X PUT http://172.20.149.80:8001/services/svc-v504-ccms_portal/routes/route-v510-v504-ccms_portal -H "Content-Type: application/json" -d '{"protocols":["http"],"hosts":["172.20.148.71"],"paths":["/dmz504/ccms_portal"]}'</v>
      </c>
      <c r="U7" t="str">
        <f t="shared" si="1"/>
        <v>curl -X POST http://172.20.149.80:8001/upstreams/ups-v504-ccms_portal/targets -d 'target=172.20.148.102:31028'</v>
      </c>
      <c r="V7" t="str">
        <f t="shared" si="2"/>
        <v>curl -X POST http://172.20.149.80:8001/upstreams/ups-v504-ccms_portal/targets -d 'target=172.20.148.103:31028'</v>
      </c>
      <c r="W7" t="str">
        <f t="shared" si="3"/>
        <v>curl -X POST http://172.20.149.80:8001/upstreams/ups-v504-ccms_portal/targets -d 'target=172.20.148.104:31028'</v>
      </c>
      <c r="X7" t="str">
        <f t="shared" si="4"/>
        <v/>
      </c>
      <c r="Y7" t="str">
        <f t="shared" si="5"/>
        <v/>
      </c>
      <c r="Z7" t="str">
        <f t="shared" si="6"/>
        <v/>
      </c>
    </row>
    <row r="8" spans="1:26" hidden="1">
      <c r="A8">
        <f>IF(ISNUMBER(SEARCH("rest_api",svc!R8)),1,0)</f>
        <v>0</v>
      </c>
      <c r="C8" t="str">
        <f>svc!D8</f>
        <v>dmz</v>
      </c>
      <c r="D8" t="str">
        <f>svc!$B8</f>
        <v>v504</v>
      </c>
      <c r="E8">
        <f>svc!G8</f>
        <v>31028</v>
      </c>
      <c r="F8" t="str">
        <f>CONCATENATE("ups-",svc!$B8,"-",svc!I8)</f>
        <v>ups-v504-ccms_portal</v>
      </c>
      <c r="G8" t="str">
        <f>CONCATENATE("svc-",svc!$B8,"-",svc!I8)</f>
        <v>svc-v504-ccms_portal</v>
      </c>
      <c r="H8" t="str">
        <f>CONCATENATE("route-",VLOOKUP($D8,kong_p2_var!$B$10:$D$16,2,FALSE),"-",svc!$B8,"-",svc!I8)</f>
        <v>route-v510-v504-ccms_portal</v>
      </c>
      <c r="I8" t="str">
        <f>CONCATENATE(VLOOKUP($D8,kong_p2_var!$B$20:$H$26,SUBSTITUTE(I$1,"target_","") + 1,FALSE),":",$E8)</f>
        <v>172.20.148.102:31028</v>
      </c>
      <c r="J8" t="str">
        <f>CONCATENATE(VLOOKUP($D8,kong_p2_var!$B$20:$H$26,SUBSTITUTE(J$1,"target_","") + 1,FALSE),":",$E8)</f>
        <v>172.20.148.103:31028</v>
      </c>
      <c r="K8" t="str">
        <f>CONCATENATE(VLOOKUP($D8,kong_p2_var!$B$20:$H$26,SUBSTITUTE(K$1,"target_","") + 1,FALSE),":",$E8)</f>
        <v>172.20.148.104:31028</v>
      </c>
      <c r="L8" t="str">
        <f>IF($C8="dmz","",CONCATENATE(VLOOKUP($D8,kong_p2_var!$B$20:$H$26,SUBSTITUTE(L$1,"target_","") + 1,FALSE),":",$E8))</f>
        <v/>
      </c>
      <c r="M8" t="str">
        <f>IF($C8="dmz","",CONCATENATE(VLOOKUP($D8,kong_p2_var!$B$20:$H$26,SUBSTITUTE(M$1,"target_","") + 1,FALSE),":",$E8))</f>
        <v/>
      </c>
      <c r="N8" t="str">
        <f>IF($C8="dmz","",CONCATENATE(VLOOKUP($D8,kong_p2_var!$B$20:$H$26,SUBSTITUTE(N$1,"target_","") + 1,FALSE),":",$E8))</f>
        <v/>
      </c>
      <c r="O8" t="str">
        <f>VLOOKUP($D8,kong_p2_var!$B$10:$D$16,3,FALSE)</f>
        <v>172.20.148.71</v>
      </c>
      <c r="P8" t="str">
        <f>CONCATENATE("/",C8,MID(D8,2,15),"/",svc!$I8)</f>
        <v>/dmz504/ccms_portal</v>
      </c>
      <c r="Q8" t="str">
        <f>VLOOKUP(C8,kong_p2_var!$B$6:$C$7,2,FALSE)</f>
        <v>http://172.20.149.80:8001</v>
      </c>
      <c r="R8" t="str">
        <f>SUBSTITUTE(SUBSTITUTE(kong_p2_var!$J$1,"&lt;upstream_name&gt;",$F8),"&lt;kong_api_url&gt;",$Q8)</f>
        <v>curl -X PUT http://172.20.149.80:8001/upstreams/ups-v504-ccms_portal</v>
      </c>
      <c r="S8" t="str">
        <f>SUBSTITUTE(SUBSTITUTE(SUBSTITUTE(SUBSTITUTE(kong_p2_var!$J$2,"&lt;kong_api_url&gt;",$Q8),"&lt;upstream_name&gt;",$F8),"&lt;port&gt;",$E8),"&lt;service_name&gt;",$G8)</f>
        <v>curl -X PUT http://172.20.149.80:8001/services/svc-v504-ccms_portal -H "Content-Type: application/json" -d '{"protocol":"http","host":"ups-v504-ccms_portal","port":31028}'</v>
      </c>
      <c r="T8" t="str">
        <f>SUBSTITUTE(SUBSTITUTE(SUBSTITUTE(SUBSTITUTE(SUBSTITUTE(kong_p2_var!$J$3,"&lt;kong_api_url&gt;",$Q8),"&lt;route_name&gt;",$H8),"&lt;service_name&gt;",$G8),"&lt;host&gt;",$O8),"&lt;path&gt;",$P8)</f>
        <v>curl -X PUT http://172.20.149.80:8001/services/svc-v504-ccms_portal/routes/route-v510-v504-ccms_portal -H "Content-Type: application/json" -d '{"protocols":["http"],"hosts":["172.20.148.71"],"paths":["/dmz504/ccms_portal"]}'</v>
      </c>
      <c r="U8" t="str">
        <f t="shared" si="1"/>
        <v>curl -X POST http://172.20.149.80:8001/upstreams/ups-v504-ccms_portal/targets -d 'target=172.20.148.102:31028'</v>
      </c>
      <c r="V8" t="str">
        <f t="shared" si="2"/>
        <v>curl -X POST http://172.20.149.80:8001/upstreams/ups-v504-ccms_portal/targets -d 'target=172.20.148.103:31028'</v>
      </c>
      <c r="W8" t="str">
        <f t="shared" si="3"/>
        <v>curl -X POST http://172.20.149.80:8001/upstreams/ups-v504-ccms_portal/targets -d 'target=172.20.148.104:31028'</v>
      </c>
      <c r="X8" t="str">
        <f t="shared" si="4"/>
        <v/>
      </c>
      <c r="Y8" t="str">
        <f t="shared" si="5"/>
        <v/>
      </c>
      <c r="Z8" t="str">
        <f t="shared" si="6"/>
        <v/>
      </c>
    </row>
    <row r="9" spans="1:26">
      <c r="A9">
        <f>IF(ISNUMBER(SEARCH("rest_api",svc!R9)),1,0)</f>
        <v>1</v>
      </c>
      <c r="C9" t="str">
        <f>svc!D9</f>
        <v>dmz</v>
      </c>
      <c r="D9" t="str">
        <f>svc!$B9</f>
        <v>v904</v>
      </c>
      <c r="E9">
        <f>svc!G9</f>
        <v>31211</v>
      </c>
      <c r="F9" t="str">
        <f>CONCATENATE("ups-",svc!$B9,"-",svc!I9)</f>
        <v>ups-v904-ccs_middleware</v>
      </c>
      <c r="G9" t="str">
        <f>CONCATENATE("svc-",svc!$B9,"-",svc!I9)</f>
        <v>svc-v904-ccs_middleware</v>
      </c>
      <c r="H9" t="str">
        <f>CONCATENATE("route-",VLOOKUP($D9,kong_p2_var!$B$10:$D$16,2,FALSE),"-",svc!$B9,"-",svc!I9)</f>
        <v>route-v910-v904-ccs_middleware</v>
      </c>
      <c r="I9" t="str">
        <f>CONCATENATE(VLOOKUP($D9,kong_p2_var!$B$20:$H$26,SUBSTITUTE(I$1,"target_","") + 1,FALSE),":",$E9)</f>
        <v>172.20.149.102:31211</v>
      </c>
      <c r="J9" t="str">
        <f>CONCATENATE(VLOOKUP($D9,kong_p2_var!$B$20:$H$26,SUBSTITUTE(J$1,"target_","") + 1,FALSE),":",$E9)</f>
        <v>172.20.149.103:31211</v>
      </c>
      <c r="K9" t="str">
        <f>CONCATENATE(VLOOKUP($D9,kong_p2_var!$B$20:$H$26,SUBSTITUTE(K$1,"target_","") + 1,FALSE),":",$E9)</f>
        <v>172.20.149.104:31211</v>
      </c>
      <c r="L9" t="str">
        <f>IF($C9="dmz","",CONCATENATE(VLOOKUP($D9,kong_p2_var!$B$20:$H$26,SUBSTITUTE(L$1,"target_","") + 1,FALSE),":",$E9))</f>
        <v/>
      </c>
      <c r="M9" t="str">
        <f>IF($C9="dmz","",CONCATENATE(VLOOKUP($D9,kong_p2_var!$B$20:$H$26,SUBSTITUTE(M$1,"target_","") + 1,FALSE),":",$E9))</f>
        <v/>
      </c>
      <c r="N9" t="str">
        <f>IF($C9="dmz","",CONCATENATE(VLOOKUP($D9,kong_p2_var!$B$20:$H$26,SUBSTITUTE(N$1,"target_","") + 1,FALSE),":",$E9))</f>
        <v/>
      </c>
      <c r="O9" t="str">
        <f>VLOOKUP($D9,kong_p2_var!$B$10:$D$16,3,FALSE)</f>
        <v>172.20.150.39</v>
      </c>
      <c r="P9" t="str">
        <f>CONCATENATE("/",C9,MID(D9,2,15),"/",svc!$I9)</f>
        <v>/dmz904/ccs_middleware</v>
      </c>
      <c r="Q9" t="str">
        <f>VLOOKUP(C9,kong_p2_var!$B$6:$C$7,2,FALSE)</f>
        <v>http://172.20.149.80:8001</v>
      </c>
      <c r="R9" t="str">
        <f>SUBSTITUTE(SUBSTITUTE(kong_p2_var!$J$1,"&lt;upstream_name&gt;",$F9),"&lt;kong_api_url&gt;",$Q9)</f>
        <v>curl -X PUT http://172.20.149.80:8001/upstreams/ups-v904-ccs_middleware</v>
      </c>
      <c r="S9" t="str">
        <f>SUBSTITUTE(SUBSTITUTE(SUBSTITUTE(SUBSTITUTE(kong_p2_var!$J$2,"&lt;kong_api_url&gt;",$Q9),"&lt;upstream_name&gt;",$F9),"&lt;port&gt;",$E9),"&lt;service_name&gt;",$G9)</f>
        <v>curl -X PUT http://172.20.149.80:8001/services/svc-v904-ccs_middleware -H "Content-Type: application/json" -d '{"protocol":"http","host":"ups-v904-ccs_middleware","port":31211}'</v>
      </c>
      <c r="T9" t="str">
        <f>SUBSTITUTE(SUBSTITUTE(SUBSTITUTE(SUBSTITUTE(SUBSTITUTE(kong_p2_var!$J$3,"&lt;kong_api_url&gt;",$Q9),"&lt;route_name&gt;",$H9),"&lt;service_name&gt;",$G9),"&lt;host&gt;",$O9),"&lt;path&gt;",$P9)</f>
        <v>curl -X PUT http://172.20.149.80:8001/services/svc-v904-ccs_middleware/routes/route-v910-v904-ccs_middleware -H "Content-Type: application/json" -d '{"protocols":["http"],"hosts":["172.20.150.39"],"paths":["/dmz904/ccs_middleware"]}'</v>
      </c>
      <c r="U9" t="str">
        <f t="shared" si="1"/>
        <v>curl -X POST http://172.20.149.80:8001/upstreams/ups-v904-ccs_middleware/targets -d 'target=172.20.149.102:31211'</v>
      </c>
      <c r="V9" t="str">
        <f t="shared" si="2"/>
        <v>curl -X POST http://172.20.149.80:8001/upstreams/ups-v904-ccs_middleware/targets -d 'target=172.20.149.103:31211'</v>
      </c>
      <c r="W9" t="str">
        <f t="shared" si="3"/>
        <v>curl -X POST http://172.20.149.80:8001/upstreams/ups-v904-ccs_middleware/targets -d 'target=172.20.149.104:31211'</v>
      </c>
      <c r="X9" t="str">
        <f t="shared" si="4"/>
        <v/>
      </c>
      <c r="Y9" t="str">
        <f t="shared" si="5"/>
        <v/>
      </c>
      <c r="Z9" t="str">
        <f t="shared" si="6"/>
        <v/>
      </c>
    </row>
    <row r="10" spans="1:26">
      <c r="A10">
        <f>IF(ISNUMBER(SEARCH("rest_api",svc!R10)),1,0)</f>
        <v>1</v>
      </c>
      <c r="C10" t="str">
        <f>svc!D10</f>
        <v>dmz</v>
      </c>
      <c r="D10" t="str">
        <f>svc!$B10</f>
        <v>v630</v>
      </c>
      <c r="E10">
        <f>svc!G10</f>
        <v>31119</v>
      </c>
      <c r="F10" t="str">
        <f>CONCATENATE("ups-",svc!$B10,"-",svc!I10)</f>
        <v>ups-v630-das_middleware</v>
      </c>
      <c r="G10" t="str">
        <f>CONCATENATE("svc-",svc!$B10,"-",svc!I10)</f>
        <v>svc-v630-das_middleware</v>
      </c>
      <c r="H10" t="str">
        <f>CONCATENATE("route-",VLOOKUP($D10,kong_p2_var!$B$10:$D$16,2,FALSE),"-",svc!$B10,"-",svc!I10)</f>
        <v>route-v510-v630-das_middleware</v>
      </c>
      <c r="I10" t="str">
        <f>CONCATENATE(VLOOKUP($D10,kong_p2_var!$B$20:$H$26,SUBSTITUTE(I$1,"target_","") + 1,FALSE),":",$E10)</f>
        <v>172.20.151.110:31119</v>
      </c>
      <c r="J10" t="str">
        <f>CONCATENATE(VLOOKUP($D10,kong_p2_var!$B$20:$H$26,SUBSTITUTE(J$1,"target_","") + 1,FALSE),":",$E10)</f>
        <v>172.20.151.111:31119</v>
      </c>
      <c r="K10" t="str">
        <f>CONCATENATE(VLOOKUP($D10,kong_p2_var!$B$20:$H$26,SUBSTITUTE(K$1,"target_","") + 1,FALSE),":",$E10)</f>
        <v>172.20.151.112:31119</v>
      </c>
      <c r="L10" t="str">
        <f>IF($C10="dmz","",CONCATENATE(VLOOKUP($D10,kong_p2_var!$B$20:$H$26,SUBSTITUTE(L$1,"target_","") + 1,FALSE),":",$E10))</f>
        <v/>
      </c>
      <c r="M10" t="str">
        <f>IF($C10="dmz","",CONCATENATE(VLOOKUP($D10,kong_p2_var!$B$20:$H$26,SUBSTITUTE(M$1,"target_","") + 1,FALSE),":",$E10))</f>
        <v/>
      </c>
      <c r="N10" t="str">
        <f>IF($C10="dmz","",CONCATENATE(VLOOKUP($D10,kong_p2_var!$B$20:$H$26,SUBSTITUTE(N$1,"target_","") + 1,FALSE),":",$E10))</f>
        <v/>
      </c>
      <c r="O10" t="str">
        <f>VLOOKUP($D10,kong_p2_var!$B$10:$D$16,3,FALSE)</f>
        <v>172.20.150.71</v>
      </c>
      <c r="P10" t="str">
        <f>CONCATENATE("/",C10,MID(D10,2,15),"/",svc!$I10)</f>
        <v>/dmz630/das_middleware</v>
      </c>
      <c r="Q10" t="str">
        <f>VLOOKUP(C10,kong_p2_var!$B$6:$C$7,2,FALSE)</f>
        <v>http://172.20.149.80:8001</v>
      </c>
      <c r="R10" t="str">
        <f>SUBSTITUTE(SUBSTITUTE(kong_p2_var!$J$1,"&lt;upstream_name&gt;",$F10),"&lt;kong_api_url&gt;",$Q10)</f>
        <v>curl -X PUT http://172.20.149.80:8001/upstreams/ups-v630-das_middleware</v>
      </c>
      <c r="S10" t="str">
        <f>SUBSTITUTE(SUBSTITUTE(SUBSTITUTE(SUBSTITUTE(kong_p2_var!$J$2,"&lt;kong_api_url&gt;",$Q10),"&lt;upstream_name&gt;",$F10),"&lt;port&gt;",$E10),"&lt;service_name&gt;",$G10)</f>
        <v>curl -X PUT http://172.20.149.80:8001/services/svc-v630-das_middleware -H "Content-Type: application/json" -d '{"protocol":"http","host":"ups-v630-das_middleware","port":31119}'</v>
      </c>
      <c r="T10" t="str">
        <f>SUBSTITUTE(SUBSTITUTE(SUBSTITUTE(SUBSTITUTE(SUBSTITUTE(kong_p2_var!$J$3,"&lt;kong_api_url&gt;",$Q10),"&lt;route_name&gt;",$H10),"&lt;service_name&gt;",$G10),"&lt;host&gt;",$O10),"&lt;path&gt;",$P10)</f>
        <v>curl -X PUT http://172.20.149.80:8001/services/svc-v630-das_middleware/routes/route-v510-v630-das_middleware -H "Content-Type: application/json" -d '{"protocols":["http"],"hosts":["172.20.150.71"],"paths":["/dmz630/das_middleware"]}'</v>
      </c>
      <c r="U10" t="str">
        <f t="shared" si="1"/>
        <v>curl -X POST http://172.20.149.80:8001/upstreams/ups-v630-das_middleware/targets -d 'target=172.20.151.110:31119'</v>
      </c>
      <c r="V10" t="str">
        <f t="shared" si="2"/>
        <v>curl -X POST http://172.20.149.80:8001/upstreams/ups-v630-das_middleware/targets -d 'target=172.20.151.111:31119'</v>
      </c>
      <c r="W10" t="str">
        <f t="shared" si="3"/>
        <v>curl -X POST http://172.20.149.80:8001/upstreams/ups-v630-das_middleware/targets -d 'target=172.20.151.112:31119'</v>
      </c>
      <c r="X10" t="str">
        <f t="shared" si="4"/>
        <v/>
      </c>
      <c r="Y10" t="str">
        <f t="shared" si="5"/>
        <v/>
      </c>
      <c r="Z10" t="str">
        <f t="shared" si="6"/>
        <v/>
      </c>
    </row>
    <row r="11" spans="1:26">
      <c r="A11">
        <f>IF(ISNUMBER(SEARCH("rest_api",svc!R109)),1,0)</f>
        <v>1</v>
      </c>
      <c r="C11" t="str">
        <f>svc!D109</f>
        <v>dmz</v>
      </c>
      <c r="D11" t="str">
        <f>svc!$B109</f>
        <v>v630</v>
      </c>
      <c r="E11">
        <f>svc!G109</f>
        <v>31129</v>
      </c>
      <c r="F11" t="str">
        <f>CONCATENATE("ups-",svc!$B109,"-",svc!I109)</f>
        <v>ups-v630-das_middleware_video</v>
      </c>
      <c r="G11" t="str">
        <f>CONCATENATE("svc-",svc!$B109,"-",svc!I109)</f>
        <v>svc-v630-das_middleware_video</v>
      </c>
      <c r="H11" t="str">
        <f>CONCATENATE("route-",VLOOKUP($D11,kong_p2_var!$B$10:$D$16,2,FALSE),"-",svc!$B109,"-",svc!I109)</f>
        <v>route-v510-v630-das_middleware_video</v>
      </c>
      <c r="I11" t="str">
        <f>CONCATENATE(VLOOKUP($D11,kong_p2_var!$B$20:$H$26,SUBSTITUTE(I$1,"target_","") + 1,FALSE),":",$E11)</f>
        <v>172.20.151.110:31129</v>
      </c>
      <c r="J11" t="str">
        <f>CONCATENATE(VLOOKUP($D11,kong_p2_var!$B$20:$H$26,SUBSTITUTE(J$1,"target_","") + 1,FALSE),":",$E11)</f>
        <v>172.20.151.111:31129</v>
      </c>
      <c r="K11" t="str">
        <f>CONCATENATE(VLOOKUP($D11,kong_p2_var!$B$20:$H$26,SUBSTITUTE(K$1,"target_","") + 1,FALSE),":",$E11)</f>
        <v>172.20.151.112:31129</v>
      </c>
      <c r="L11" t="str">
        <f>IF($C11="dmz","",CONCATENATE(VLOOKUP($D11,kong_p2_var!$B$20:$H$26,SUBSTITUTE(L$1,"target_","") + 1,FALSE),":",$E11))</f>
        <v/>
      </c>
      <c r="M11" t="str">
        <f>IF($C11="dmz","",CONCATENATE(VLOOKUP($D11,kong_p2_var!$B$20:$H$26,SUBSTITUTE(M$1,"target_","") + 1,FALSE),":",$E11))</f>
        <v/>
      </c>
      <c r="N11" t="str">
        <f>IF($C11="dmz","",CONCATENATE(VLOOKUP($D11,kong_p2_var!$B$20:$H$26,SUBSTITUTE(N$1,"target_","") + 1,FALSE),":",$E11))</f>
        <v/>
      </c>
      <c r="O11" t="str">
        <f>VLOOKUP($D11,kong_p2_var!$B$10:$D$16,3,FALSE)</f>
        <v>172.20.150.71</v>
      </c>
      <c r="P11" t="str">
        <f>CONCATENATE("/",C11,MID(D11,2,15),"/",svc!$I109)</f>
        <v>/dmz630/das_middleware_video</v>
      </c>
      <c r="Q11" t="str">
        <f>VLOOKUP(C11,kong_p2_var!$B$6:$C$7,2,FALSE)</f>
        <v>http://172.20.149.80:8001</v>
      </c>
      <c r="R11" t="str">
        <f>SUBSTITUTE(SUBSTITUTE(kong_p2_var!$J$1,"&lt;upstream_name&gt;",$F11),"&lt;kong_api_url&gt;",$Q11)</f>
        <v>curl -X PUT http://172.20.149.80:8001/upstreams/ups-v630-das_middleware_video</v>
      </c>
      <c r="S11" t="str">
        <f>SUBSTITUTE(SUBSTITUTE(SUBSTITUTE(SUBSTITUTE(kong_p2_var!$J$2,"&lt;kong_api_url&gt;",$Q11),"&lt;upstream_name&gt;",$F11),"&lt;port&gt;",$E11),"&lt;service_name&gt;",$G11)</f>
        <v>curl -X PUT http://172.20.149.80:8001/services/svc-v630-das_middleware_video -H "Content-Type: application/json" -d '{"protocol":"http","host":"ups-v630-das_middleware_video","port":31129}'</v>
      </c>
      <c r="T11" t="str">
        <f>SUBSTITUTE(SUBSTITUTE(SUBSTITUTE(SUBSTITUTE(SUBSTITUTE(kong_p2_var!$J$3,"&lt;kong_api_url&gt;",$Q11),"&lt;route_name&gt;",$H11),"&lt;service_name&gt;",$G11),"&lt;host&gt;",$O11),"&lt;path&gt;",$P11)</f>
        <v>curl -X PUT http://172.20.149.80:8001/services/svc-v630-das_middleware_video/routes/route-v510-v630-das_middleware_video -H "Content-Type: application/json" -d '{"protocols":["http"],"hosts":["172.20.150.71"],"paths":["/dmz630/das_middleware_video"]}'</v>
      </c>
      <c r="U11" t="str">
        <f t="shared" si="1"/>
        <v>curl -X POST http://172.20.149.80:8001/upstreams/ups-v630-das_middleware_video/targets -d 'target=172.20.151.110:31129'</v>
      </c>
      <c r="V11" t="str">
        <f t="shared" si="2"/>
        <v>curl -X POST http://172.20.149.80:8001/upstreams/ups-v630-das_middleware_video/targets -d 'target=172.20.151.111:31129'</v>
      </c>
      <c r="W11" t="str">
        <f t="shared" si="3"/>
        <v>curl -X POST http://172.20.149.80:8001/upstreams/ups-v630-das_middleware_video/targets -d 'target=172.20.151.112:31129'</v>
      </c>
      <c r="X11" t="str">
        <f t="shared" si="4"/>
        <v/>
      </c>
      <c r="Y11" t="str">
        <f t="shared" si="5"/>
        <v/>
      </c>
      <c r="Z11" t="str">
        <f t="shared" si="6"/>
        <v/>
      </c>
    </row>
    <row r="12" spans="1:26" hidden="1">
      <c r="A12">
        <f>IF(ISNUMBER(SEARCH("rest_api",svc!R11)),1,0)</f>
        <v>0</v>
      </c>
      <c r="C12" t="str">
        <f>svc!D11</f>
        <v>dmz</v>
      </c>
      <c r="D12" t="str">
        <f>svc!$B11</f>
        <v>v504</v>
      </c>
      <c r="E12">
        <f>svc!G11</f>
        <v>31013</v>
      </c>
      <c r="F12" t="str">
        <f>CONCATENATE("ups-",svc!$B11,"-",svc!I11)</f>
        <v>ups-v504-ecms_portal</v>
      </c>
      <c r="G12" t="str">
        <f>CONCATENATE("svc-",svc!$B11,"-",svc!I11)</f>
        <v>svc-v504-ecms_portal</v>
      </c>
      <c r="H12" t="str">
        <f>CONCATENATE("route-",VLOOKUP($D12,kong_p2_var!$B$10:$D$16,2,FALSE),"-",svc!$B11,"-",svc!I11)</f>
        <v>route-v510-v504-ecms_portal</v>
      </c>
      <c r="I12" t="str">
        <f>CONCATENATE(VLOOKUP($D12,kong_p2_var!$B$20:$H$26,SUBSTITUTE(I$1,"target_","") + 1,FALSE),":",$E12)</f>
        <v>172.20.148.102:31013</v>
      </c>
      <c r="J12" t="str">
        <f>CONCATENATE(VLOOKUP($D12,kong_p2_var!$B$20:$H$26,SUBSTITUTE(J$1,"target_","") + 1,FALSE),":",$E12)</f>
        <v>172.20.148.103:31013</v>
      </c>
      <c r="K12" t="str">
        <f>CONCATENATE(VLOOKUP($D12,kong_p2_var!$B$20:$H$26,SUBSTITUTE(K$1,"target_","") + 1,FALSE),":",$E12)</f>
        <v>172.20.148.104:31013</v>
      </c>
      <c r="L12" t="str">
        <f>IF($C12="dmz","",CONCATENATE(VLOOKUP($D12,kong_p2_var!$B$20:$H$26,SUBSTITUTE(L$1,"target_","") + 1,FALSE),":",$E12))</f>
        <v/>
      </c>
      <c r="M12" t="str">
        <f>IF($C12="dmz","",CONCATENATE(VLOOKUP($D12,kong_p2_var!$B$20:$H$26,SUBSTITUTE(M$1,"target_","") + 1,FALSE),":",$E12))</f>
        <v/>
      </c>
      <c r="N12" t="str">
        <f>IF($C12="dmz","",CONCATENATE(VLOOKUP($D12,kong_p2_var!$B$20:$H$26,SUBSTITUTE(N$1,"target_","") + 1,FALSE),":",$E12))</f>
        <v/>
      </c>
      <c r="O12" t="str">
        <f>VLOOKUP($D12,kong_p2_var!$B$10:$D$16,3,FALSE)</f>
        <v>172.20.148.71</v>
      </c>
      <c r="P12" t="str">
        <f>CONCATENATE("/",C12,MID(D12,2,15),"/",svc!$I11)</f>
        <v>/dmz504/ecms_portal</v>
      </c>
      <c r="Q12" t="str">
        <f>VLOOKUP(C12,kong_p2_var!$B$6:$C$7,2,FALSE)</f>
        <v>http://172.20.149.80:8001</v>
      </c>
      <c r="R12" t="str">
        <f>SUBSTITUTE(SUBSTITUTE(kong_p2_var!$J$1,"&lt;upstream_name&gt;",$F12),"&lt;kong_api_url&gt;",$Q12)</f>
        <v>curl -X PUT http://172.20.149.80:8001/upstreams/ups-v504-ecms_portal</v>
      </c>
      <c r="S12" t="str">
        <f>SUBSTITUTE(SUBSTITUTE(SUBSTITUTE(SUBSTITUTE(kong_p2_var!$J$2,"&lt;kong_api_url&gt;",$Q12),"&lt;upstream_name&gt;",$F12),"&lt;port&gt;",$E12),"&lt;service_name&gt;",$G12)</f>
        <v>curl -X PUT http://172.20.149.80:8001/services/svc-v504-ecms_portal -H "Content-Type: application/json" -d '{"protocol":"http","host":"ups-v504-ecms_portal","port":31013}'</v>
      </c>
      <c r="T12" t="str">
        <f>SUBSTITUTE(SUBSTITUTE(SUBSTITUTE(SUBSTITUTE(SUBSTITUTE(kong_p2_var!$J$3,"&lt;kong_api_url&gt;",$Q12),"&lt;route_name&gt;",$H12),"&lt;service_name&gt;",$G12),"&lt;host&gt;",$O12),"&lt;path&gt;",$P12)</f>
        <v>curl -X PUT http://172.20.149.80:8001/services/svc-v504-ecms_portal/routes/route-v510-v504-ecms_portal -H "Content-Type: application/json" -d '{"protocols":["http"],"hosts":["172.20.148.71"],"paths":["/dmz504/ecms_portal"]}'</v>
      </c>
      <c r="U12" t="str">
        <f t="shared" si="1"/>
        <v>curl -X POST http://172.20.149.80:8001/upstreams/ups-v504-ecms_portal/targets -d 'target=172.20.148.102:31013'</v>
      </c>
      <c r="V12" t="str">
        <f t="shared" si="2"/>
        <v>curl -X POST http://172.20.149.80:8001/upstreams/ups-v504-ecms_portal/targets -d 'target=172.20.148.103:31013'</v>
      </c>
      <c r="W12" t="str">
        <f t="shared" si="3"/>
        <v>curl -X POST http://172.20.149.80:8001/upstreams/ups-v504-ecms_portal/targets -d 'target=172.20.148.104:31013'</v>
      </c>
      <c r="X12" t="str">
        <f t="shared" si="4"/>
        <v/>
      </c>
      <c r="Y12" t="str">
        <f t="shared" si="5"/>
        <v/>
      </c>
      <c r="Z12" t="str">
        <f t="shared" si="6"/>
        <v/>
      </c>
    </row>
    <row r="13" spans="1:26" hidden="1">
      <c r="A13">
        <f>IF(ISNUMBER(SEARCH("rest_api",svc!R12)),1,0)</f>
        <v>0</v>
      </c>
      <c r="C13" t="str">
        <f>svc!D12</f>
        <v>dmz</v>
      </c>
      <c r="D13" t="str">
        <f>svc!$B12</f>
        <v>v504</v>
      </c>
      <c r="E13">
        <f>svc!G12</f>
        <v>31013</v>
      </c>
      <c r="F13" t="str">
        <f>CONCATENATE("ups-",svc!$B12,"-",svc!I12)</f>
        <v>ups-v504-ecms_portal</v>
      </c>
      <c r="G13" t="str">
        <f>CONCATENATE("svc-",svc!$B12,"-",svc!I12)</f>
        <v>svc-v504-ecms_portal</v>
      </c>
      <c r="H13" t="str">
        <f>CONCATENATE("route-",VLOOKUP($D13,kong_p2_var!$B$10:$D$16,2,FALSE),"-",svc!$B12,"-",svc!I12)</f>
        <v>route-v510-v504-ecms_portal</v>
      </c>
      <c r="I13" t="str">
        <f>CONCATENATE(VLOOKUP($D13,kong_p2_var!$B$20:$H$26,SUBSTITUTE(I$1,"target_","") + 1,FALSE),":",$E13)</f>
        <v>172.20.148.102:31013</v>
      </c>
      <c r="J13" t="str">
        <f>CONCATENATE(VLOOKUP($D13,kong_p2_var!$B$20:$H$26,SUBSTITUTE(J$1,"target_","") + 1,FALSE),":",$E13)</f>
        <v>172.20.148.103:31013</v>
      </c>
      <c r="K13" t="str">
        <f>CONCATENATE(VLOOKUP($D13,kong_p2_var!$B$20:$H$26,SUBSTITUTE(K$1,"target_","") + 1,FALSE),":",$E13)</f>
        <v>172.20.148.104:31013</v>
      </c>
      <c r="L13" t="str">
        <f>IF($C13="dmz","",CONCATENATE(VLOOKUP($D13,kong_p2_var!$B$20:$H$26,SUBSTITUTE(L$1,"target_","") + 1,FALSE),":",$E13))</f>
        <v/>
      </c>
      <c r="M13" t="str">
        <f>IF($C13="dmz","",CONCATENATE(VLOOKUP($D13,kong_p2_var!$B$20:$H$26,SUBSTITUTE(M$1,"target_","") + 1,FALSE),":",$E13))</f>
        <v/>
      </c>
      <c r="N13" t="str">
        <f>IF($C13="dmz","",CONCATENATE(VLOOKUP($D13,kong_p2_var!$B$20:$H$26,SUBSTITUTE(N$1,"target_","") + 1,FALSE),":",$E13))</f>
        <v/>
      </c>
      <c r="O13" t="str">
        <f>VLOOKUP($D13,kong_p2_var!$B$10:$D$16,3,FALSE)</f>
        <v>172.20.148.71</v>
      </c>
      <c r="P13" t="str">
        <f>CONCATENATE("/",C13,MID(D13,2,15),"/",svc!$I12)</f>
        <v>/dmz504/ecms_portal</v>
      </c>
      <c r="Q13" t="str">
        <f>VLOOKUP(C13,kong_p2_var!$B$6:$C$7,2,FALSE)</f>
        <v>http://172.20.149.80:8001</v>
      </c>
      <c r="R13" t="str">
        <f>SUBSTITUTE(SUBSTITUTE(kong_p2_var!$J$1,"&lt;upstream_name&gt;",$F13),"&lt;kong_api_url&gt;",$Q13)</f>
        <v>curl -X PUT http://172.20.149.80:8001/upstreams/ups-v504-ecms_portal</v>
      </c>
      <c r="S13" t="str">
        <f>SUBSTITUTE(SUBSTITUTE(SUBSTITUTE(SUBSTITUTE(kong_p2_var!$J$2,"&lt;kong_api_url&gt;",$Q13),"&lt;upstream_name&gt;",$F13),"&lt;port&gt;",$E13),"&lt;service_name&gt;",$G13)</f>
        <v>curl -X PUT http://172.20.149.80:8001/services/svc-v504-ecms_portal -H "Content-Type: application/json" -d '{"protocol":"http","host":"ups-v504-ecms_portal","port":31013}'</v>
      </c>
      <c r="T13" t="str">
        <f>SUBSTITUTE(SUBSTITUTE(SUBSTITUTE(SUBSTITUTE(SUBSTITUTE(kong_p2_var!$J$3,"&lt;kong_api_url&gt;",$Q13),"&lt;route_name&gt;",$H13),"&lt;service_name&gt;",$G13),"&lt;host&gt;",$O13),"&lt;path&gt;",$P13)</f>
        <v>curl -X PUT http://172.20.149.80:8001/services/svc-v504-ecms_portal/routes/route-v510-v504-ecms_portal -H "Content-Type: application/json" -d '{"protocols":["http"],"hosts":["172.20.148.71"],"paths":["/dmz504/ecms_portal"]}'</v>
      </c>
      <c r="U13" t="str">
        <f t="shared" si="1"/>
        <v>curl -X POST http://172.20.149.80:8001/upstreams/ups-v504-ecms_portal/targets -d 'target=172.20.148.102:31013'</v>
      </c>
      <c r="V13" t="str">
        <f t="shared" si="2"/>
        <v>curl -X POST http://172.20.149.80:8001/upstreams/ups-v504-ecms_portal/targets -d 'target=172.20.148.103:31013'</v>
      </c>
      <c r="W13" t="str">
        <f t="shared" si="3"/>
        <v>curl -X POST http://172.20.149.80:8001/upstreams/ups-v504-ecms_portal/targets -d 'target=172.20.148.104:31013'</v>
      </c>
      <c r="X13" t="str">
        <f t="shared" si="4"/>
        <v/>
      </c>
      <c r="Y13" t="str">
        <f t="shared" si="5"/>
        <v/>
      </c>
      <c r="Z13" t="str">
        <f t="shared" si="6"/>
        <v/>
      </c>
    </row>
    <row r="14" spans="1:26" hidden="1">
      <c r="A14">
        <f>IF(ISNUMBER(SEARCH("rest_api",svc!R13)),1,0)</f>
        <v>0</v>
      </c>
      <c r="C14" t="str">
        <f>svc!D13</f>
        <v>dmz</v>
      </c>
      <c r="D14" t="str">
        <f>svc!$B13</f>
        <v>v804</v>
      </c>
      <c r="E14">
        <f>svc!G13</f>
        <v>31029</v>
      </c>
      <c r="F14" t="str">
        <f>CONCATENATE("ups-",svc!$B13,"-",svc!I13)</f>
        <v>ups-v804-ffts_web</v>
      </c>
      <c r="G14" t="str">
        <f>CONCATENATE("svc-",svc!$B13,"-",svc!I13)</f>
        <v>svc-v804-ffts_web</v>
      </c>
      <c r="H14" t="str">
        <f>CONCATENATE("route-",VLOOKUP($D14,kong_p2_var!$B$10:$D$16,2,FALSE),"-",svc!$B13,"-",svc!I13)</f>
        <v>route-v810-v804-ffts_web</v>
      </c>
      <c r="I14" t="str">
        <f>CONCATENATE(VLOOKUP($D14,kong_p2_var!$B$20:$H$26,SUBSTITUTE(I$1,"target_","") + 1,FALSE),":",$E14)</f>
        <v>172.20.149.70:31029</v>
      </c>
      <c r="J14" t="str">
        <f>CONCATENATE(VLOOKUP($D14,kong_p2_var!$B$20:$H$26,SUBSTITUTE(J$1,"target_","") + 1,FALSE),":",$E14)</f>
        <v>172.20.149.71:31029</v>
      </c>
      <c r="K14" t="str">
        <f>CONCATENATE(VLOOKUP($D14,kong_p2_var!$B$20:$H$26,SUBSTITUTE(K$1,"target_","") + 1,FALSE),":",$E14)</f>
        <v>172.20.149.72:31029</v>
      </c>
      <c r="L14" t="str">
        <f>IF($C14="dmz","",CONCATENATE(VLOOKUP($D14,kong_p2_var!$B$20:$H$26,SUBSTITUTE(L$1,"target_","") + 1,FALSE),":",$E14))</f>
        <v/>
      </c>
      <c r="M14" t="str">
        <f>IF($C14="dmz","",CONCATENATE(VLOOKUP($D14,kong_p2_var!$B$20:$H$26,SUBSTITUTE(M$1,"target_","") + 1,FALSE),":",$E14))</f>
        <v/>
      </c>
      <c r="N14" t="str">
        <f>IF($C14="dmz","",CONCATENATE(VLOOKUP($D14,kong_p2_var!$B$20:$H$26,SUBSTITUTE(N$1,"target_","") + 1,FALSE),":",$E14))</f>
        <v/>
      </c>
      <c r="O14" t="str">
        <f>VLOOKUP($D14,kong_p2_var!$B$10:$D$16,3,FALSE)</f>
        <v>172.20.151.71</v>
      </c>
      <c r="P14" t="str">
        <f>CONCATENATE("/",C14,MID(D14,2,15),"/",svc!$I13)</f>
        <v>/dmz804/ffts_web</v>
      </c>
      <c r="Q14" t="str">
        <f>VLOOKUP(C14,kong_p2_var!$B$6:$C$7,2,FALSE)</f>
        <v>http://172.20.149.80:8001</v>
      </c>
      <c r="R14" t="str">
        <f>SUBSTITUTE(SUBSTITUTE(kong_p2_var!$J$1,"&lt;upstream_name&gt;",$F14),"&lt;kong_api_url&gt;",$Q14)</f>
        <v>curl -X PUT http://172.20.149.80:8001/upstreams/ups-v804-ffts_web</v>
      </c>
      <c r="S14" t="str">
        <f>SUBSTITUTE(SUBSTITUTE(SUBSTITUTE(SUBSTITUTE(kong_p2_var!$J$2,"&lt;kong_api_url&gt;",$Q14),"&lt;upstream_name&gt;",$F14),"&lt;port&gt;",$E14),"&lt;service_name&gt;",$G14)</f>
        <v>curl -X PUT http://172.20.149.80:8001/services/svc-v804-ffts_web -H "Content-Type: application/json" -d '{"protocol":"http","host":"ups-v804-ffts_web","port":31029}'</v>
      </c>
      <c r="T14" t="str">
        <f>SUBSTITUTE(SUBSTITUTE(SUBSTITUTE(SUBSTITUTE(SUBSTITUTE(kong_p2_var!$J$3,"&lt;kong_api_url&gt;",$Q14),"&lt;route_name&gt;",$H14),"&lt;service_name&gt;",$G14),"&lt;host&gt;",$O14),"&lt;path&gt;",$P14)</f>
        <v>curl -X PUT http://172.20.149.80:8001/services/svc-v804-ffts_web/routes/route-v810-v804-ffts_web -H "Content-Type: application/json" -d '{"protocols":["http"],"hosts":["172.20.151.71"],"paths":["/dmz804/ffts_web"]}'</v>
      </c>
      <c r="U14" t="str">
        <f t="shared" si="1"/>
        <v>curl -X POST http://172.20.149.80:8001/upstreams/ups-v804-ffts_web/targets -d 'target=172.20.149.70:31029'</v>
      </c>
      <c r="V14" t="str">
        <f t="shared" si="2"/>
        <v>curl -X POST http://172.20.149.80:8001/upstreams/ups-v804-ffts_web/targets -d 'target=172.20.149.71:31029'</v>
      </c>
      <c r="W14" t="str">
        <f t="shared" si="3"/>
        <v>curl -X POST http://172.20.149.80:8001/upstreams/ups-v804-ffts_web/targets -d 'target=172.20.149.72:31029'</v>
      </c>
      <c r="X14" t="str">
        <f t="shared" si="4"/>
        <v/>
      </c>
      <c r="Y14" t="str">
        <f t="shared" si="5"/>
        <v/>
      </c>
      <c r="Z14" t="str">
        <f t="shared" si="6"/>
        <v/>
      </c>
    </row>
    <row r="15" spans="1:26">
      <c r="A15">
        <f>IF(ISNUMBER(SEARCH("rest_api",svc!R14)),1,0)</f>
        <v>1</v>
      </c>
      <c r="C15" t="str">
        <f>svc!D14</f>
        <v>dmz</v>
      </c>
      <c r="D15" t="str">
        <f>svc!$B14</f>
        <v>v504</v>
      </c>
      <c r="E15">
        <f>svc!G14</f>
        <v>31400</v>
      </c>
      <c r="F15" t="str">
        <f>CONCATENATE("ups-",svc!$B14,"-",svc!I14)</f>
        <v>ups-v504-notification_result</v>
      </c>
      <c r="G15" t="str">
        <f>CONCATENATE("svc-",svc!$B14,"-",svc!I14)</f>
        <v>svc-v504-notification_result</v>
      </c>
      <c r="H15" t="str">
        <f>CONCATENATE("route-",VLOOKUP($D15,kong_p2_var!$B$10:$D$16,2,FALSE),"-",svc!$B14,"-",svc!I14)</f>
        <v>route-v510-v504-notification_result</v>
      </c>
      <c r="I15" t="str">
        <f>CONCATENATE(VLOOKUP($D15,kong_p2_var!$B$20:$H$26,SUBSTITUTE(I$1,"target_","") + 1,FALSE),":",$E15)</f>
        <v>172.20.148.102:31400</v>
      </c>
      <c r="J15" t="str">
        <f>CONCATENATE(VLOOKUP($D15,kong_p2_var!$B$20:$H$26,SUBSTITUTE(J$1,"target_","") + 1,FALSE),":",$E15)</f>
        <v>172.20.148.103:31400</v>
      </c>
      <c r="K15" t="str">
        <f>CONCATENATE(VLOOKUP($D15,kong_p2_var!$B$20:$H$26,SUBSTITUTE(K$1,"target_","") + 1,FALSE),":",$E15)</f>
        <v>172.20.148.104:31400</v>
      </c>
      <c r="L15" t="str">
        <f>IF($C15="dmz","",CONCATENATE(VLOOKUP($D15,kong_p2_var!$B$20:$H$26,SUBSTITUTE(L$1,"target_","") + 1,FALSE),":",$E15))</f>
        <v/>
      </c>
      <c r="M15" t="str">
        <f>IF($C15="dmz","",CONCATENATE(VLOOKUP($D15,kong_p2_var!$B$20:$H$26,SUBSTITUTE(M$1,"target_","") + 1,FALSE),":",$E15))</f>
        <v/>
      </c>
      <c r="N15" t="str">
        <f>IF($C15="dmz","",CONCATENATE(VLOOKUP($D15,kong_p2_var!$B$20:$H$26,SUBSTITUTE(N$1,"target_","") + 1,FALSE),":",$E15))</f>
        <v/>
      </c>
      <c r="O15" t="str">
        <f>VLOOKUP($D15,kong_p2_var!$B$10:$D$16,3,FALSE)</f>
        <v>172.20.148.71</v>
      </c>
      <c r="P15" t="str">
        <f>CONCATENATE("/",C15,MID(D15,2,15),"/",svc!$I14)</f>
        <v>/dmz504/notification_result</v>
      </c>
      <c r="Q15" t="str">
        <f>VLOOKUP(C15,kong_p2_var!$B$6:$C$7,2,FALSE)</f>
        <v>http://172.20.149.80:8001</v>
      </c>
      <c r="R15" t="str">
        <f>SUBSTITUTE(SUBSTITUTE(kong_p2_var!$J$1,"&lt;upstream_name&gt;",$F15),"&lt;kong_api_url&gt;",$Q15)</f>
        <v>curl -X PUT http://172.20.149.80:8001/upstreams/ups-v504-notification_result</v>
      </c>
      <c r="S15" t="str">
        <f>SUBSTITUTE(SUBSTITUTE(SUBSTITUTE(SUBSTITUTE(kong_p2_var!$J$2,"&lt;kong_api_url&gt;",$Q15),"&lt;upstream_name&gt;",$F15),"&lt;port&gt;",$E15),"&lt;service_name&gt;",$G15)</f>
        <v>curl -X PUT http://172.20.149.80:8001/services/svc-v504-notification_result -H "Content-Type: application/json" -d '{"protocol":"http","host":"ups-v504-notification_result","port":31400}'</v>
      </c>
      <c r="T15" t="str">
        <f>SUBSTITUTE(SUBSTITUTE(SUBSTITUTE(SUBSTITUTE(SUBSTITUTE(kong_p2_var!$J$3,"&lt;kong_api_url&gt;",$Q15),"&lt;route_name&gt;",$H15),"&lt;service_name&gt;",$G15),"&lt;host&gt;",$O15),"&lt;path&gt;",$P15)</f>
        <v>curl -X PUT http://172.20.149.80:8001/services/svc-v504-notification_result/routes/route-v510-v504-notification_result -H "Content-Type: application/json" -d '{"protocols":["http"],"hosts":["172.20.148.71"],"paths":["/dmz504/notification_result"]}'</v>
      </c>
      <c r="U15" t="str">
        <f t="shared" si="1"/>
        <v>curl -X POST http://172.20.149.80:8001/upstreams/ups-v504-notification_result/targets -d 'target=172.20.148.102:31400'</v>
      </c>
      <c r="V15" t="str">
        <f t="shared" si="2"/>
        <v>curl -X POST http://172.20.149.80:8001/upstreams/ups-v504-notification_result/targets -d 'target=172.20.148.103:31400'</v>
      </c>
      <c r="W15" t="str">
        <f t="shared" si="3"/>
        <v>curl -X POST http://172.20.149.80:8001/upstreams/ups-v504-notification_result/targets -d 'target=172.20.148.104:31400'</v>
      </c>
      <c r="X15" t="str">
        <f t="shared" si="4"/>
        <v/>
      </c>
      <c r="Y15" t="str">
        <f t="shared" si="5"/>
        <v/>
      </c>
      <c r="Z15" t="str">
        <f t="shared" si="6"/>
        <v/>
      </c>
    </row>
    <row r="16" spans="1:26">
      <c r="A16">
        <f>IF(ISNUMBER(SEARCH("rest_api",svc!R15)),1,0)</f>
        <v>1</v>
      </c>
      <c r="C16" t="str">
        <f>svc!D15</f>
        <v>dmz</v>
      </c>
      <c r="D16" t="str">
        <f>svc!$B15</f>
        <v>v504</v>
      </c>
      <c r="E16">
        <f>svc!G15</f>
        <v>31031</v>
      </c>
      <c r="F16" t="str">
        <f>CONCATENATE("ups-",svc!$B15,"-",svc!I15)</f>
        <v>ups-v504-payment_middleware</v>
      </c>
      <c r="G16" t="str">
        <f>CONCATENATE("svc-",svc!$B15,"-",svc!I15)</f>
        <v>svc-v504-payment_middleware</v>
      </c>
      <c r="H16" t="str">
        <f>CONCATENATE("route-",VLOOKUP($D16,kong_p2_var!$B$10:$D$16,2,FALSE),"-",svc!$B15,"-",svc!I15)</f>
        <v>route-v510-v504-payment_middleware</v>
      </c>
      <c r="I16" t="str">
        <f>CONCATENATE(VLOOKUP($D16,kong_p2_var!$B$20:$H$26,SUBSTITUTE(I$1,"target_","") + 1,FALSE),":",$E16)</f>
        <v>172.20.148.102:31031</v>
      </c>
      <c r="J16" t="str">
        <f>CONCATENATE(VLOOKUP($D16,kong_p2_var!$B$20:$H$26,SUBSTITUTE(J$1,"target_","") + 1,FALSE),":",$E16)</f>
        <v>172.20.148.103:31031</v>
      </c>
      <c r="K16" t="str">
        <f>CONCATENATE(VLOOKUP($D16,kong_p2_var!$B$20:$H$26,SUBSTITUTE(K$1,"target_","") + 1,FALSE),":",$E16)</f>
        <v>172.20.148.104:31031</v>
      </c>
      <c r="L16" t="str">
        <f>IF($C16="dmz","",CONCATENATE(VLOOKUP($D16,kong_p2_var!$B$20:$H$26,SUBSTITUTE(L$1,"target_","") + 1,FALSE),":",$E16))</f>
        <v/>
      </c>
      <c r="M16" t="str">
        <f>IF($C16="dmz","",CONCATENATE(VLOOKUP($D16,kong_p2_var!$B$20:$H$26,SUBSTITUTE(M$1,"target_","") + 1,FALSE),":",$E16))</f>
        <v/>
      </c>
      <c r="N16" t="str">
        <f>IF($C16="dmz","",CONCATENATE(VLOOKUP($D16,kong_p2_var!$B$20:$H$26,SUBSTITUTE(N$1,"target_","") + 1,FALSE),":",$E16))</f>
        <v/>
      </c>
      <c r="O16" t="str">
        <f>VLOOKUP($D16,kong_p2_var!$B$10:$D$16,3,FALSE)</f>
        <v>172.20.148.71</v>
      </c>
      <c r="P16" t="str">
        <f>CONCATENATE("/",C16,MID(D16,2,15),"/",svc!$I15)</f>
        <v>/dmz504/payment_middleware</v>
      </c>
      <c r="Q16" t="str">
        <f>VLOOKUP(C16,kong_p2_var!$B$6:$C$7,2,FALSE)</f>
        <v>http://172.20.149.80:8001</v>
      </c>
      <c r="R16" t="str">
        <f>SUBSTITUTE(SUBSTITUTE(kong_p2_var!$J$1,"&lt;upstream_name&gt;",$F16),"&lt;kong_api_url&gt;",$Q16)</f>
        <v>curl -X PUT http://172.20.149.80:8001/upstreams/ups-v504-payment_middleware</v>
      </c>
      <c r="S16" t="str">
        <f>SUBSTITUTE(SUBSTITUTE(SUBSTITUTE(SUBSTITUTE(kong_p2_var!$J$2,"&lt;kong_api_url&gt;",$Q16),"&lt;upstream_name&gt;",$F16),"&lt;port&gt;",$E16),"&lt;service_name&gt;",$G16)</f>
        <v>curl -X PUT http://172.20.149.80:8001/services/svc-v504-payment_middleware -H "Content-Type: application/json" -d '{"protocol":"http","host":"ups-v504-payment_middleware","port":31031}'</v>
      </c>
      <c r="T16" t="str">
        <f>SUBSTITUTE(SUBSTITUTE(SUBSTITUTE(SUBSTITUTE(SUBSTITUTE(kong_p2_var!$J$3,"&lt;kong_api_url&gt;",$Q16),"&lt;route_name&gt;",$H16),"&lt;service_name&gt;",$G16),"&lt;host&gt;",$O16),"&lt;path&gt;",$P16)</f>
        <v>curl -X PUT http://172.20.149.80:8001/services/svc-v504-payment_middleware/routes/route-v510-v504-payment_middleware -H "Content-Type: application/json" -d '{"protocols":["http"],"hosts":["172.20.148.71"],"paths":["/dmz504/payment_middleware"]}'</v>
      </c>
      <c r="U16" t="str">
        <f t="shared" si="1"/>
        <v>curl -X POST http://172.20.149.80:8001/upstreams/ups-v504-payment_middleware/targets -d 'target=172.20.148.102:31031'</v>
      </c>
      <c r="V16" t="str">
        <f t="shared" si="2"/>
        <v>curl -X POST http://172.20.149.80:8001/upstreams/ups-v504-payment_middleware/targets -d 'target=172.20.148.103:31031'</v>
      </c>
      <c r="W16" t="str">
        <f t="shared" si="3"/>
        <v>curl -X POST http://172.20.149.80:8001/upstreams/ups-v504-payment_middleware/targets -d 'target=172.20.148.104:31031'</v>
      </c>
      <c r="X16" t="str">
        <f t="shared" si="4"/>
        <v/>
      </c>
      <c r="Y16" t="str">
        <f t="shared" si="5"/>
        <v/>
      </c>
      <c r="Z16" t="str">
        <f t="shared" si="6"/>
        <v/>
      </c>
    </row>
    <row r="17" spans="1:26" hidden="1">
      <c r="A17">
        <f>IF(ISNUMBER(SEARCH("rest_api",svc!R16)),1,0)</f>
        <v>1</v>
      </c>
      <c r="C17" t="str">
        <f>svc!D16</f>
        <v>dmz</v>
      </c>
      <c r="D17" t="str">
        <f>svc!$B16</f>
        <v>v630_itoms2</v>
      </c>
      <c r="E17">
        <f>svc!G16</f>
        <v>31002</v>
      </c>
      <c r="F17" t="str">
        <f>CONCATENATE("ups-",svc!$B16,"-",svc!I16)</f>
        <v>ups-v630_itoms2-toms_middleware</v>
      </c>
      <c r="G17" t="str">
        <f>CONCATENATE("svc-",svc!$B16,"-",svc!I16)</f>
        <v>svc-v630_itoms2-toms_middleware</v>
      </c>
      <c r="H17" t="e">
        <f>CONCATENATE("route-",VLOOKUP($D17,kong_p2_var!$B$10:$D$16,2,FALSE),"-",svc!$B16,"-",svc!I16)</f>
        <v>#N/A</v>
      </c>
      <c r="I17" t="e">
        <f>CONCATENATE(VLOOKUP($D17,kong_p2_var!$B$20:$H$26,SUBSTITUTE(I$1,"target_","") + 1,FALSE),":",$E17)</f>
        <v>#N/A</v>
      </c>
      <c r="J17" t="e">
        <f>CONCATENATE(VLOOKUP($D17,kong_p2_var!$B$20:$H$26,SUBSTITUTE(J$1,"target_","") + 1,FALSE),":",$E17)</f>
        <v>#N/A</v>
      </c>
      <c r="K17" t="e">
        <f>CONCATENATE(VLOOKUP($D17,kong_p2_var!$B$20:$H$26,SUBSTITUTE(K$1,"target_","") + 1,FALSE),":",$E17)</f>
        <v>#N/A</v>
      </c>
      <c r="L17" t="str">
        <f>IF($C17="dmz","",CONCATENATE(VLOOKUP($D17,kong_p2_var!$B$20:$H$26,SUBSTITUTE(L$1,"target_","") + 1,FALSE),":",$E17))</f>
        <v/>
      </c>
      <c r="M17" t="str">
        <f>IF($C17="dmz","",CONCATENATE(VLOOKUP($D17,kong_p2_var!$B$20:$H$26,SUBSTITUTE(M$1,"target_","") + 1,FALSE),":",$E17))</f>
        <v/>
      </c>
      <c r="N17" t="str">
        <f>IF($C17="dmz","",CONCATENATE(VLOOKUP($D17,kong_p2_var!$B$20:$H$26,SUBSTITUTE(N$1,"target_","") + 1,FALSE),":",$E17))</f>
        <v/>
      </c>
      <c r="O17" t="e">
        <f>VLOOKUP($D17,kong_p2_var!$B$10:$D$16,3,FALSE)</f>
        <v>#N/A</v>
      </c>
      <c r="P17" t="str">
        <f>CONCATENATE("/",C17,MID(D17,2,15),"/",svc!$I16)</f>
        <v>/dmz630_itoms2/toms_middleware</v>
      </c>
      <c r="Q17" t="str">
        <f>VLOOKUP(C17,kong_p2_var!$B$6:$C$7,2,FALSE)</f>
        <v>http://172.20.149.80:8001</v>
      </c>
      <c r="R17" t="str">
        <f>SUBSTITUTE(SUBSTITUTE(kong_p2_var!$J$1,"&lt;upstream_name&gt;",$F17),"&lt;kong_api_url&gt;",$Q17)</f>
        <v>curl -X PUT http://172.20.149.80:8001/upstreams/ups-v630_itoms2-toms_middleware</v>
      </c>
      <c r="S17" t="str">
        <f>SUBSTITUTE(SUBSTITUTE(SUBSTITUTE(SUBSTITUTE(kong_p2_var!$J$2,"&lt;kong_api_url&gt;",$Q17),"&lt;upstream_name&gt;",$F17),"&lt;port&gt;",$E17),"&lt;service_name&gt;",$G17)</f>
        <v>curl -X PUT http://172.20.149.80:8001/services/svc-v630_itoms2-toms_middleware -H "Content-Type: application/json" -d '{"protocol":"http","host":"ups-v630_itoms2-toms_middleware","port":31002}'</v>
      </c>
      <c r="T17" t="e">
        <f>SUBSTITUTE(SUBSTITUTE(SUBSTITUTE(SUBSTITUTE(SUBSTITUTE(kong_p2_var!$J$3,"&lt;kong_api_url&gt;",$Q17),"&lt;route_name&gt;",$H17),"&lt;service_name&gt;",$G17),"&lt;host&gt;",$O17),"&lt;path&gt;",$P17)</f>
        <v>#N/A</v>
      </c>
      <c r="U17" t="e">
        <f t="shared" si="1"/>
        <v>#N/A</v>
      </c>
      <c r="V17" t="e">
        <f t="shared" si="2"/>
        <v>#N/A</v>
      </c>
      <c r="W17" t="e">
        <f t="shared" si="3"/>
        <v>#N/A</v>
      </c>
      <c r="X17" t="str">
        <f t="shared" si="4"/>
        <v/>
      </c>
      <c r="Y17" t="str">
        <f t="shared" si="5"/>
        <v/>
      </c>
      <c r="Z17" t="str">
        <f t="shared" si="6"/>
        <v/>
      </c>
    </row>
    <row r="18" spans="1:26" hidden="1">
      <c r="A18">
        <f>IF(ISNUMBER(SEARCH("rest_api",svc!R17)),1,0)</f>
        <v>0</v>
      </c>
      <c r="C18" t="str">
        <f>svc!D17</f>
        <v>dmz</v>
      </c>
      <c r="D18" t="str">
        <f>svc!$B17</f>
        <v>v504_itoms1</v>
      </c>
      <c r="E18">
        <f>svc!G17</f>
        <v>31030</v>
      </c>
      <c r="F18" t="str">
        <f>CONCATENATE("ups-",svc!$B17,"-",svc!I17)</f>
        <v>ups-v504_itoms1-toms_portal</v>
      </c>
      <c r="G18" t="str">
        <f>CONCATENATE("svc-",svc!$B17,"-",svc!I17)</f>
        <v>svc-v504_itoms1-toms_portal</v>
      </c>
      <c r="H18" t="e">
        <f>CONCATENATE("route-",VLOOKUP($D18,kong_p2_var!$B$10:$D$16,2,FALSE),"-",svc!$B17,"-",svc!I17)</f>
        <v>#N/A</v>
      </c>
      <c r="I18" t="e">
        <f>CONCATENATE(VLOOKUP($D18,kong_p2_var!$B$20:$H$26,SUBSTITUTE(I$1,"target_","") + 1,FALSE),":",$E18)</f>
        <v>#N/A</v>
      </c>
      <c r="J18" t="e">
        <f>CONCATENATE(VLOOKUP($D18,kong_p2_var!$B$20:$H$26,SUBSTITUTE(J$1,"target_","") + 1,FALSE),":",$E18)</f>
        <v>#N/A</v>
      </c>
      <c r="K18" t="e">
        <f>CONCATENATE(VLOOKUP($D18,kong_p2_var!$B$20:$H$26,SUBSTITUTE(K$1,"target_","") + 1,FALSE),":",$E18)</f>
        <v>#N/A</v>
      </c>
      <c r="L18" t="str">
        <f>IF($C18="dmz","",CONCATENATE(VLOOKUP($D18,kong_p2_var!$B$20:$H$26,SUBSTITUTE(L$1,"target_","") + 1,FALSE),":",$E18))</f>
        <v/>
      </c>
      <c r="M18" t="str">
        <f>IF($C18="dmz","",CONCATENATE(VLOOKUP($D18,kong_p2_var!$B$20:$H$26,SUBSTITUTE(M$1,"target_","") + 1,FALSE),":",$E18))</f>
        <v/>
      </c>
      <c r="N18" t="str">
        <f>IF($C18="dmz","",CONCATENATE(VLOOKUP($D18,kong_p2_var!$B$20:$H$26,SUBSTITUTE(N$1,"target_","") + 1,FALSE),":",$E18))</f>
        <v/>
      </c>
      <c r="O18" t="e">
        <f>VLOOKUP($D18,kong_p2_var!$B$10:$D$16,3,FALSE)</f>
        <v>#N/A</v>
      </c>
      <c r="P18" t="str">
        <f>CONCATENATE("/",C18,MID(D18,2,15),"/",svc!$I17)</f>
        <v>/dmz504_itoms1/toms_portal</v>
      </c>
      <c r="Q18" t="str">
        <f>VLOOKUP(C18,kong_p2_var!$B$6:$C$7,2,FALSE)</f>
        <v>http://172.20.149.80:8001</v>
      </c>
      <c r="R18" t="str">
        <f>SUBSTITUTE(SUBSTITUTE(kong_p2_var!$J$1,"&lt;upstream_name&gt;",$F18),"&lt;kong_api_url&gt;",$Q18)</f>
        <v>curl -X PUT http://172.20.149.80:8001/upstreams/ups-v504_itoms1-toms_portal</v>
      </c>
      <c r="S18" t="str">
        <f>SUBSTITUTE(SUBSTITUTE(SUBSTITUTE(SUBSTITUTE(kong_p2_var!$J$2,"&lt;kong_api_url&gt;",$Q18),"&lt;upstream_name&gt;",$F18),"&lt;port&gt;",$E18),"&lt;service_name&gt;",$G18)</f>
        <v>curl -X PUT http://172.20.149.80:8001/services/svc-v504_itoms1-toms_portal -H "Content-Type: application/json" -d '{"protocol":"http","host":"ups-v504_itoms1-toms_portal","port":31030}'</v>
      </c>
      <c r="T18" t="e">
        <f>SUBSTITUTE(SUBSTITUTE(SUBSTITUTE(SUBSTITUTE(SUBSTITUTE(kong_p2_var!$J$3,"&lt;kong_api_url&gt;",$Q18),"&lt;route_name&gt;",$H18),"&lt;service_name&gt;",$G18),"&lt;host&gt;",$O18),"&lt;path&gt;",$P18)</f>
        <v>#N/A</v>
      </c>
      <c r="U18" t="e">
        <f t="shared" si="1"/>
        <v>#N/A</v>
      </c>
      <c r="V18" t="e">
        <f t="shared" si="2"/>
        <v>#N/A</v>
      </c>
      <c r="W18" t="e">
        <f t="shared" si="3"/>
        <v>#N/A</v>
      </c>
      <c r="X18" t="str">
        <f t="shared" si="4"/>
        <v/>
      </c>
      <c r="Y18" t="str">
        <f t="shared" si="5"/>
        <v/>
      </c>
      <c r="Z18" t="str">
        <f t="shared" si="6"/>
        <v/>
      </c>
    </row>
    <row r="19" spans="1:26">
      <c r="A19">
        <f>IF(ISNUMBER(SEARCH("rest_api",svc!R18)),1,0)</f>
        <v>1</v>
      </c>
      <c r="C19" t="str">
        <f>svc!D18</f>
        <v>dmz</v>
      </c>
      <c r="D19" t="str">
        <f>svc!$B18</f>
        <v>v504</v>
      </c>
      <c r="E19">
        <f>svc!G18</f>
        <v>31401</v>
      </c>
      <c r="F19" t="str">
        <f>CONCATENATE("ups-",svc!$B18,"-",svc!I18)</f>
        <v>ups-v504-tsp_middleware</v>
      </c>
      <c r="G19" t="str">
        <f>CONCATENATE("svc-",svc!$B18,"-",svc!I18)</f>
        <v>svc-v504-tsp_middleware</v>
      </c>
      <c r="H19" t="str">
        <f>CONCATENATE("route-",VLOOKUP($D19,kong_p2_var!$B$10:$D$16,2,FALSE),"-",svc!$B18,"-",svc!I18)</f>
        <v>route-v510-v504-tsp_middleware</v>
      </c>
      <c r="I19" t="str">
        <f>CONCATENATE(VLOOKUP($D19,kong_p2_var!$B$20:$H$26,SUBSTITUTE(I$1,"target_","") + 1,FALSE),":",$E19)</f>
        <v>172.20.148.102:31401</v>
      </c>
      <c r="J19" t="str">
        <f>CONCATENATE(VLOOKUP($D19,kong_p2_var!$B$20:$H$26,SUBSTITUTE(J$1,"target_","") + 1,FALSE),":",$E19)</f>
        <v>172.20.148.103:31401</v>
      </c>
      <c r="K19" t="str">
        <f>CONCATENATE(VLOOKUP($D19,kong_p2_var!$B$20:$H$26,SUBSTITUTE(K$1,"target_","") + 1,FALSE),":",$E19)</f>
        <v>172.20.148.104:31401</v>
      </c>
      <c r="L19" t="str">
        <f>IF($C19="dmz","",CONCATENATE(VLOOKUP($D19,kong_p2_var!$B$20:$H$26,SUBSTITUTE(L$1,"target_","") + 1,FALSE),":",$E19))</f>
        <v/>
      </c>
      <c r="M19" t="str">
        <f>IF($C19="dmz","",CONCATENATE(VLOOKUP($D19,kong_p2_var!$B$20:$H$26,SUBSTITUTE(M$1,"target_","") + 1,FALSE),":",$E19))</f>
        <v/>
      </c>
      <c r="N19" t="str">
        <f>IF($C19="dmz","",CONCATENATE(VLOOKUP($D19,kong_p2_var!$B$20:$H$26,SUBSTITUTE(N$1,"target_","") + 1,FALSE),":",$E19))</f>
        <v/>
      </c>
      <c r="O19" t="str">
        <f>VLOOKUP($D19,kong_p2_var!$B$10:$D$16,3,FALSE)</f>
        <v>172.20.148.71</v>
      </c>
      <c r="P19" t="str">
        <f>CONCATENATE("/",C19,MID(D19,2,15),"/",svc!$I18)</f>
        <v>/dmz504/tsp_middleware</v>
      </c>
      <c r="Q19" t="str">
        <f>VLOOKUP(C19,kong_p2_var!$B$6:$C$7,2,FALSE)</f>
        <v>http://172.20.149.80:8001</v>
      </c>
      <c r="R19" t="str">
        <f>SUBSTITUTE(SUBSTITUTE(kong_p2_var!$J$1,"&lt;upstream_name&gt;",$F19),"&lt;kong_api_url&gt;",$Q19)</f>
        <v>curl -X PUT http://172.20.149.80:8001/upstreams/ups-v504-tsp_middleware</v>
      </c>
      <c r="S19" t="str">
        <f>SUBSTITUTE(SUBSTITUTE(SUBSTITUTE(SUBSTITUTE(kong_p2_var!$J$2,"&lt;kong_api_url&gt;",$Q19),"&lt;upstream_name&gt;",$F19),"&lt;port&gt;",$E19),"&lt;service_name&gt;",$G19)</f>
        <v>curl -X PUT http://172.20.149.80:8001/services/svc-v504-tsp_middleware -H "Content-Type: application/json" -d '{"protocol":"http","host":"ups-v504-tsp_middleware","port":31401}'</v>
      </c>
      <c r="T19" t="str">
        <f>SUBSTITUTE(SUBSTITUTE(SUBSTITUTE(SUBSTITUTE(SUBSTITUTE(kong_p2_var!$J$3,"&lt;kong_api_url&gt;",$Q19),"&lt;route_name&gt;",$H19),"&lt;service_name&gt;",$G19),"&lt;host&gt;",$O19),"&lt;path&gt;",$P19)</f>
        <v>curl -X PUT http://172.20.149.80:8001/services/svc-v504-tsp_middleware/routes/route-v510-v504-tsp_middleware -H "Content-Type: application/json" -d '{"protocols":["http"],"hosts":["172.20.148.71"],"paths":["/dmz504/tsp_middleware"]}'</v>
      </c>
      <c r="U19" t="str">
        <f t="shared" si="1"/>
        <v>curl -X POST http://172.20.149.80:8001/upstreams/ups-v504-tsp_middleware/targets -d 'target=172.20.148.102:31401'</v>
      </c>
      <c r="V19" t="str">
        <f t="shared" si="2"/>
        <v>curl -X POST http://172.20.149.80:8001/upstreams/ups-v504-tsp_middleware/targets -d 'target=172.20.148.103:31401'</v>
      </c>
      <c r="W19" t="str">
        <f t="shared" si="3"/>
        <v>curl -X POST http://172.20.149.80:8001/upstreams/ups-v504-tsp_middleware/targets -d 'target=172.20.148.104:31401'</v>
      </c>
      <c r="X19" t="str">
        <f t="shared" si="4"/>
        <v/>
      </c>
      <c r="Y19" t="str">
        <f t="shared" si="5"/>
        <v/>
      </c>
      <c r="Z19" t="str">
        <f t="shared" si="6"/>
        <v/>
      </c>
    </row>
    <row r="20" spans="1:26">
      <c r="A20">
        <f>IF(ISNUMBER(SEARCH("rest_api",svc!R19)),1,0)</f>
        <v>1</v>
      </c>
      <c r="C20" t="str">
        <f>svc!D19</f>
        <v>dmz</v>
      </c>
      <c r="D20" t="str">
        <f>svc!$B19</f>
        <v>v504</v>
      </c>
      <c r="E20">
        <f>svc!G19</f>
        <v>31402</v>
      </c>
      <c r="F20" t="str">
        <f>CONCATENATE("ups-",svc!$B19,"-",svc!I19)</f>
        <v>ups-v504-ttis_middleware</v>
      </c>
      <c r="G20" t="str">
        <f>CONCATENATE("svc-",svc!$B19,"-",svc!I19)</f>
        <v>svc-v504-ttis_middleware</v>
      </c>
      <c r="H20" t="str">
        <f>CONCATENATE("route-",VLOOKUP($D20,kong_p2_var!$B$10:$D$16,2,FALSE),"-",svc!$B19,"-",svc!I19)</f>
        <v>route-v510-v504-ttis_middleware</v>
      </c>
      <c r="I20" t="str">
        <f>CONCATENATE(VLOOKUP($D20,kong_p2_var!$B$20:$H$26,SUBSTITUTE(I$1,"target_","") + 1,FALSE),":",$E20)</f>
        <v>172.20.148.102:31402</v>
      </c>
      <c r="J20" t="str">
        <f>CONCATENATE(VLOOKUP($D20,kong_p2_var!$B$20:$H$26,SUBSTITUTE(J$1,"target_","") + 1,FALSE),":",$E20)</f>
        <v>172.20.148.103:31402</v>
      </c>
      <c r="K20" t="str">
        <f>CONCATENATE(VLOOKUP($D20,kong_p2_var!$B$20:$H$26,SUBSTITUTE(K$1,"target_","") + 1,FALSE),":",$E20)</f>
        <v>172.20.148.104:31402</v>
      </c>
      <c r="L20" t="str">
        <f>IF($C20="dmz","",CONCATENATE(VLOOKUP($D20,kong_p2_var!$B$20:$H$26,SUBSTITUTE(L$1,"target_","") + 1,FALSE),":",$E20))</f>
        <v/>
      </c>
      <c r="M20" t="str">
        <f>IF($C20="dmz","",CONCATENATE(VLOOKUP($D20,kong_p2_var!$B$20:$H$26,SUBSTITUTE(M$1,"target_","") + 1,FALSE),":",$E20))</f>
        <v/>
      </c>
      <c r="N20" t="str">
        <f>IF($C20="dmz","",CONCATENATE(VLOOKUP($D20,kong_p2_var!$B$20:$H$26,SUBSTITUTE(N$1,"target_","") + 1,FALSE),":",$E20))</f>
        <v/>
      </c>
      <c r="O20" t="str">
        <f>VLOOKUP($D20,kong_p2_var!$B$10:$D$16,3,FALSE)</f>
        <v>172.20.148.71</v>
      </c>
      <c r="P20" t="str">
        <f>CONCATENATE("/",C20,MID(D20,2,15),"/",svc!$I19)</f>
        <v>/dmz504/ttis_middleware</v>
      </c>
      <c r="Q20" t="str">
        <f>VLOOKUP(C20,kong_p2_var!$B$6:$C$7,2,FALSE)</f>
        <v>http://172.20.149.80:8001</v>
      </c>
      <c r="R20" t="str">
        <f>SUBSTITUTE(SUBSTITUTE(kong_p2_var!$J$1,"&lt;upstream_name&gt;",$F20),"&lt;kong_api_url&gt;",$Q20)</f>
        <v>curl -X PUT http://172.20.149.80:8001/upstreams/ups-v504-ttis_middleware</v>
      </c>
      <c r="S20" t="str">
        <f>SUBSTITUTE(SUBSTITUTE(SUBSTITUTE(SUBSTITUTE(kong_p2_var!$J$2,"&lt;kong_api_url&gt;",$Q20),"&lt;upstream_name&gt;",$F20),"&lt;port&gt;",$E20),"&lt;service_name&gt;",$G20)</f>
        <v>curl -X PUT http://172.20.149.80:8001/services/svc-v504-ttis_middleware -H "Content-Type: application/json" -d '{"protocol":"http","host":"ups-v504-ttis_middleware","port":31402}'</v>
      </c>
      <c r="T20" t="str">
        <f>SUBSTITUTE(SUBSTITUTE(SUBSTITUTE(SUBSTITUTE(SUBSTITUTE(kong_p2_var!$J$3,"&lt;kong_api_url&gt;",$Q20),"&lt;route_name&gt;",$H20),"&lt;service_name&gt;",$G20),"&lt;host&gt;",$O20),"&lt;path&gt;",$P20)</f>
        <v>curl -X PUT http://172.20.149.80:8001/services/svc-v504-ttis_middleware/routes/route-v510-v504-ttis_middleware -H "Content-Type: application/json" -d '{"protocols":["http"],"hosts":["172.20.148.71"],"paths":["/dmz504/ttis_middleware"]}'</v>
      </c>
      <c r="U20" t="str">
        <f t="shared" si="1"/>
        <v>curl -X POST http://172.20.149.80:8001/upstreams/ups-v504-ttis_middleware/targets -d 'target=172.20.148.102:31402'</v>
      </c>
      <c r="V20" t="str">
        <f t="shared" si="2"/>
        <v>curl -X POST http://172.20.149.80:8001/upstreams/ups-v504-ttis_middleware/targets -d 'target=172.20.148.103:31402'</v>
      </c>
      <c r="W20" t="str">
        <f t="shared" si="3"/>
        <v>curl -X POST http://172.20.149.80:8001/upstreams/ups-v504-ttis_middleware/targets -d 'target=172.20.148.104:31402'</v>
      </c>
      <c r="X20" t="str">
        <f t="shared" si="4"/>
        <v/>
      </c>
      <c r="Y20" t="str">
        <f t="shared" si="5"/>
        <v/>
      </c>
      <c r="Z20" t="str">
        <f t="shared" si="6"/>
        <v/>
      </c>
    </row>
    <row r="21" spans="1:26">
      <c r="A21">
        <f>IF(ISNUMBER(SEARCH("rest_api",svc!R20)),1,0)</f>
        <v>1</v>
      </c>
      <c r="C21" t="str">
        <f>svc!D20</f>
        <v>dmz</v>
      </c>
      <c r="D21" t="str">
        <f>svc!$B20</f>
        <v>v904</v>
      </c>
      <c r="E21">
        <f>svc!G20</f>
        <v>31403</v>
      </c>
      <c r="F21" t="str">
        <f>CONCATENATE("ups-",svc!$B20,"-",svc!I20)</f>
        <v>ups-v904-validv_middleware</v>
      </c>
      <c r="G21" t="str">
        <f>CONCATENATE("svc-",svc!$B20,"-",svc!I20)</f>
        <v>svc-v904-validv_middleware</v>
      </c>
      <c r="H21" t="str">
        <f>CONCATENATE("route-",VLOOKUP($D21,kong_p2_var!$B$10:$D$16,2,FALSE),"-",svc!$B20,"-",svc!I20)</f>
        <v>route-v910-v904-validv_middleware</v>
      </c>
      <c r="I21" t="str">
        <f>CONCATENATE(VLOOKUP($D21,kong_p2_var!$B$20:$H$26,SUBSTITUTE(I$1,"target_","") + 1,FALSE),":",$E21)</f>
        <v>172.20.149.102:31403</v>
      </c>
      <c r="J21" t="str">
        <f>CONCATENATE(VLOOKUP($D21,kong_p2_var!$B$20:$H$26,SUBSTITUTE(J$1,"target_","") + 1,FALSE),":",$E21)</f>
        <v>172.20.149.103:31403</v>
      </c>
      <c r="K21" t="str">
        <f>CONCATENATE(VLOOKUP($D21,kong_p2_var!$B$20:$H$26,SUBSTITUTE(K$1,"target_","") + 1,FALSE),":",$E21)</f>
        <v>172.20.149.104:31403</v>
      </c>
      <c r="L21" t="str">
        <f>IF($C21="dmz","",CONCATENATE(VLOOKUP($D21,kong_p2_var!$B$20:$H$26,SUBSTITUTE(L$1,"target_","") + 1,FALSE),":",$E21))</f>
        <v/>
      </c>
      <c r="M21" t="str">
        <f>IF($C21="dmz","",CONCATENATE(VLOOKUP($D21,kong_p2_var!$B$20:$H$26,SUBSTITUTE(M$1,"target_","") + 1,FALSE),":",$E21))</f>
        <v/>
      </c>
      <c r="N21" t="str">
        <f>IF($C21="dmz","",CONCATENATE(VLOOKUP($D21,kong_p2_var!$B$20:$H$26,SUBSTITUTE(N$1,"target_","") + 1,FALSE),":",$E21))</f>
        <v/>
      </c>
      <c r="O21" t="str">
        <f>VLOOKUP($D21,kong_p2_var!$B$10:$D$16,3,FALSE)</f>
        <v>172.20.150.39</v>
      </c>
      <c r="P21" t="str">
        <f>CONCATENATE("/",C21,MID(D21,2,15),"/",svc!$I20)</f>
        <v>/dmz904/validv_middleware</v>
      </c>
      <c r="Q21" t="str">
        <f>VLOOKUP(C21,kong_p2_var!$B$6:$C$7,2,FALSE)</f>
        <v>http://172.20.149.80:8001</v>
      </c>
      <c r="R21" t="str">
        <f>SUBSTITUTE(SUBSTITUTE(kong_p2_var!$J$1,"&lt;upstream_name&gt;",$F21),"&lt;kong_api_url&gt;",$Q21)</f>
        <v>curl -X PUT http://172.20.149.80:8001/upstreams/ups-v904-validv_middleware</v>
      </c>
      <c r="S21" t="str">
        <f>SUBSTITUTE(SUBSTITUTE(SUBSTITUTE(SUBSTITUTE(kong_p2_var!$J$2,"&lt;kong_api_url&gt;",$Q21),"&lt;upstream_name&gt;",$F21),"&lt;port&gt;",$E21),"&lt;service_name&gt;",$G21)</f>
        <v>curl -X PUT http://172.20.149.80:8001/services/svc-v904-validv_middleware -H "Content-Type: application/json" -d '{"protocol":"http","host":"ups-v904-validv_middleware","port":31403}'</v>
      </c>
      <c r="T21" t="str">
        <f>SUBSTITUTE(SUBSTITUTE(SUBSTITUTE(SUBSTITUTE(SUBSTITUTE(kong_p2_var!$J$3,"&lt;kong_api_url&gt;",$Q21),"&lt;route_name&gt;",$H21),"&lt;service_name&gt;",$G21),"&lt;host&gt;",$O21),"&lt;path&gt;",$P21)</f>
        <v>curl -X PUT http://172.20.149.80:8001/services/svc-v904-validv_middleware/routes/route-v910-v904-validv_middleware -H "Content-Type: application/json" -d '{"protocols":["http"],"hosts":["172.20.150.39"],"paths":["/dmz904/validv_middleware"]}'</v>
      </c>
      <c r="U21" t="str">
        <f t="shared" si="1"/>
        <v>curl -X POST http://172.20.149.80:8001/upstreams/ups-v904-validv_middleware/targets -d 'target=172.20.149.102:31403'</v>
      </c>
      <c r="V21" t="str">
        <f t="shared" si="2"/>
        <v>curl -X POST http://172.20.149.80:8001/upstreams/ups-v904-validv_middleware/targets -d 'target=172.20.149.103:31403'</v>
      </c>
      <c r="W21" t="str">
        <f t="shared" si="3"/>
        <v>curl -X POST http://172.20.149.80:8001/upstreams/ups-v904-validv_middleware/targets -d 'target=172.20.149.104:31403'</v>
      </c>
      <c r="X21" t="str">
        <f t="shared" si="4"/>
        <v/>
      </c>
      <c r="Y21" t="str">
        <f t="shared" si="5"/>
        <v/>
      </c>
      <c r="Z21" t="str">
        <f t="shared" si="6"/>
        <v/>
      </c>
    </row>
    <row r="22" spans="1:26">
      <c r="A22">
        <f>IF(ISNUMBER(SEARCH("rest_api",svc!R21)),1,0)</f>
        <v>1</v>
      </c>
      <c r="C22" t="str">
        <f>svc!D21</f>
        <v>dmz</v>
      </c>
      <c r="D22" t="str">
        <f>svc!$B21</f>
        <v>v904</v>
      </c>
      <c r="E22">
        <f>svc!G21</f>
        <v>31404</v>
      </c>
      <c r="F22" t="str">
        <f>CONCATENATE("ups-",svc!$B21,"-",svc!I21)</f>
        <v>ups-v904-vssd_middleware</v>
      </c>
      <c r="G22" t="str">
        <f>CONCATENATE("svc-",svc!$B21,"-",svc!I21)</f>
        <v>svc-v904-vssd_middleware</v>
      </c>
      <c r="H22" t="str">
        <f>CONCATENATE("route-",VLOOKUP($D22,kong_p2_var!$B$10:$D$16,2,FALSE),"-",svc!$B21,"-",svc!I21)</f>
        <v>route-v910-v904-vssd_middleware</v>
      </c>
      <c r="I22" t="str">
        <f>CONCATENATE(VLOOKUP($D22,kong_p2_var!$B$20:$H$26,SUBSTITUTE(I$1,"target_","") + 1,FALSE),":",$E22)</f>
        <v>172.20.149.102:31404</v>
      </c>
      <c r="J22" t="str">
        <f>CONCATENATE(VLOOKUP($D22,kong_p2_var!$B$20:$H$26,SUBSTITUTE(J$1,"target_","") + 1,FALSE),":",$E22)</f>
        <v>172.20.149.103:31404</v>
      </c>
      <c r="K22" t="str">
        <f>CONCATENATE(VLOOKUP($D22,kong_p2_var!$B$20:$H$26,SUBSTITUTE(K$1,"target_","") + 1,FALSE),":",$E22)</f>
        <v>172.20.149.104:31404</v>
      </c>
      <c r="L22" t="str">
        <f>IF($C22="dmz","",CONCATENATE(VLOOKUP($D22,kong_p2_var!$B$20:$H$26,SUBSTITUTE(L$1,"target_","") + 1,FALSE),":",$E22))</f>
        <v/>
      </c>
      <c r="M22" t="str">
        <f>IF($C22="dmz","",CONCATENATE(VLOOKUP($D22,kong_p2_var!$B$20:$H$26,SUBSTITUTE(M$1,"target_","") + 1,FALSE),":",$E22))</f>
        <v/>
      </c>
      <c r="N22" t="str">
        <f>IF($C22="dmz","",CONCATENATE(VLOOKUP($D22,kong_p2_var!$B$20:$H$26,SUBSTITUTE(N$1,"target_","") + 1,FALSE),":",$E22))</f>
        <v/>
      </c>
      <c r="O22" t="str">
        <f>VLOOKUP($D22,kong_p2_var!$B$10:$D$16,3,FALSE)</f>
        <v>172.20.150.39</v>
      </c>
      <c r="P22" t="str">
        <f>CONCATENATE("/",C22,MID(D22,2,15),"/",svc!$I21)</f>
        <v>/dmz904/vssd_middleware</v>
      </c>
      <c r="Q22" t="str">
        <f>VLOOKUP(C22,kong_p2_var!$B$6:$C$7,2,FALSE)</f>
        <v>http://172.20.149.80:8001</v>
      </c>
      <c r="R22" t="str">
        <f>SUBSTITUTE(SUBSTITUTE(kong_p2_var!$J$1,"&lt;upstream_name&gt;",$F22),"&lt;kong_api_url&gt;",$Q22)</f>
        <v>curl -X PUT http://172.20.149.80:8001/upstreams/ups-v904-vssd_middleware</v>
      </c>
      <c r="S22" t="str">
        <f>SUBSTITUTE(SUBSTITUTE(SUBSTITUTE(SUBSTITUTE(kong_p2_var!$J$2,"&lt;kong_api_url&gt;",$Q22),"&lt;upstream_name&gt;",$F22),"&lt;port&gt;",$E22),"&lt;service_name&gt;",$G22)</f>
        <v>curl -X PUT http://172.20.149.80:8001/services/svc-v904-vssd_middleware -H "Content-Type: application/json" -d '{"protocol":"http","host":"ups-v904-vssd_middleware","port":31404}'</v>
      </c>
      <c r="T22" t="str">
        <f>SUBSTITUTE(SUBSTITUTE(SUBSTITUTE(SUBSTITUTE(SUBSTITUTE(kong_p2_var!$J$3,"&lt;kong_api_url&gt;",$Q22),"&lt;route_name&gt;",$H22),"&lt;service_name&gt;",$G22),"&lt;host&gt;",$O22),"&lt;path&gt;",$P22)</f>
        <v>curl -X PUT http://172.20.149.80:8001/services/svc-v904-vssd_middleware/routes/route-v910-v904-vssd_middleware -H "Content-Type: application/json" -d '{"protocols":["http"],"hosts":["172.20.150.39"],"paths":["/dmz904/vssd_middleware"]}'</v>
      </c>
      <c r="U22" t="str">
        <f t="shared" si="1"/>
        <v>curl -X POST http://172.20.149.80:8001/upstreams/ups-v904-vssd_middleware/targets -d 'target=172.20.149.102:31404'</v>
      </c>
      <c r="V22" t="str">
        <f t="shared" si="2"/>
        <v>curl -X POST http://172.20.149.80:8001/upstreams/ups-v904-vssd_middleware/targets -d 'target=172.20.149.103:31404'</v>
      </c>
      <c r="W22" t="str">
        <f t="shared" si="3"/>
        <v>curl -X POST http://172.20.149.80:8001/upstreams/ups-v904-vssd_middleware/targets -d 'target=172.20.149.104:31404'</v>
      </c>
      <c r="X22" t="str">
        <f t="shared" si="4"/>
        <v/>
      </c>
      <c r="Y22" t="str">
        <f t="shared" si="5"/>
        <v/>
      </c>
      <c r="Z22" t="str">
        <f t="shared" si="6"/>
        <v/>
      </c>
    </row>
    <row r="23" spans="1:26">
      <c r="A23">
        <f>IF(ISNUMBER(SEARCH("rest_api",svc!R22)),1,0)</f>
        <v>1</v>
      </c>
      <c r="C23" t="str">
        <f>svc!D22</f>
        <v>trust</v>
      </c>
      <c r="D23" t="str">
        <f>svc!$B22</f>
        <v>v510</v>
      </c>
      <c r="E23">
        <f>svc!G22</f>
        <v>31009</v>
      </c>
      <c r="F23" t="str">
        <f>CONCATENATE("ups-",svc!$B22,"-",svc!I22)</f>
        <v>ups-v510-accmgt_api</v>
      </c>
      <c r="G23" t="str">
        <f>CONCATENATE("svc-",svc!$B22,"-",svc!I22)</f>
        <v>svc-v510-accmgt_api</v>
      </c>
      <c r="H23" t="str">
        <f>CONCATENATE("route-",VLOOKUP($D23,kong_p2_var!$B$10:$D$16,2,FALSE),"-",svc!$B22,"-",svc!I22)</f>
        <v>route-v504-v510-accmgt_api</v>
      </c>
      <c r="I23" t="str">
        <f>CONCATENATE(VLOOKUP($D23,kong_p2_var!$B$20:$H$26,SUBSTITUTE(I$1,"target_","") + 1,FALSE),":",$E23)</f>
        <v>172.20.148.131:31009</v>
      </c>
      <c r="J23" t="str">
        <f>CONCATENATE(VLOOKUP($D23,kong_p2_var!$B$20:$H$26,SUBSTITUTE(J$1,"target_","") + 1,FALSE),":",$E23)</f>
        <v>172.20.148.132:31009</v>
      </c>
      <c r="K23" t="str">
        <f>CONCATENATE(VLOOKUP($D23,kong_p2_var!$B$20:$H$26,SUBSTITUTE(K$1,"target_","") + 1,FALSE),":",$E23)</f>
        <v>172.20.148.133:31009</v>
      </c>
      <c r="L23" t="str">
        <f>IF($C23="dmz","",CONCATENATE(VLOOKUP($D23,kong_p2_var!$B$20:$H$26,SUBSTITUTE(L$1,"target_","") + 1,FALSE),":",$E23))</f>
        <v>172.20.148.134:31009</v>
      </c>
      <c r="M23" t="str">
        <f>IF($C23="dmz","",CONCATENATE(VLOOKUP($D23,kong_p2_var!$B$20:$H$26,SUBSTITUTE(M$1,"target_","") + 1,FALSE),":",$E23))</f>
        <v>172.20.148.135:31009</v>
      </c>
      <c r="N23" t="str">
        <f>IF($C23="dmz","",CONCATENATE(VLOOKUP($D23,kong_p2_var!$B$20:$H$26,SUBSTITUTE(N$1,"target_","") + 1,FALSE),":",$E23))</f>
        <v>172.20.148.136:31009</v>
      </c>
      <c r="O23" t="str">
        <f>VLOOKUP($D23,kong_p2_var!$B$10:$D$16,3,FALSE)</f>
        <v>172.20.149.183</v>
      </c>
      <c r="P23" t="str">
        <f>CONCATENATE("/",C23,MID(D23,2,15),"/",svc!$I22)</f>
        <v>/trust510/accmgt_api</v>
      </c>
      <c r="Q23" t="str">
        <f>VLOOKUP(C23,kong_p2_var!$B$6:$C$7,2,FALSE)</f>
        <v>http://172.20.148.160:8001</v>
      </c>
      <c r="R23" t="str">
        <f>SUBSTITUTE(SUBSTITUTE(kong_p2_var!$J$1,"&lt;upstream_name&gt;",$F23),"&lt;kong_api_url&gt;",$Q23)</f>
        <v>curl -X PUT http://172.20.148.160:8001/upstreams/ups-v510-accmgt_api</v>
      </c>
      <c r="S23" t="str">
        <f>SUBSTITUTE(SUBSTITUTE(SUBSTITUTE(SUBSTITUTE(kong_p2_var!$J$2,"&lt;kong_api_url&gt;",$Q23),"&lt;upstream_name&gt;",$F23),"&lt;port&gt;",$E23),"&lt;service_name&gt;",$G23)</f>
        <v>curl -X PUT http://172.20.148.160:8001/services/svc-v510-accmgt_api -H "Content-Type: application/json" -d '{"protocol":"http","host":"ups-v510-accmgt_api","port":31009}'</v>
      </c>
      <c r="T23" t="str">
        <f>SUBSTITUTE(SUBSTITUTE(SUBSTITUTE(SUBSTITUTE(SUBSTITUTE(kong_p2_var!$J$3,"&lt;kong_api_url&gt;",$Q23),"&lt;route_name&gt;",$H23),"&lt;service_name&gt;",$G23),"&lt;host&gt;",$O23),"&lt;path&gt;",$P23)</f>
        <v>curl -X PUT http://172.20.148.160:8001/services/svc-v510-accmgt_api/routes/route-v504-v510-accmgt_api -H "Content-Type: application/json" -d '{"protocols":["http"],"hosts":["172.20.149.183"],"paths":["/trust510/accmgt_api"]}'</v>
      </c>
      <c r="U23" t="str">
        <f t="shared" si="1"/>
        <v>curl -X POST http://172.20.148.160:8001/upstreams/ups-v510-accmgt_api/targets -d 'target=172.20.148.131:31009'</v>
      </c>
      <c r="V23" t="str">
        <f t="shared" si="2"/>
        <v>curl -X POST http://172.20.148.160:8001/upstreams/ups-v510-accmgt_api/targets -d 'target=172.20.148.132:31009'</v>
      </c>
      <c r="W23" t="str">
        <f t="shared" si="3"/>
        <v>curl -X POST http://172.20.148.160:8001/upstreams/ups-v510-accmgt_api/targets -d 'target=172.20.148.133:31009'</v>
      </c>
      <c r="X23" t="str">
        <f t="shared" si="4"/>
        <v>curl -X POST http://172.20.148.160:8001/upstreams/ups-v510-accmgt_api/targets -d 'target=172.20.148.134:31009'</v>
      </c>
      <c r="Y23" t="str">
        <f t="shared" si="5"/>
        <v>curl -X POST http://172.20.148.160:8001/upstreams/ups-v510-accmgt_api/targets -d 'target=172.20.148.135:31009'</v>
      </c>
      <c r="Z23" t="str">
        <f t="shared" si="6"/>
        <v>curl -X POST http://172.20.148.160:8001/upstreams/ups-v510-accmgt_api/targets -d 'target=172.20.148.136:31009'</v>
      </c>
    </row>
    <row r="24" spans="1:26">
      <c r="A24">
        <f>IF(ISNUMBER(SEARCH("rest_api",svc!R23)),1,0)</f>
        <v>1</v>
      </c>
      <c r="C24" t="str">
        <f>svc!D23</f>
        <v>trust</v>
      </c>
      <c r="D24" t="str">
        <f>svc!$B23</f>
        <v>v510</v>
      </c>
      <c r="E24">
        <f>svc!G23</f>
        <v>31000</v>
      </c>
      <c r="F24" t="str">
        <f>CONCATENATE("ups-",svc!$B23,"-",svc!I23)</f>
        <v>ups-v510-auth_api</v>
      </c>
      <c r="G24" t="str">
        <f>CONCATENATE("svc-",svc!$B23,"-",svc!I23)</f>
        <v>svc-v510-auth_api</v>
      </c>
      <c r="H24" t="str">
        <f>CONCATENATE("route-",VLOOKUP($D24,kong_p2_var!$B$10:$D$16,2,FALSE),"-",svc!$B23,"-",svc!I23)</f>
        <v>route-v504-v510-auth_api</v>
      </c>
      <c r="I24" t="str">
        <f>CONCATENATE(VLOOKUP($D24,kong_p2_var!$B$20:$H$26,SUBSTITUTE(I$1,"target_","") + 1,FALSE),":",$E24)</f>
        <v>172.20.148.131:31000</v>
      </c>
      <c r="J24" t="str">
        <f>CONCATENATE(VLOOKUP($D24,kong_p2_var!$B$20:$H$26,SUBSTITUTE(J$1,"target_","") + 1,FALSE),":",$E24)</f>
        <v>172.20.148.132:31000</v>
      </c>
      <c r="K24" t="str">
        <f>CONCATENATE(VLOOKUP($D24,kong_p2_var!$B$20:$H$26,SUBSTITUTE(K$1,"target_","") + 1,FALSE),":",$E24)</f>
        <v>172.20.148.133:31000</v>
      </c>
      <c r="L24" t="str">
        <f>IF($C24="dmz","",CONCATENATE(VLOOKUP($D24,kong_p2_var!$B$20:$H$26,SUBSTITUTE(L$1,"target_","") + 1,FALSE),":",$E24))</f>
        <v>172.20.148.134:31000</v>
      </c>
      <c r="M24" t="str">
        <f>IF($C24="dmz","",CONCATENATE(VLOOKUP($D24,kong_p2_var!$B$20:$H$26,SUBSTITUTE(M$1,"target_","") + 1,FALSE),":",$E24))</f>
        <v>172.20.148.135:31000</v>
      </c>
      <c r="N24" t="str">
        <f>IF($C24="dmz","",CONCATENATE(VLOOKUP($D24,kong_p2_var!$B$20:$H$26,SUBSTITUTE(N$1,"target_","") + 1,FALSE),":",$E24))</f>
        <v>172.20.148.136:31000</v>
      </c>
      <c r="O24" t="str">
        <f>VLOOKUP($D24,kong_p2_var!$B$10:$D$16,3,FALSE)</f>
        <v>172.20.149.183</v>
      </c>
      <c r="P24" t="str">
        <f>CONCATENATE("/",C24,MID(D24,2,15),"/",svc!$I23)</f>
        <v>/trust510/auth_api</v>
      </c>
      <c r="Q24" t="str">
        <f>VLOOKUP(C24,kong_p2_var!$B$6:$C$7,2,FALSE)</f>
        <v>http://172.20.148.160:8001</v>
      </c>
      <c r="R24" t="str">
        <f>SUBSTITUTE(SUBSTITUTE(kong_p2_var!$J$1,"&lt;upstream_name&gt;",$F24),"&lt;kong_api_url&gt;",$Q24)</f>
        <v>curl -X PUT http://172.20.148.160:8001/upstreams/ups-v510-auth_api</v>
      </c>
      <c r="S24" t="str">
        <f>SUBSTITUTE(SUBSTITUTE(SUBSTITUTE(SUBSTITUTE(kong_p2_var!$J$2,"&lt;kong_api_url&gt;",$Q24),"&lt;upstream_name&gt;",$F24),"&lt;port&gt;",$E24),"&lt;service_name&gt;",$G24)</f>
        <v>curl -X PUT http://172.20.148.160:8001/services/svc-v510-auth_api -H "Content-Type: application/json" -d '{"protocol":"http","host":"ups-v510-auth_api","port":31000}'</v>
      </c>
      <c r="T24" t="str">
        <f>SUBSTITUTE(SUBSTITUTE(SUBSTITUTE(SUBSTITUTE(SUBSTITUTE(kong_p2_var!$J$3,"&lt;kong_api_url&gt;",$Q24),"&lt;route_name&gt;",$H24),"&lt;service_name&gt;",$G24),"&lt;host&gt;",$O24),"&lt;path&gt;",$P24)</f>
        <v>curl -X PUT http://172.20.148.160:8001/services/svc-v510-auth_api/routes/route-v504-v510-auth_api -H "Content-Type: application/json" -d '{"protocols":["http"],"hosts":["172.20.149.183"],"paths":["/trust510/auth_api"]}'</v>
      </c>
      <c r="U24" t="str">
        <f t="shared" si="1"/>
        <v>curl -X POST http://172.20.148.160:8001/upstreams/ups-v510-auth_api/targets -d 'target=172.20.148.131:31000'</v>
      </c>
      <c r="V24" t="str">
        <f t="shared" si="2"/>
        <v>curl -X POST http://172.20.148.160:8001/upstreams/ups-v510-auth_api/targets -d 'target=172.20.148.132:31000'</v>
      </c>
      <c r="W24" t="str">
        <f t="shared" si="3"/>
        <v>curl -X POST http://172.20.148.160:8001/upstreams/ups-v510-auth_api/targets -d 'target=172.20.148.133:31000'</v>
      </c>
      <c r="X24" t="str">
        <f t="shared" si="4"/>
        <v>curl -X POST http://172.20.148.160:8001/upstreams/ups-v510-auth_api/targets -d 'target=172.20.148.134:31000'</v>
      </c>
      <c r="Y24" t="str">
        <f t="shared" si="5"/>
        <v>curl -X POST http://172.20.148.160:8001/upstreams/ups-v510-auth_api/targets -d 'target=172.20.148.135:31000'</v>
      </c>
      <c r="Z24" t="str">
        <f t="shared" si="6"/>
        <v>curl -X POST http://172.20.148.160:8001/upstreams/ups-v510-auth_api/targets -d 'target=172.20.148.136:31000'</v>
      </c>
    </row>
    <row r="25" spans="1:26">
      <c r="A25">
        <f>IF(ISNUMBER(SEARCH("rest_api",svc!R24)),1,0)</f>
        <v>1</v>
      </c>
      <c r="C25" t="str">
        <f>svc!D24</f>
        <v>trust</v>
      </c>
      <c r="D25" t="str">
        <f>svc!$B24</f>
        <v>v510</v>
      </c>
      <c r="E25">
        <f>svc!G24</f>
        <v>31201</v>
      </c>
      <c r="F25" t="str">
        <f>CONCATENATE("ups-",svc!$B24,"-",svc!I24)</f>
        <v>ups-v510-bes_acc_im001_fft_account_registration</v>
      </c>
      <c r="G25" t="str">
        <f>CONCATENATE("svc-",svc!$B24,"-",svc!I24)</f>
        <v>svc-v510-bes_acc_im001_fft_account_registration</v>
      </c>
      <c r="H25" t="str">
        <f>CONCATENATE("route-",VLOOKUP($D25,kong_p2_var!$B$10:$D$16,2,FALSE),"-",svc!$B24,"-",svc!I24)</f>
        <v>route-v504-v510-bes_acc_im001_fft_account_registration</v>
      </c>
      <c r="I25" t="str">
        <f>CONCATENATE(VLOOKUP($D25,kong_p2_var!$B$20:$H$26,SUBSTITUTE(I$1,"target_","") + 1,FALSE),":",$E25)</f>
        <v>172.20.148.131:31201</v>
      </c>
      <c r="J25" t="str">
        <f>CONCATENATE(VLOOKUP($D25,kong_p2_var!$B$20:$H$26,SUBSTITUTE(J$1,"target_","") + 1,FALSE),":",$E25)</f>
        <v>172.20.148.132:31201</v>
      </c>
      <c r="K25" t="str">
        <f>CONCATENATE(VLOOKUP($D25,kong_p2_var!$B$20:$H$26,SUBSTITUTE(K$1,"target_","") + 1,FALSE),":",$E25)</f>
        <v>172.20.148.133:31201</v>
      </c>
      <c r="L25" t="str">
        <f>IF($C25="dmz","",CONCATENATE(VLOOKUP($D25,kong_p2_var!$B$20:$H$26,SUBSTITUTE(L$1,"target_","") + 1,FALSE),":",$E25))</f>
        <v>172.20.148.134:31201</v>
      </c>
      <c r="M25" t="str">
        <f>IF($C25="dmz","",CONCATENATE(VLOOKUP($D25,kong_p2_var!$B$20:$H$26,SUBSTITUTE(M$1,"target_","") + 1,FALSE),":",$E25))</f>
        <v>172.20.148.135:31201</v>
      </c>
      <c r="N25" t="str">
        <f>IF($C25="dmz","",CONCATENATE(VLOOKUP($D25,kong_p2_var!$B$20:$H$26,SUBSTITUTE(N$1,"target_","") + 1,FALSE),":",$E25))</f>
        <v>172.20.148.136:31201</v>
      </c>
      <c r="O25" t="str">
        <f>VLOOKUP($D25,kong_p2_var!$B$10:$D$16,3,FALSE)</f>
        <v>172.20.149.183</v>
      </c>
      <c r="P25" t="str">
        <f>CONCATENATE("/",C25,MID(D25,2,15),"/",svc!$I24)</f>
        <v>/trust510/bes_acc_im001_fft_account_registration</v>
      </c>
      <c r="Q25" t="str">
        <f>VLOOKUP(C25,kong_p2_var!$B$6:$C$7,2,FALSE)</f>
        <v>http://172.20.148.160:8001</v>
      </c>
      <c r="R25" t="str">
        <f>SUBSTITUTE(SUBSTITUTE(kong_p2_var!$J$1,"&lt;upstream_name&gt;",$F25),"&lt;kong_api_url&gt;",$Q25)</f>
        <v>curl -X PUT http://172.20.148.160:8001/upstreams/ups-v510-bes_acc_im001_fft_account_registration</v>
      </c>
      <c r="S25" t="str">
        <f>SUBSTITUTE(SUBSTITUTE(SUBSTITUTE(SUBSTITUTE(kong_p2_var!$J$2,"&lt;kong_api_url&gt;",$Q25),"&lt;upstream_name&gt;",$F25),"&lt;port&gt;",$E25),"&lt;service_name&gt;",$G25)</f>
        <v>curl -X PUT http://172.20.148.160:8001/services/svc-v510-bes_acc_im001_fft_account_registration -H "Content-Type: application/json" -d '{"protocol":"http","host":"ups-v510-bes_acc_im001_fft_account_registration","port":31201}'</v>
      </c>
      <c r="T25" t="str">
        <f>SUBSTITUTE(SUBSTITUTE(SUBSTITUTE(SUBSTITUTE(SUBSTITUTE(kong_p2_var!$J$3,"&lt;kong_api_url&gt;",$Q25),"&lt;route_name&gt;",$H25),"&lt;service_name&gt;",$G25),"&lt;host&gt;",$O25),"&lt;path&gt;",$P25)</f>
        <v>curl -X PUT http://172.20.148.160:8001/services/svc-v510-bes_acc_im001_fft_account_registration/routes/route-v504-v510-bes_acc_im001_fft_account_registration -H "Content-Type: application/json" -d '{"protocols":["http"],"hosts":["172.20.149.183"],"paths":["/trust510/bes_acc_im001_fft_account_registration"]}'</v>
      </c>
      <c r="U25" t="str">
        <f t="shared" si="1"/>
        <v>curl -X POST http://172.20.148.160:8001/upstreams/ups-v510-bes_acc_im001_fft_account_registration/targets -d 'target=172.20.148.131:31201'</v>
      </c>
      <c r="V25" t="str">
        <f t="shared" si="2"/>
        <v>curl -X POST http://172.20.148.160:8001/upstreams/ups-v510-bes_acc_im001_fft_account_registration/targets -d 'target=172.20.148.132:31201'</v>
      </c>
      <c r="W25" t="str">
        <f t="shared" si="3"/>
        <v>curl -X POST http://172.20.148.160:8001/upstreams/ups-v510-bes_acc_im001_fft_account_registration/targets -d 'target=172.20.148.133:31201'</v>
      </c>
      <c r="X25" t="str">
        <f t="shared" si="4"/>
        <v>curl -X POST http://172.20.148.160:8001/upstreams/ups-v510-bes_acc_im001_fft_account_registration/targets -d 'target=172.20.148.134:31201'</v>
      </c>
      <c r="Y25" t="str">
        <f t="shared" si="5"/>
        <v>curl -X POST http://172.20.148.160:8001/upstreams/ups-v510-bes_acc_im001_fft_account_registration/targets -d 'target=172.20.148.135:31201'</v>
      </c>
      <c r="Z25" t="str">
        <f t="shared" si="6"/>
        <v>curl -X POST http://172.20.148.160:8001/upstreams/ups-v510-bes_acc_im001_fft_account_registration/targets -d 'target=172.20.148.136:31201'</v>
      </c>
    </row>
    <row r="26" spans="1:26">
      <c r="A26">
        <f>IF(ISNUMBER(SEARCH("rest_api",svc!R25)),1,0)</f>
        <v>1</v>
      </c>
      <c r="C26" t="str">
        <f>svc!D25</f>
        <v>trust</v>
      </c>
      <c r="D26" t="str">
        <f>svc!$B25</f>
        <v>v810</v>
      </c>
      <c r="E26">
        <f>svc!G25</f>
        <v>31201</v>
      </c>
      <c r="F26" t="str">
        <f>CONCATENATE("ups-",svc!$B25,"-",svc!I25)</f>
        <v>ups-v810-bes_acc_im001_fft_account_registration</v>
      </c>
      <c r="G26" t="str">
        <f>CONCATENATE("svc-",svc!$B25,"-",svc!I25)</f>
        <v>svc-v810-bes_acc_im001_fft_account_registration</v>
      </c>
      <c r="H26" t="str">
        <f>CONCATENATE("route-",VLOOKUP($D26,kong_p2_var!$B$10:$D$16,2,FALSE),"-",svc!$B25,"-",svc!I25)</f>
        <v>route-v804-v810-bes_acc_im001_fft_account_registration</v>
      </c>
      <c r="I26" t="str">
        <f>CONCATENATE(VLOOKUP($D26,kong_p2_var!$B$20:$H$26,SUBSTITUTE(I$1,"target_","") + 1,FALSE),":",$E26)</f>
        <v>172.20.148.195:31201</v>
      </c>
      <c r="J26" t="str">
        <f>CONCATENATE(VLOOKUP($D26,kong_p2_var!$B$20:$H$26,SUBSTITUTE(J$1,"target_","") + 1,FALSE),":",$E26)</f>
        <v>172.20.148.196:31201</v>
      </c>
      <c r="K26" t="str">
        <f>CONCATENATE(VLOOKUP($D26,kong_p2_var!$B$20:$H$26,SUBSTITUTE(K$1,"target_","") + 1,FALSE),":",$E26)</f>
        <v>172.20.148.197:31201</v>
      </c>
      <c r="L26" t="str">
        <f>IF($C26="dmz","",CONCATENATE(VLOOKUP($D26,kong_p2_var!$B$20:$H$26,SUBSTITUTE(L$1,"target_","") + 1,FALSE),":",$E26))</f>
        <v>172.20.148.198:31201</v>
      </c>
      <c r="M26" t="str">
        <f>IF($C26="dmz","",CONCATENATE(VLOOKUP($D26,kong_p2_var!$B$20:$H$26,SUBSTITUTE(M$1,"target_","") + 1,FALSE),":",$E26))</f>
        <v>172.20.148.199:31201</v>
      </c>
      <c r="N26" t="str">
        <f>IF($C26="dmz","",CONCATENATE(VLOOKUP($D26,kong_p2_var!$B$20:$H$26,SUBSTITUTE(N$1,"target_","") + 1,FALSE),":",$E26))</f>
        <v>172.20.148.200:31201</v>
      </c>
      <c r="O26" t="str">
        <f>VLOOKUP($D26,kong_p2_var!$B$10:$D$16,3,FALSE)</f>
        <v>172.20.149.151</v>
      </c>
      <c r="P26" t="str">
        <f>CONCATENATE("/",C26,MID(D26,2,15),"/",svc!$I25)</f>
        <v>/trust810/bes_acc_im001_fft_account_registration</v>
      </c>
      <c r="Q26" t="str">
        <f>VLOOKUP(C26,kong_p2_var!$B$6:$C$7,2,FALSE)</f>
        <v>http://172.20.148.160:8001</v>
      </c>
      <c r="R26" t="str">
        <f>SUBSTITUTE(SUBSTITUTE(kong_p2_var!$J$1,"&lt;upstream_name&gt;",$F26),"&lt;kong_api_url&gt;",$Q26)</f>
        <v>curl -X PUT http://172.20.148.160:8001/upstreams/ups-v810-bes_acc_im001_fft_account_registration</v>
      </c>
      <c r="S26" t="str">
        <f>SUBSTITUTE(SUBSTITUTE(SUBSTITUTE(SUBSTITUTE(kong_p2_var!$J$2,"&lt;kong_api_url&gt;",$Q26),"&lt;upstream_name&gt;",$F26),"&lt;port&gt;",$E26),"&lt;service_name&gt;",$G26)</f>
        <v>curl -X PUT http://172.20.148.160:8001/services/svc-v810-bes_acc_im001_fft_account_registration -H "Content-Type: application/json" -d '{"protocol":"http","host":"ups-v810-bes_acc_im001_fft_account_registration","port":31201}'</v>
      </c>
      <c r="T26" t="str">
        <f>SUBSTITUTE(SUBSTITUTE(SUBSTITUTE(SUBSTITUTE(SUBSTITUTE(kong_p2_var!$J$3,"&lt;kong_api_url&gt;",$Q26),"&lt;route_name&gt;",$H26),"&lt;service_name&gt;",$G26),"&lt;host&gt;",$O26),"&lt;path&gt;",$P26)</f>
        <v>curl -X PUT http://172.20.148.160:8001/services/svc-v810-bes_acc_im001_fft_account_registration/routes/route-v804-v810-bes_acc_im001_fft_account_registration -H "Content-Type: application/json" -d '{"protocols":["http"],"hosts":["172.20.149.151"],"paths":["/trust810/bes_acc_im001_fft_account_registration"]}'</v>
      </c>
      <c r="U26" t="str">
        <f t="shared" si="1"/>
        <v>curl -X POST http://172.20.148.160:8001/upstreams/ups-v810-bes_acc_im001_fft_account_registration/targets -d 'target=172.20.148.195:31201'</v>
      </c>
      <c r="V26" t="str">
        <f t="shared" si="2"/>
        <v>curl -X POST http://172.20.148.160:8001/upstreams/ups-v810-bes_acc_im001_fft_account_registration/targets -d 'target=172.20.148.196:31201'</v>
      </c>
      <c r="W26" t="str">
        <f t="shared" si="3"/>
        <v>curl -X POST http://172.20.148.160:8001/upstreams/ups-v810-bes_acc_im001_fft_account_registration/targets -d 'target=172.20.148.197:31201'</v>
      </c>
      <c r="X26" t="str">
        <f t="shared" si="4"/>
        <v>curl -X POST http://172.20.148.160:8001/upstreams/ups-v810-bes_acc_im001_fft_account_registration/targets -d 'target=172.20.148.198:31201'</v>
      </c>
      <c r="Y26" t="str">
        <f t="shared" si="5"/>
        <v>curl -X POST http://172.20.148.160:8001/upstreams/ups-v810-bes_acc_im001_fft_account_registration/targets -d 'target=172.20.148.199:31201'</v>
      </c>
      <c r="Z26" t="str">
        <f t="shared" si="6"/>
        <v>curl -X POST http://172.20.148.160:8001/upstreams/ups-v810-bes_acc_im001_fft_account_registration/targets -d 'target=172.20.148.200:31201'</v>
      </c>
    </row>
    <row r="27" spans="1:26">
      <c r="A27">
        <f>IF(ISNUMBER(SEARCH("rest_api",svc!R26)),1,0)</f>
        <v>1</v>
      </c>
      <c r="C27" t="str">
        <f>svc!D26</f>
        <v>trust</v>
      </c>
      <c r="D27" t="str">
        <f>svc!$B26</f>
        <v>v510</v>
      </c>
      <c r="E27">
        <f>svc!G26</f>
        <v>31202</v>
      </c>
      <c r="F27" t="str">
        <f>CONCATENATE("ups-",svc!$B26,"-",svc!I26)</f>
        <v>ups-v510-bes_acc_im002_fft_vehicle_management</v>
      </c>
      <c r="G27" t="str">
        <f>CONCATENATE("svc-",svc!$B26,"-",svc!I26)</f>
        <v>svc-v510-bes_acc_im002_fft_vehicle_management</v>
      </c>
      <c r="H27" t="str">
        <f>CONCATENATE("route-",VLOOKUP($D27,kong_p2_var!$B$10:$D$16,2,FALSE),"-",svc!$B26,"-",svc!I26)</f>
        <v>route-v504-v510-bes_acc_im002_fft_vehicle_management</v>
      </c>
      <c r="I27" t="str">
        <f>CONCATENATE(VLOOKUP($D27,kong_p2_var!$B$20:$H$26,SUBSTITUTE(I$1,"target_","") + 1,FALSE),":",$E27)</f>
        <v>172.20.148.131:31202</v>
      </c>
      <c r="J27" t="str">
        <f>CONCATENATE(VLOOKUP($D27,kong_p2_var!$B$20:$H$26,SUBSTITUTE(J$1,"target_","") + 1,FALSE),":",$E27)</f>
        <v>172.20.148.132:31202</v>
      </c>
      <c r="K27" t="str">
        <f>CONCATENATE(VLOOKUP($D27,kong_p2_var!$B$20:$H$26,SUBSTITUTE(K$1,"target_","") + 1,FALSE),":",$E27)</f>
        <v>172.20.148.133:31202</v>
      </c>
      <c r="L27" t="str">
        <f>IF($C27="dmz","",CONCATENATE(VLOOKUP($D27,kong_p2_var!$B$20:$H$26,SUBSTITUTE(L$1,"target_","") + 1,FALSE),":",$E27))</f>
        <v>172.20.148.134:31202</v>
      </c>
      <c r="M27" t="str">
        <f>IF($C27="dmz","",CONCATENATE(VLOOKUP($D27,kong_p2_var!$B$20:$H$26,SUBSTITUTE(M$1,"target_","") + 1,FALSE),":",$E27))</f>
        <v>172.20.148.135:31202</v>
      </c>
      <c r="N27" t="str">
        <f>IF($C27="dmz","",CONCATENATE(VLOOKUP($D27,kong_p2_var!$B$20:$H$26,SUBSTITUTE(N$1,"target_","") + 1,FALSE),":",$E27))</f>
        <v>172.20.148.136:31202</v>
      </c>
      <c r="O27" t="str">
        <f>VLOOKUP($D27,kong_p2_var!$B$10:$D$16,3,FALSE)</f>
        <v>172.20.149.183</v>
      </c>
      <c r="P27" t="str">
        <f>CONCATENATE("/",C27,MID(D27,2,15),"/",svc!$I26)</f>
        <v>/trust510/bes_acc_im002_fft_vehicle_management</v>
      </c>
      <c r="Q27" t="str">
        <f>VLOOKUP(C27,kong_p2_var!$B$6:$C$7,2,FALSE)</f>
        <v>http://172.20.148.160:8001</v>
      </c>
      <c r="R27" t="str">
        <f>SUBSTITUTE(SUBSTITUTE(kong_p2_var!$J$1,"&lt;upstream_name&gt;",$F27),"&lt;kong_api_url&gt;",$Q27)</f>
        <v>curl -X PUT http://172.20.148.160:8001/upstreams/ups-v510-bes_acc_im002_fft_vehicle_management</v>
      </c>
      <c r="S27" t="str">
        <f>SUBSTITUTE(SUBSTITUTE(SUBSTITUTE(SUBSTITUTE(kong_p2_var!$J$2,"&lt;kong_api_url&gt;",$Q27),"&lt;upstream_name&gt;",$F27),"&lt;port&gt;",$E27),"&lt;service_name&gt;",$G27)</f>
        <v>curl -X PUT http://172.20.148.160:8001/services/svc-v510-bes_acc_im002_fft_vehicle_management -H "Content-Type: application/json" -d '{"protocol":"http","host":"ups-v510-bes_acc_im002_fft_vehicle_management","port":31202}'</v>
      </c>
      <c r="T27" t="str">
        <f>SUBSTITUTE(SUBSTITUTE(SUBSTITUTE(SUBSTITUTE(SUBSTITUTE(kong_p2_var!$J$3,"&lt;kong_api_url&gt;",$Q27),"&lt;route_name&gt;",$H27),"&lt;service_name&gt;",$G27),"&lt;host&gt;",$O27),"&lt;path&gt;",$P27)</f>
        <v>curl -X PUT http://172.20.148.160:8001/services/svc-v510-bes_acc_im002_fft_vehicle_management/routes/route-v504-v510-bes_acc_im002_fft_vehicle_management -H "Content-Type: application/json" -d '{"protocols":["http"],"hosts":["172.20.149.183"],"paths":["/trust510/bes_acc_im002_fft_vehicle_management"]}'</v>
      </c>
      <c r="U27" t="str">
        <f t="shared" si="1"/>
        <v>curl -X POST http://172.20.148.160:8001/upstreams/ups-v510-bes_acc_im002_fft_vehicle_management/targets -d 'target=172.20.148.131:31202'</v>
      </c>
      <c r="V27" t="str">
        <f t="shared" si="2"/>
        <v>curl -X POST http://172.20.148.160:8001/upstreams/ups-v510-bes_acc_im002_fft_vehicle_management/targets -d 'target=172.20.148.132:31202'</v>
      </c>
      <c r="W27" t="str">
        <f t="shared" si="3"/>
        <v>curl -X POST http://172.20.148.160:8001/upstreams/ups-v510-bes_acc_im002_fft_vehicle_management/targets -d 'target=172.20.148.133:31202'</v>
      </c>
      <c r="X27" t="str">
        <f t="shared" si="4"/>
        <v>curl -X POST http://172.20.148.160:8001/upstreams/ups-v510-bes_acc_im002_fft_vehicle_management/targets -d 'target=172.20.148.134:31202'</v>
      </c>
      <c r="Y27" t="str">
        <f t="shared" si="5"/>
        <v>curl -X POST http://172.20.148.160:8001/upstreams/ups-v510-bes_acc_im002_fft_vehicle_management/targets -d 'target=172.20.148.135:31202'</v>
      </c>
      <c r="Z27" t="str">
        <f t="shared" si="6"/>
        <v>curl -X POST http://172.20.148.160:8001/upstreams/ups-v510-bes_acc_im002_fft_vehicle_management/targets -d 'target=172.20.148.136:31202'</v>
      </c>
    </row>
    <row r="28" spans="1:26">
      <c r="A28">
        <f>IF(ISNUMBER(SEARCH("rest_api",svc!R27)),1,0)</f>
        <v>1</v>
      </c>
      <c r="C28" t="str">
        <f>svc!D27</f>
        <v>trust</v>
      </c>
      <c r="D28" t="str">
        <f>svc!$B27</f>
        <v>v810</v>
      </c>
      <c r="E28">
        <f>svc!G27</f>
        <v>31202</v>
      </c>
      <c r="F28" t="str">
        <f>CONCATENATE("ups-",svc!$B27,"-",svc!I27)</f>
        <v>ups-v810-bes_acc_im002_fft_vehicle_management</v>
      </c>
      <c r="G28" t="str">
        <f>CONCATENATE("svc-",svc!$B27,"-",svc!I27)</f>
        <v>svc-v810-bes_acc_im002_fft_vehicle_management</v>
      </c>
      <c r="H28" t="str">
        <f>CONCATENATE("route-",VLOOKUP($D28,kong_p2_var!$B$10:$D$16,2,FALSE),"-",svc!$B27,"-",svc!I27)</f>
        <v>route-v804-v810-bes_acc_im002_fft_vehicle_management</v>
      </c>
      <c r="I28" t="str">
        <f>CONCATENATE(VLOOKUP($D28,kong_p2_var!$B$20:$H$26,SUBSTITUTE(I$1,"target_","") + 1,FALSE),":",$E28)</f>
        <v>172.20.148.195:31202</v>
      </c>
      <c r="J28" t="str">
        <f>CONCATENATE(VLOOKUP($D28,kong_p2_var!$B$20:$H$26,SUBSTITUTE(J$1,"target_","") + 1,FALSE),":",$E28)</f>
        <v>172.20.148.196:31202</v>
      </c>
      <c r="K28" t="str">
        <f>CONCATENATE(VLOOKUP($D28,kong_p2_var!$B$20:$H$26,SUBSTITUTE(K$1,"target_","") + 1,FALSE),":",$E28)</f>
        <v>172.20.148.197:31202</v>
      </c>
      <c r="L28" t="str">
        <f>IF($C28="dmz","",CONCATENATE(VLOOKUP($D28,kong_p2_var!$B$20:$H$26,SUBSTITUTE(L$1,"target_","") + 1,FALSE),":",$E28))</f>
        <v>172.20.148.198:31202</v>
      </c>
      <c r="M28" t="str">
        <f>IF($C28="dmz","",CONCATENATE(VLOOKUP($D28,kong_p2_var!$B$20:$H$26,SUBSTITUTE(M$1,"target_","") + 1,FALSE),":",$E28))</f>
        <v>172.20.148.199:31202</v>
      </c>
      <c r="N28" t="str">
        <f>IF($C28="dmz","",CONCATENATE(VLOOKUP($D28,kong_p2_var!$B$20:$H$26,SUBSTITUTE(N$1,"target_","") + 1,FALSE),":",$E28))</f>
        <v>172.20.148.200:31202</v>
      </c>
      <c r="O28" t="str">
        <f>VLOOKUP($D28,kong_p2_var!$B$10:$D$16,3,FALSE)</f>
        <v>172.20.149.151</v>
      </c>
      <c r="P28" t="str">
        <f>CONCATENATE("/",C28,MID(D28,2,15),"/",svc!$I27)</f>
        <v>/trust810/bes_acc_im002_fft_vehicle_management</v>
      </c>
      <c r="Q28" t="str">
        <f>VLOOKUP(C28,kong_p2_var!$B$6:$C$7,2,FALSE)</f>
        <v>http://172.20.148.160:8001</v>
      </c>
      <c r="R28" t="str">
        <f>SUBSTITUTE(SUBSTITUTE(kong_p2_var!$J$1,"&lt;upstream_name&gt;",$F28),"&lt;kong_api_url&gt;",$Q28)</f>
        <v>curl -X PUT http://172.20.148.160:8001/upstreams/ups-v810-bes_acc_im002_fft_vehicle_management</v>
      </c>
      <c r="S28" t="str">
        <f>SUBSTITUTE(SUBSTITUTE(SUBSTITUTE(SUBSTITUTE(kong_p2_var!$J$2,"&lt;kong_api_url&gt;",$Q28),"&lt;upstream_name&gt;",$F28),"&lt;port&gt;",$E28),"&lt;service_name&gt;",$G28)</f>
        <v>curl -X PUT http://172.20.148.160:8001/services/svc-v810-bes_acc_im002_fft_vehicle_management -H "Content-Type: application/json" -d '{"protocol":"http","host":"ups-v810-bes_acc_im002_fft_vehicle_management","port":31202}'</v>
      </c>
      <c r="T28" t="str">
        <f>SUBSTITUTE(SUBSTITUTE(SUBSTITUTE(SUBSTITUTE(SUBSTITUTE(kong_p2_var!$J$3,"&lt;kong_api_url&gt;",$Q28),"&lt;route_name&gt;",$H28),"&lt;service_name&gt;",$G28),"&lt;host&gt;",$O28),"&lt;path&gt;",$P28)</f>
        <v>curl -X PUT http://172.20.148.160:8001/services/svc-v810-bes_acc_im002_fft_vehicle_management/routes/route-v804-v810-bes_acc_im002_fft_vehicle_management -H "Content-Type: application/json" -d '{"protocols":["http"],"hosts":["172.20.149.151"],"paths":["/trust810/bes_acc_im002_fft_vehicle_management"]}'</v>
      </c>
      <c r="U28" t="str">
        <f t="shared" si="1"/>
        <v>curl -X POST http://172.20.148.160:8001/upstreams/ups-v810-bes_acc_im002_fft_vehicle_management/targets -d 'target=172.20.148.195:31202'</v>
      </c>
      <c r="V28" t="str">
        <f t="shared" si="2"/>
        <v>curl -X POST http://172.20.148.160:8001/upstreams/ups-v810-bes_acc_im002_fft_vehicle_management/targets -d 'target=172.20.148.196:31202'</v>
      </c>
      <c r="W28" t="str">
        <f t="shared" si="3"/>
        <v>curl -X POST http://172.20.148.160:8001/upstreams/ups-v810-bes_acc_im002_fft_vehicle_management/targets -d 'target=172.20.148.197:31202'</v>
      </c>
      <c r="X28" t="str">
        <f t="shared" si="4"/>
        <v>curl -X POST http://172.20.148.160:8001/upstreams/ups-v810-bes_acc_im002_fft_vehicle_management/targets -d 'target=172.20.148.198:31202'</v>
      </c>
      <c r="Y28" t="str">
        <f t="shared" si="5"/>
        <v>curl -X POST http://172.20.148.160:8001/upstreams/ups-v810-bes_acc_im002_fft_vehicle_management/targets -d 'target=172.20.148.199:31202'</v>
      </c>
      <c r="Z28" t="str">
        <f t="shared" si="6"/>
        <v>curl -X POST http://172.20.148.160:8001/upstreams/ups-v810-bes_acc_im002_fft_vehicle_management/targets -d 'target=172.20.148.200:31202'</v>
      </c>
    </row>
    <row r="29" spans="1:26">
      <c r="A29">
        <f>IF(ISNUMBER(SEARCH("rest_api",svc!R28)),1,0)</f>
        <v>1</v>
      </c>
      <c r="C29" t="str">
        <f>svc!D28</f>
        <v>trust</v>
      </c>
      <c r="D29" t="str">
        <f>svc!$B28</f>
        <v>v510</v>
      </c>
      <c r="E29">
        <f>svc!G28</f>
        <v>31203</v>
      </c>
      <c r="F29" t="str">
        <f>CONCATENATE("ups-",svc!$B28,"-",svc!I28)</f>
        <v>ups-v510-bes_acc_im003_fft_vehicle_group_management</v>
      </c>
      <c r="G29" t="str">
        <f>CONCATENATE("svc-",svc!$B28,"-",svc!I28)</f>
        <v>svc-v510-bes_acc_im003_fft_vehicle_group_management</v>
      </c>
      <c r="H29" t="str">
        <f>CONCATENATE("route-",VLOOKUP($D29,kong_p2_var!$B$10:$D$16,2,FALSE),"-",svc!$B28,"-",svc!I28)</f>
        <v>route-v504-v510-bes_acc_im003_fft_vehicle_group_management</v>
      </c>
      <c r="I29" t="str">
        <f>CONCATENATE(VLOOKUP($D29,kong_p2_var!$B$20:$H$26,SUBSTITUTE(I$1,"target_","") + 1,FALSE),":",$E29)</f>
        <v>172.20.148.131:31203</v>
      </c>
      <c r="J29" t="str">
        <f>CONCATENATE(VLOOKUP($D29,kong_p2_var!$B$20:$H$26,SUBSTITUTE(J$1,"target_","") + 1,FALSE),":",$E29)</f>
        <v>172.20.148.132:31203</v>
      </c>
      <c r="K29" t="str">
        <f>CONCATENATE(VLOOKUP($D29,kong_p2_var!$B$20:$H$26,SUBSTITUTE(K$1,"target_","") + 1,FALSE),":",$E29)</f>
        <v>172.20.148.133:31203</v>
      </c>
      <c r="L29" t="str">
        <f>IF($C29="dmz","",CONCATENATE(VLOOKUP($D29,kong_p2_var!$B$20:$H$26,SUBSTITUTE(L$1,"target_","") + 1,FALSE),":",$E29))</f>
        <v>172.20.148.134:31203</v>
      </c>
      <c r="M29" t="str">
        <f>IF($C29="dmz","",CONCATENATE(VLOOKUP($D29,kong_p2_var!$B$20:$H$26,SUBSTITUTE(M$1,"target_","") + 1,FALSE),":",$E29))</f>
        <v>172.20.148.135:31203</v>
      </c>
      <c r="N29" t="str">
        <f>IF($C29="dmz","",CONCATENATE(VLOOKUP($D29,kong_p2_var!$B$20:$H$26,SUBSTITUTE(N$1,"target_","") + 1,FALSE),":",$E29))</f>
        <v>172.20.148.136:31203</v>
      </c>
      <c r="O29" t="str">
        <f>VLOOKUP($D29,kong_p2_var!$B$10:$D$16,3,FALSE)</f>
        <v>172.20.149.183</v>
      </c>
      <c r="P29" t="str">
        <f>CONCATENATE("/",C29,MID(D29,2,15),"/",svc!$I28)</f>
        <v>/trust510/bes_acc_im003_fft_vehicle_group_management</v>
      </c>
      <c r="Q29" t="str">
        <f>VLOOKUP(C29,kong_p2_var!$B$6:$C$7,2,FALSE)</f>
        <v>http://172.20.148.160:8001</v>
      </c>
      <c r="R29" t="str">
        <f>SUBSTITUTE(SUBSTITUTE(kong_p2_var!$J$1,"&lt;upstream_name&gt;",$F29),"&lt;kong_api_url&gt;",$Q29)</f>
        <v>curl -X PUT http://172.20.148.160:8001/upstreams/ups-v510-bes_acc_im003_fft_vehicle_group_management</v>
      </c>
      <c r="S29" t="str">
        <f>SUBSTITUTE(SUBSTITUTE(SUBSTITUTE(SUBSTITUTE(kong_p2_var!$J$2,"&lt;kong_api_url&gt;",$Q29),"&lt;upstream_name&gt;",$F29),"&lt;port&gt;",$E29),"&lt;service_name&gt;",$G29)</f>
        <v>curl -X PUT http://172.20.148.160:8001/services/svc-v510-bes_acc_im003_fft_vehicle_group_management -H "Content-Type: application/json" -d '{"protocol":"http","host":"ups-v510-bes_acc_im003_fft_vehicle_group_management","port":31203}'</v>
      </c>
      <c r="T29" t="str">
        <f>SUBSTITUTE(SUBSTITUTE(SUBSTITUTE(SUBSTITUTE(SUBSTITUTE(kong_p2_var!$J$3,"&lt;kong_api_url&gt;",$Q29),"&lt;route_name&gt;",$H29),"&lt;service_name&gt;",$G29),"&lt;host&gt;",$O29),"&lt;path&gt;",$P29)</f>
        <v>curl -X PUT http://172.20.148.160:8001/services/svc-v510-bes_acc_im003_fft_vehicle_group_management/routes/route-v504-v510-bes_acc_im003_fft_vehicle_group_management -H "Content-Type: application/json" -d '{"protocols":["http"],"hosts":["172.20.149.183"],"paths":["/trust510/bes_acc_im003_fft_vehicle_group_management"]}'</v>
      </c>
      <c r="U29" t="str">
        <f t="shared" si="1"/>
        <v>curl -X POST http://172.20.148.160:8001/upstreams/ups-v510-bes_acc_im003_fft_vehicle_group_management/targets -d 'target=172.20.148.131:31203'</v>
      </c>
      <c r="V29" t="str">
        <f t="shared" si="2"/>
        <v>curl -X POST http://172.20.148.160:8001/upstreams/ups-v510-bes_acc_im003_fft_vehicle_group_management/targets -d 'target=172.20.148.132:31203'</v>
      </c>
      <c r="W29" t="str">
        <f t="shared" si="3"/>
        <v>curl -X POST http://172.20.148.160:8001/upstreams/ups-v510-bes_acc_im003_fft_vehicle_group_management/targets -d 'target=172.20.148.133:31203'</v>
      </c>
      <c r="X29" t="str">
        <f t="shared" si="4"/>
        <v>curl -X POST http://172.20.148.160:8001/upstreams/ups-v510-bes_acc_im003_fft_vehicle_group_management/targets -d 'target=172.20.148.134:31203'</v>
      </c>
      <c r="Y29" t="str">
        <f t="shared" si="5"/>
        <v>curl -X POST http://172.20.148.160:8001/upstreams/ups-v510-bes_acc_im003_fft_vehicle_group_management/targets -d 'target=172.20.148.135:31203'</v>
      </c>
      <c r="Z29" t="str">
        <f t="shared" si="6"/>
        <v>curl -X POST http://172.20.148.160:8001/upstreams/ups-v510-bes_acc_im003_fft_vehicle_group_management/targets -d 'target=172.20.148.136:31203'</v>
      </c>
    </row>
    <row r="30" spans="1:26">
      <c r="A30">
        <f>IF(ISNUMBER(SEARCH("rest_api",svc!R29)),1,0)</f>
        <v>1</v>
      </c>
      <c r="C30" t="str">
        <f>svc!D29</f>
        <v>trust</v>
      </c>
      <c r="D30" t="str">
        <f>svc!$B29</f>
        <v>v810</v>
      </c>
      <c r="E30">
        <f>svc!G29</f>
        <v>31203</v>
      </c>
      <c r="F30" t="str">
        <f>CONCATENATE("ups-",svc!$B29,"-",svc!I29)</f>
        <v>ups-v810-bes_acc_im003_fft_vehicle_group_management</v>
      </c>
      <c r="G30" t="str">
        <f>CONCATENATE("svc-",svc!$B29,"-",svc!I29)</f>
        <v>svc-v810-bes_acc_im003_fft_vehicle_group_management</v>
      </c>
      <c r="H30" t="str">
        <f>CONCATENATE("route-",VLOOKUP($D30,kong_p2_var!$B$10:$D$16,2,FALSE),"-",svc!$B29,"-",svc!I29)</f>
        <v>route-v804-v810-bes_acc_im003_fft_vehicle_group_management</v>
      </c>
      <c r="I30" t="str">
        <f>CONCATENATE(VLOOKUP($D30,kong_p2_var!$B$20:$H$26,SUBSTITUTE(I$1,"target_","") + 1,FALSE),":",$E30)</f>
        <v>172.20.148.195:31203</v>
      </c>
      <c r="J30" t="str">
        <f>CONCATENATE(VLOOKUP($D30,kong_p2_var!$B$20:$H$26,SUBSTITUTE(J$1,"target_","") + 1,FALSE),":",$E30)</f>
        <v>172.20.148.196:31203</v>
      </c>
      <c r="K30" t="str">
        <f>CONCATENATE(VLOOKUP($D30,kong_p2_var!$B$20:$H$26,SUBSTITUTE(K$1,"target_","") + 1,FALSE),":",$E30)</f>
        <v>172.20.148.197:31203</v>
      </c>
      <c r="L30" t="str">
        <f>IF($C30="dmz","",CONCATENATE(VLOOKUP($D30,kong_p2_var!$B$20:$H$26,SUBSTITUTE(L$1,"target_","") + 1,FALSE),":",$E30))</f>
        <v>172.20.148.198:31203</v>
      </c>
      <c r="M30" t="str">
        <f>IF($C30="dmz","",CONCATENATE(VLOOKUP($D30,kong_p2_var!$B$20:$H$26,SUBSTITUTE(M$1,"target_","") + 1,FALSE),":",$E30))</f>
        <v>172.20.148.199:31203</v>
      </c>
      <c r="N30" t="str">
        <f>IF($C30="dmz","",CONCATENATE(VLOOKUP($D30,kong_p2_var!$B$20:$H$26,SUBSTITUTE(N$1,"target_","") + 1,FALSE),":",$E30))</f>
        <v>172.20.148.200:31203</v>
      </c>
      <c r="O30" t="str">
        <f>VLOOKUP($D30,kong_p2_var!$B$10:$D$16,3,FALSE)</f>
        <v>172.20.149.151</v>
      </c>
      <c r="P30" t="str">
        <f>CONCATENATE("/",C30,MID(D30,2,15),"/",svc!$I29)</f>
        <v>/trust810/bes_acc_im003_fft_vehicle_group_management</v>
      </c>
      <c r="Q30" t="str">
        <f>VLOOKUP(C30,kong_p2_var!$B$6:$C$7,2,FALSE)</f>
        <v>http://172.20.148.160:8001</v>
      </c>
      <c r="R30" t="str">
        <f>SUBSTITUTE(SUBSTITUTE(kong_p2_var!$J$1,"&lt;upstream_name&gt;",$F30),"&lt;kong_api_url&gt;",$Q30)</f>
        <v>curl -X PUT http://172.20.148.160:8001/upstreams/ups-v810-bes_acc_im003_fft_vehicle_group_management</v>
      </c>
      <c r="S30" t="str">
        <f>SUBSTITUTE(SUBSTITUTE(SUBSTITUTE(SUBSTITUTE(kong_p2_var!$J$2,"&lt;kong_api_url&gt;",$Q30),"&lt;upstream_name&gt;",$F30),"&lt;port&gt;",$E30),"&lt;service_name&gt;",$G30)</f>
        <v>curl -X PUT http://172.20.148.160:8001/services/svc-v810-bes_acc_im003_fft_vehicle_group_management -H "Content-Type: application/json" -d '{"protocol":"http","host":"ups-v810-bes_acc_im003_fft_vehicle_group_management","port":31203}'</v>
      </c>
      <c r="T30" t="str">
        <f>SUBSTITUTE(SUBSTITUTE(SUBSTITUTE(SUBSTITUTE(SUBSTITUTE(kong_p2_var!$J$3,"&lt;kong_api_url&gt;",$Q30),"&lt;route_name&gt;",$H30),"&lt;service_name&gt;",$G30),"&lt;host&gt;",$O30),"&lt;path&gt;",$P30)</f>
        <v>curl -X PUT http://172.20.148.160:8001/services/svc-v810-bes_acc_im003_fft_vehicle_group_management/routes/route-v804-v810-bes_acc_im003_fft_vehicle_group_management -H "Content-Type: application/json" -d '{"protocols":["http"],"hosts":["172.20.149.151"],"paths":["/trust810/bes_acc_im003_fft_vehicle_group_management"]}'</v>
      </c>
      <c r="U30" t="str">
        <f t="shared" si="1"/>
        <v>curl -X POST http://172.20.148.160:8001/upstreams/ups-v810-bes_acc_im003_fft_vehicle_group_management/targets -d 'target=172.20.148.195:31203'</v>
      </c>
      <c r="V30" t="str">
        <f t="shared" si="2"/>
        <v>curl -X POST http://172.20.148.160:8001/upstreams/ups-v810-bes_acc_im003_fft_vehicle_group_management/targets -d 'target=172.20.148.196:31203'</v>
      </c>
      <c r="W30" t="str">
        <f t="shared" si="3"/>
        <v>curl -X POST http://172.20.148.160:8001/upstreams/ups-v810-bes_acc_im003_fft_vehicle_group_management/targets -d 'target=172.20.148.197:31203'</v>
      </c>
      <c r="X30" t="str">
        <f t="shared" si="4"/>
        <v>curl -X POST http://172.20.148.160:8001/upstreams/ups-v810-bes_acc_im003_fft_vehicle_group_management/targets -d 'target=172.20.148.198:31203'</v>
      </c>
      <c r="Y30" t="str">
        <f t="shared" si="5"/>
        <v>curl -X POST http://172.20.148.160:8001/upstreams/ups-v810-bes_acc_im003_fft_vehicle_group_management/targets -d 'target=172.20.148.199:31203'</v>
      </c>
      <c r="Z30" t="str">
        <f t="shared" si="6"/>
        <v>curl -X POST http://172.20.148.160:8001/upstreams/ups-v810-bes_acc_im003_fft_vehicle_group_management/targets -d 'target=172.20.148.200:31203'</v>
      </c>
    </row>
    <row r="31" spans="1:26">
      <c r="A31">
        <f>IF(ISNUMBER(SEARCH("rest_api",svc!R30)),1,0)</f>
        <v>1</v>
      </c>
      <c r="C31" t="str">
        <f>svc!D30</f>
        <v>trust</v>
      </c>
      <c r="D31" t="str">
        <f>svc!$B30</f>
        <v>v510</v>
      </c>
      <c r="E31">
        <f>svc!G30</f>
        <v>31204</v>
      </c>
      <c r="F31" t="str">
        <f>CONCATENATE("ups-",svc!$B30,"-",svc!I30)</f>
        <v>ups-v510-bes_acc_im004_fft_account_search</v>
      </c>
      <c r="G31" t="str">
        <f>CONCATENATE("svc-",svc!$B30,"-",svc!I30)</f>
        <v>svc-v510-bes_acc_im004_fft_account_search</v>
      </c>
      <c r="H31" t="str">
        <f>CONCATENATE("route-",VLOOKUP($D31,kong_p2_var!$B$10:$D$16,2,FALSE),"-",svc!$B30,"-",svc!I30)</f>
        <v>route-v504-v510-bes_acc_im004_fft_account_search</v>
      </c>
      <c r="I31" t="str">
        <f>CONCATENATE(VLOOKUP($D31,kong_p2_var!$B$20:$H$26,SUBSTITUTE(I$1,"target_","") + 1,FALSE),":",$E31)</f>
        <v>172.20.148.131:31204</v>
      </c>
      <c r="J31" t="str">
        <f>CONCATENATE(VLOOKUP($D31,kong_p2_var!$B$20:$H$26,SUBSTITUTE(J$1,"target_","") + 1,FALSE),":",$E31)</f>
        <v>172.20.148.132:31204</v>
      </c>
      <c r="K31" t="str">
        <f>CONCATENATE(VLOOKUP($D31,kong_p2_var!$B$20:$H$26,SUBSTITUTE(K$1,"target_","") + 1,FALSE),":",$E31)</f>
        <v>172.20.148.133:31204</v>
      </c>
      <c r="L31" t="str">
        <f>IF($C31="dmz","",CONCATENATE(VLOOKUP($D31,kong_p2_var!$B$20:$H$26,SUBSTITUTE(L$1,"target_","") + 1,FALSE),":",$E31))</f>
        <v>172.20.148.134:31204</v>
      </c>
      <c r="M31" t="str">
        <f>IF($C31="dmz","",CONCATENATE(VLOOKUP($D31,kong_p2_var!$B$20:$H$26,SUBSTITUTE(M$1,"target_","") + 1,FALSE),":",$E31))</f>
        <v>172.20.148.135:31204</v>
      </c>
      <c r="N31" t="str">
        <f>IF($C31="dmz","",CONCATENATE(VLOOKUP($D31,kong_p2_var!$B$20:$H$26,SUBSTITUTE(N$1,"target_","") + 1,FALSE),":",$E31))</f>
        <v>172.20.148.136:31204</v>
      </c>
      <c r="O31" t="str">
        <f>VLOOKUP($D31,kong_p2_var!$B$10:$D$16,3,FALSE)</f>
        <v>172.20.149.183</v>
      </c>
      <c r="P31" t="str">
        <f>CONCATENATE("/",C31,MID(D31,2,15),"/",svc!$I30)</f>
        <v>/trust510/bes_acc_im004_fft_account_search</v>
      </c>
      <c r="Q31" t="str">
        <f>VLOOKUP(C31,kong_p2_var!$B$6:$C$7,2,FALSE)</f>
        <v>http://172.20.148.160:8001</v>
      </c>
      <c r="R31" t="str">
        <f>SUBSTITUTE(SUBSTITUTE(kong_p2_var!$J$1,"&lt;upstream_name&gt;",$F31),"&lt;kong_api_url&gt;",$Q31)</f>
        <v>curl -X PUT http://172.20.148.160:8001/upstreams/ups-v510-bes_acc_im004_fft_account_search</v>
      </c>
      <c r="S31" t="str">
        <f>SUBSTITUTE(SUBSTITUTE(SUBSTITUTE(SUBSTITUTE(kong_p2_var!$J$2,"&lt;kong_api_url&gt;",$Q31),"&lt;upstream_name&gt;",$F31),"&lt;port&gt;",$E31),"&lt;service_name&gt;",$G31)</f>
        <v>curl -X PUT http://172.20.148.160:8001/services/svc-v510-bes_acc_im004_fft_account_search -H "Content-Type: application/json" -d '{"protocol":"http","host":"ups-v510-bes_acc_im004_fft_account_search","port":31204}'</v>
      </c>
      <c r="T31" t="str">
        <f>SUBSTITUTE(SUBSTITUTE(SUBSTITUTE(SUBSTITUTE(SUBSTITUTE(kong_p2_var!$J$3,"&lt;kong_api_url&gt;",$Q31),"&lt;route_name&gt;",$H31),"&lt;service_name&gt;",$G31),"&lt;host&gt;",$O31),"&lt;path&gt;",$P31)</f>
        <v>curl -X PUT http://172.20.148.160:8001/services/svc-v510-bes_acc_im004_fft_account_search/routes/route-v504-v510-bes_acc_im004_fft_account_search -H "Content-Type: application/json" -d '{"protocols":["http"],"hosts":["172.20.149.183"],"paths":["/trust510/bes_acc_im004_fft_account_search"]}'</v>
      </c>
      <c r="U31" t="str">
        <f t="shared" si="1"/>
        <v>curl -X POST http://172.20.148.160:8001/upstreams/ups-v510-bes_acc_im004_fft_account_search/targets -d 'target=172.20.148.131:31204'</v>
      </c>
      <c r="V31" t="str">
        <f t="shared" si="2"/>
        <v>curl -X POST http://172.20.148.160:8001/upstreams/ups-v510-bes_acc_im004_fft_account_search/targets -d 'target=172.20.148.132:31204'</v>
      </c>
      <c r="W31" t="str">
        <f t="shared" si="3"/>
        <v>curl -X POST http://172.20.148.160:8001/upstreams/ups-v510-bes_acc_im004_fft_account_search/targets -d 'target=172.20.148.133:31204'</v>
      </c>
      <c r="X31" t="str">
        <f t="shared" si="4"/>
        <v>curl -X POST http://172.20.148.160:8001/upstreams/ups-v510-bes_acc_im004_fft_account_search/targets -d 'target=172.20.148.134:31204'</v>
      </c>
      <c r="Y31" t="str">
        <f t="shared" si="5"/>
        <v>curl -X POST http://172.20.148.160:8001/upstreams/ups-v510-bes_acc_im004_fft_account_search/targets -d 'target=172.20.148.135:31204'</v>
      </c>
      <c r="Z31" t="str">
        <f t="shared" si="6"/>
        <v>curl -X POST http://172.20.148.160:8001/upstreams/ups-v510-bes_acc_im004_fft_account_search/targets -d 'target=172.20.148.136:31204'</v>
      </c>
    </row>
    <row r="32" spans="1:26">
      <c r="A32">
        <f>IF(ISNUMBER(SEARCH("rest_api",svc!R31)),1,0)</f>
        <v>1</v>
      </c>
      <c r="C32" t="str">
        <f>svc!D31</f>
        <v>trust</v>
      </c>
      <c r="D32" t="str">
        <f>svc!$B31</f>
        <v>v810</v>
      </c>
      <c r="E32">
        <f>svc!G31</f>
        <v>31204</v>
      </c>
      <c r="F32" t="str">
        <f>CONCATENATE("ups-",svc!$B31,"-",svc!I31)</f>
        <v>ups-v810-bes_acc_im004_fft_account_search</v>
      </c>
      <c r="G32" t="str">
        <f>CONCATENATE("svc-",svc!$B31,"-",svc!I31)</f>
        <v>svc-v810-bes_acc_im004_fft_account_search</v>
      </c>
      <c r="H32" t="str">
        <f>CONCATENATE("route-",VLOOKUP($D32,kong_p2_var!$B$10:$D$16,2,FALSE),"-",svc!$B31,"-",svc!I31)</f>
        <v>route-v804-v810-bes_acc_im004_fft_account_search</v>
      </c>
      <c r="I32" t="str">
        <f>CONCATENATE(VLOOKUP($D32,kong_p2_var!$B$20:$H$26,SUBSTITUTE(I$1,"target_","") + 1,FALSE),":",$E32)</f>
        <v>172.20.148.195:31204</v>
      </c>
      <c r="J32" t="str">
        <f>CONCATENATE(VLOOKUP($D32,kong_p2_var!$B$20:$H$26,SUBSTITUTE(J$1,"target_","") + 1,FALSE),":",$E32)</f>
        <v>172.20.148.196:31204</v>
      </c>
      <c r="K32" t="str">
        <f>CONCATENATE(VLOOKUP($D32,kong_p2_var!$B$20:$H$26,SUBSTITUTE(K$1,"target_","") + 1,FALSE),":",$E32)</f>
        <v>172.20.148.197:31204</v>
      </c>
      <c r="L32" t="str">
        <f>IF($C32="dmz","",CONCATENATE(VLOOKUP($D32,kong_p2_var!$B$20:$H$26,SUBSTITUTE(L$1,"target_","") + 1,FALSE),":",$E32))</f>
        <v>172.20.148.198:31204</v>
      </c>
      <c r="M32" t="str">
        <f>IF($C32="dmz","",CONCATENATE(VLOOKUP($D32,kong_p2_var!$B$20:$H$26,SUBSTITUTE(M$1,"target_","") + 1,FALSE),":",$E32))</f>
        <v>172.20.148.199:31204</v>
      </c>
      <c r="N32" t="str">
        <f>IF($C32="dmz","",CONCATENATE(VLOOKUP($D32,kong_p2_var!$B$20:$H$26,SUBSTITUTE(N$1,"target_","") + 1,FALSE),":",$E32))</f>
        <v>172.20.148.200:31204</v>
      </c>
      <c r="O32" t="str">
        <f>VLOOKUP($D32,kong_p2_var!$B$10:$D$16,3,FALSE)</f>
        <v>172.20.149.151</v>
      </c>
      <c r="P32" t="str">
        <f>CONCATENATE("/",C32,MID(D32,2,15),"/",svc!$I31)</f>
        <v>/trust810/bes_acc_im004_fft_account_search</v>
      </c>
      <c r="Q32" t="str">
        <f>VLOOKUP(C32,kong_p2_var!$B$6:$C$7,2,FALSE)</f>
        <v>http://172.20.148.160:8001</v>
      </c>
      <c r="R32" t="str">
        <f>SUBSTITUTE(SUBSTITUTE(kong_p2_var!$J$1,"&lt;upstream_name&gt;",$F32),"&lt;kong_api_url&gt;",$Q32)</f>
        <v>curl -X PUT http://172.20.148.160:8001/upstreams/ups-v810-bes_acc_im004_fft_account_search</v>
      </c>
      <c r="S32" t="str">
        <f>SUBSTITUTE(SUBSTITUTE(SUBSTITUTE(SUBSTITUTE(kong_p2_var!$J$2,"&lt;kong_api_url&gt;",$Q32),"&lt;upstream_name&gt;",$F32),"&lt;port&gt;",$E32),"&lt;service_name&gt;",$G32)</f>
        <v>curl -X PUT http://172.20.148.160:8001/services/svc-v810-bes_acc_im004_fft_account_search -H "Content-Type: application/json" -d '{"protocol":"http","host":"ups-v810-bes_acc_im004_fft_account_search","port":31204}'</v>
      </c>
      <c r="T32" t="str">
        <f>SUBSTITUTE(SUBSTITUTE(SUBSTITUTE(SUBSTITUTE(SUBSTITUTE(kong_p2_var!$J$3,"&lt;kong_api_url&gt;",$Q32),"&lt;route_name&gt;",$H32),"&lt;service_name&gt;",$G32),"&lt;host&gt;",$O32),"&lt;path&gt;",$P32)</f>
        <v>curl -X PUT http://172.20.148.160:8001/services/svc-v810-bes_acc_im004_fft_account_search/routes/route-v804-v810-bes_acc_im004_fft_account_search -H "Content-Type: application/json" -d '{"protocols":["http"],"hosts":["172.20.149.151"],"paths":["/trust810/bes_acc_im004_fft_account_search"]}'</v>
      </c>
      <c r="U32" t="str">
        <f t="shared" si="1"/>
        <v>curl -X POST http://172.20.148.160:8001/upstreams/ups-v810-bes_acc_im004_fft_account_search/targets -d 'target=172.20.148.195:31204'</v>
      </c>
      <c r="V32" t="str">
        <f t="shared" si="2"/>
        <v>curl -X POST http://172.20.148.160:8001/upstreams/ups-v810-bes_acc_im004_fft_account_search/targets -d 'target=172.20.148.196:31204'</v>
      </c>
      <c r="W32" t="str">
        <f t="shared" si="3"/>
        <v>curl -X POST http://172.20.148.160:8001/upstreams/ups-v810-bes_acc_im004_fft_account_search/targets -d 'target=172.20.148.197:31204'</v>
      </c>
      <c r="X32" t="str">
        <f t="shared" si="4"/>
        <v>curl -X POST http://172.20.148.160:8001/upstreams/ups-v810-bes_acc_im004_fft_account_search/targets -d 'target=172.20.148.198:31204'</v>
      </c>
      <c r="Y32" t="str">
        <f t="shared" si="5"/>
        <v>curl -X POST http://172.20.148.160:8001/upstreams/ups-v810-bes_acc_im004_fft_account_search/targets -d 'target=172.20.148.199:31204'</v>
      </c>
      <c r="Z32" t="str">
        <f t="shared" si="6"/>
        <v>curl -X POST http://172.20.148.160:8001/upstreams/ups-v810-bes_acc_im004_fft_account_search/targets -d 'target=172.20.148.200:31204'</v>
      </c>
    </row>
    <row r="33" spans="1:26">
      <c r="A33">
        <f>IF(ISNUMBER(SEARCH("rest_api",svc!R32)),1,0)</f>
        <v>1</v>
      </c>
      <c r="C33" t="str">
        <f>svc!D32</f>
        <v>trust</v>
      </c>
      <c r="D33" t="str">
        <f>svc!$B32</f>
        <v>v510</v>
      </c>
      <c r="E33">
        <f>svc!G32</f>
        <v>31205</v>
      </c>
      <c r="F33" t="str">
        <f>CONCATENATE("ups-",svc!$B32,"-",svc!I32)</f>
        <v>ups-v510-bes_acc_im005_fft_driver_approval</v>
      </c>
      <c r="G33" t="str">
        <f>CONCATENATE("svc-",svc!$B32,"-",svc!I32)</f>
        <v>svc-v510-bes_acc_im005_fft_driver_approval</v>
      </c>
      <c r="H33" t="str">
        <f>CONCATENATE("route-",VLOOKUP($D33,kong_p2_var!$B$10:$D$16,2,FALSE),"-",svc!$B32,"-",svc!I32)</f>
        <v>route-v504-v510-bes_acc_im005_fft_driver_approval</v>
      </c>
      <c r="I33" t="str">
        <f>CONCATENATE(VLOOKUP($D33,kong_p2_var!$B$20:$H$26,SUBSTITUTE(I$1,"target_","") + 1,FALSE),":",$E33)</f>
        <v>172.20.148.131:31205</v>
      </c>
      <c r="J33" t="str">
        <f>CONCATENATE(VLOOKUP($D33,kong_p2_var!$B$20:$H$26,SUBSTITUTE(J$1,"target_","") + 1,FALSE),":",$E33)</f>
        <v>172.20.148.132:31205</v>
      </c>
      <c r="K33" t="str">
        <f>CONCATENATE(VLOOKUP($D33,kong_p2_var!$B$20:$H$26,SUBSTITUTE(K$1,"target_","") + 1,FALSE),":",$E33)</f>
        <v>172.20.148.133:31205</v>
      </c>
      <c r="L33" t="str">
        <f>IF($C33="dmz","",CONCATENATE(VLOOKUP($D33,kong_p2_var!$B$20:$H$26,SUBSTITUTE(L$1,"target_","") + 1,FALSE),":",$E33))</f>
        <v>172.20.148.134:31205</v>
      </c>
      <c r="M33" t="str">
        <f>IF($C33="dmz","",CONCATENATE(VLOOKUP($D33,kong_p2_var!$B$20:$H$26,SUBSTITUTE(M$1,"target_","") + 1,FALSE),":",$E33))</f>
        <v>172.20.148.135:31205</v>
      </c>
      <c r="N33" t="str">
        <f>IF($C33="dmz","",CONCATENATE(VLOOKUP($D33,kong_p2_var!$B$20:$H$26,SUBSTITUTE(N$1,"target_","") + 1,FALSE),":",$E33))</f>
        <v>172.20.148.136:31205</v>
      </c>
      <c r="O33" t="str">
        <f>VLOOKUP($D33,kong_p2_var!$B$10:$D$16,3,FALSE)</f>
        <v>172.20.149.183</v>
      </c>
      <c r="P33" t="str">
        <f>CONCATENATE("/",C33,MID(D33,2,15),"/",svc!$I32)</f>
        <v>/trust510/bes_acc_im005_fft_driver_approval</v>
      </c>
      <c r="Q33" t="str">
        <f>VLOOKUP(C33,kong_p2_var!$B$6:$C$7,2,FALSE)</f>
        <v>http://172.20.148.160:8001</v>
      </c>
      <c r="R33" t="str">
        <f>SUBSTITUTE(SUBSTITUTE(kong_p2_var!$J$1,"&lt;upstream_name&gt;",$F33),"&lt;kong_api_url&gt;",$Q33)</f>
        <v>curl -X PUT http://172.20.148.160:8001/upstreams/ups-v510-bes_acc_im005_fft_driver_approval</v>
      </c>
      <c r="S33" t="str">
        <f>SUBSTITUTE(SUBSTITUTE(SUBSTITUTE(SUBSTITUTE(kong_p2_var!$J$2,"&lt;kong_api_url&gt;",$Q33),"&lt;upstream_name&gt;",$F33),"&lt;port&gt;",$E33),"&lt;service_name&gt;",$G33)</f>
        <v>curl -X PUT http://172.20.148.160:8001/services/svc-v510-bes_acc_im005_fft_driver_approval -H "Content-Type: application/json" -d '{"protocol":"http","host":"ups-v510-bes_acc_im005_fft_driver_approval","port":31205}'</v>
      </c>
      <c r="T33" t="str">
        <f>SUBSTITUTE(SUBSTITUTE(SUBSTITUTE(SUBSTITUTE(SUBSTITUTE(kong_p2_var!$J$3,"&lt;kong_api_url&gt;",$Q33),"&lt;route_name&gt;",$H33),"&lt;service_name&gt;",$G33),"&lt;host&gt;",$O33),"&lt;path&gt;",$P33)</f>
        <v>curl -X PUT http://172.20.148.160:8001/services/svc-v510-bes_acc_im005_fft_driver_approval/routes/route-v504-v510-bes_acc_im005_fft_driver_approval -H "Content-Type: application/json" -d '{"protocols":["http"],"hosts":["172.20.149.183"],"paths":["/trust510/bes_acc_im005_fft_driver_approval"]}'</v>
      </c>
      <c r="U33" t="str">
        <f t="shared" si="1"/>
        <v>curl -X POST http://172.20.148.160:8001/upstreams/ups-v510-bes_acc_im005_fft_driver_approval/targets -d 'target=172.20.148.131:31205'</v>
      </c>
      <c r="V33" t="str">
        <f t="shared" si="2"/>
        <v>curl -X POST http://172.20.148.160:8001/upstreams/ups-v510-bes_acc_im005_fft_driver_approval/targets -d 'target=172.20.148.132:31205'</v>
      </c>
      <c r="W33" t="str">
        <f t="shared" si="3"/>
        <v>curl -X POST http://172.20.148.160:8001/upstreams/ups-v510-bes_acc_im005_fft_driver_approval/targets -d 'target=172.20.148.133:31205'</v>
      </c>
      <c r="X33" t="str">
        <f t="shared" si="4"/>
        <v>curl -X POST http://172.20.148.160:8001/upstreams/ups-v510-bes_acc_im005_fft_driver_approval/targets -d 'target=172.20.148.134:31205'</v>
      </c>
      <c r="Y33" t="str">
        <f t="shared" si="5"/>
        <v>curl -X POST http://172.20.148.160:8001/upstreams/ups-v510-bes_acc_im005_fft_driver_approval/targets -d 'target=172.20.148.135:31205'</v>
      </c>
      <c r="Z33" t="str">
        <f t="shared" si="6"/>
        <v>curl -X POST http://172.20.148.160:8001/upstreams/ups-v510-bes_acc_im005_fft_driver_approval/targets -d 'target=172.20.148.136:31205'</v>
      </c>
    </row>
    <row r="34" spans="1:26">
      <c r="A34">
        <f>IF(ISNUMBER(SEARCH("rest_api",svc!R33)),1,0)</f>
        <v>1</v>
      </c>
      <c r="C34" t="str">
        <f>svc!D33</f>
        <v>trust</v>
      </c>
      <c r="D34" t="str">
        <f>svc!$B33</f>
        <v>v810</v>
      </c>
      <c r="E34">
        <f>svc!G33</f>
        <v>31205</v>
      </c>
      <c r="F34" t="str">
        <f>CONCATENATE("ups-",svc!$B33,"-",svc!I33)</f>
        <v>ups-v810-bes_acc_im005_fft_driver_approval</v>
      </c>
      <c r="G34" t="str">
        <f>CONCATENATE("svc-",svc!$B33,"-",svc!I33)</f>
        <v>svc-v810-bes_acc_im005_fft_driver_approval</v>
      </c>
      <c r="H34" t="str">
        <f>CONCATENATE("route-",VLOOKUP($D34,kong_p2_var!$B$10:$D$16,2,FALSE),"-",svc!$B33,"-",svc!I33)</f>
        <v>route-v804-v810-bes_acc_im005_fft_driver_approval</v>
      </c>
      <c r="I34" t="str">
        <f>CONCATENATE(VLOOKUP($D34,kong_p2_var!$B$20:$H$26,SUBSTITUTE(I$1,"target_","") + 1,FALSE),":",$E34)</f>
        <v>172.20.148.195:31205</v>
      </c>
      <c r="J34" t="str">
        <f>CONCATENATE(VLOOKUP($D34,kong_p2_var!$B$20:$H$26,SUBSTITUTE(J$1,"target_","") + 1,FALSE),":",$E34)</f>
        <v>172.20.148.196:31205</v>
      </c>
      <c r="K34" t="str">
        <f>CONCATENATE(VLOOKUP($D34,kong_p2_var!$B$20:$H$26,SUBSTITUTE(K$1,"target_","") + 1,FALSE),":",$E34)</f>
        <v>172.20.148.197:31205</v>
      </c>
      <c r="L34" t="str">
        <f>IF($C34="dmz","",CONCATENATE(VLOOKUP($D34,kong_p2_var!$B$20:$H$26,SUBSTITUTE(L$1,"target_","") + 1,FALSE),":",$E34))</f>
        <v>172.20.148.198:31205</v>
      </c>
      <c r="M34" t="str">
        <f>IF($C34="dmz","",CONCATENATE(VLOOKUP($D34,kong_p2_var!$B$20:$H$26,SUBSTITUTE(M$1,"target_","") + 1,FALSE),":",$E34))</f>
        <v>172.20.148.199:31205</v>
      </c>
      <c r="N34" t="str">
        <f>IF($C34="dmz","",CONCATENATE(VLOOKUP($D34,kong_p2_var!$B$20:$H$26,SUBSTITUTE(N$1,"target_","") + 1,FALSE),":",$E34))</f>
        <v>172.20.148.200:31205</v>
      </c>
      <c r="O34" t="str">
        <f>VLOOKUP($D34,kong_p2_var!$B$10:$D$16,3,FALSE)</f>
        <v>172.20.149.151</v>
      </c>
      <c r="P34" t="str">
        <f>CONCATENATE("/",C34,MID(D34,2,15),"/",svc!$I33)</f>
        <v>/trust810/bes_acc_im005_fft_driver_approval</v>
      </c>
      <c r="Q34" t="str">
        <f>VLOOKUP(C34,kong_p2_var!$B$6:$C$7,2,FALSE)</f>
        <v>http://172.20.148.160:8001</v>
      </c>
      <c r="R34" t="str">
        <f>SUBSTITUTE(SUBSTITUTE(kong_p2_var!$J$1,"&lt;upstream_name&gt;",$F34),"&lt;kong_api_url&gt;",$Q34)</f>
        <v>curl -X PUT http://172.20.148.160:8001/upstreams/ups-v810-bes_acc_im005_fft_driver_approval</v>
      </c>
      <c r="S34" t="str">
        <f>SUBSTITUTE(SUBSTITUTE(SUBSTITUTE(SUBSTITUTE(kong_p2_var!$J$2,"&lt;kong_api_url&gt;",$Q34),"&lt;upstream_name&gt;",$F34),"&lt;port&gt;",$E34),"&lt;service_name&gt;",$G34)</f>
        <v>curl -X PUT http://172.20.148.160:8001/services/svc-v810-bes_acc_im005_fft_driver_approval -H "Content-Type: application/json" -d '{"protocol":"http","host":"ups-v810-bes_acc_im005_fft_driver_approval","port":31205}'</v>
      </c>
      <c r="T34" t="str">
        <f>SUBSTITUTE(SUBSTITUTE(SUBSTITUTE(SUBSTITUTE(SUBSTITUTE(kong_p2_var!$J$3,"&lt;kong_api_url&gt;",$Q34),"&lt;route_name&gt;",$H34),"&lt;service_name&gt;",$G34),"&lt;host&gt;",$O34),"&lt;path&gt;",$P34)</f>
        <v>curl -X PUT http://172.20.148.160:8001/services/svc-v810-bes_acc_im005_fft_driver_approval/routes/route-v804-v810-bes_acc_im005_fft_driver_approval -H "Content-Type: application/json" -d '{"protocols":["http"],"hosts":["172.20.149.151"],"paths":["/trust810/bes_acc_im005_fft_driver_approval"]}'</v>
      </c>
      <c r="U34" t="str">
        <f t="shared" si="1"/>
        <v>curl -X POST http://172.20.148.160:8001/upstreams/ups-v810-bes_acc_im005_fft_driver_approval/targets -d 'target=172.20.148.195:31205'</v>
      </c>
      <c r="V34" t="str">
        <f t="shared" si="2"/>
        <v>curl -X POST http://172.20.148.160:8001/upstreams/ups-v810-bes_acc_im005_fft_driver_approval/targets -d 'target=172.20.148.196:31205'</v>
      </c>
      <c r="W34" t="str">
        <f t="shared" si="3"/>
        <v>curl -X POST http://172.20.148.160:8001/upstreams/ups-v810-bes_acc_im005_fft_driver_approval/targets -d 'target=172.20.148.197:31205'</v>
      </c>
      <c r="X34" t="str">
        <f t="shared" si="4"/>
        <v>curl -X POST http://172.20.148.160:8001/upstreams/ups-v810-bes_acc_im005_fft_driver_approval/targets -d 'target=172.20.148.198:31205'</v>
      </c>
      <c r="Y34" t="str">
        <f t="shared" si="5"/>
        <v>curl -X POST http://172.20.148.160:8001/upstreams/ups-v810-bes_acc_im005_fft_driver_approval/targets -d 'target=172.20.148.199:31205'</v>
      </c>
      <c r="Z34" t="str">
        <f t="shared" si="6"/>
        <v>curl -X POST http://172.20.148.160:8001/upstreams/ups-v810-bes_acc_im005_fft_driver_approval/targets -d 'target=172.20.148.200:31205'</v>
      </c>
    </row>
    <row r="35" spans="1:26">
      <c r="A35">
        <f>IF(ISNUMBER(SEARCH("rest_api",svc!R34)),1,0)</f>
        <v>1</v>
      </c>
      <c r="C35" t="str">
        <f>svc!D34</f>
        <v>trust</v>
      </c>
      <c r="D35" t="str">
        <f>svc!$B34</f>
        <v>v510</v>
      </c>
      <c r="E35">
        <f>svc!G34</f>
        <v>31206</v>
      </c>
      <c r="F35" t="str">
        <f>CONCATENATE("ups-",svc!$B34,"-",svc!I34)</f>
        <v>ups-v510-bes_acc_im006_fft_account_management</v>
      </c>
      <c r="G35" t="str">
        <f>CONCATENATE("svc-",svc!$B34,"-",svc!I34)</f>
        <v>svc-v510-bes_acc_im006_fft_account_management</v>
      </c>
      <c r="H35" t="str">
        <f>CONCATENATE("route-",VLOOKUP($D35,kong_p2_var!$B$10:$D$16,2,FALSE),"-",svc!$B34,"-",svc!I34)</f>
        <v>route-v504-v510-bes_acc_im006_fft_account_management</v>
      </c>
      <c r="I35" t="str">
        <f>CONCATENATE(VLOOKUP($D35,kong_p2_var!$B$20:$H$26,SUBSTITUTE(I$1,"target_","") + 1,FALSE),":",$E35)</f>
        <v>172.20.148.131:31206</v>
      </c>
      <c r="J35" t="str">
        <f>CONCATENATE(VLOOKUP($D35,kong_p2_var!$B$20:$H$26,SUBSTITUTE(J$1,"target_","") + 1,FALSE),":",$E35)</f>
        <v>172.20.148.132:31206</v>
      </c>
      <c r="K35" t="str">
        <f>CONCATENATE(VLOOKUP($D35,kong_p2_var!$B$20:$H$26,SUBSTITUTE(K$1,"target_","") + 1,FALSE),":",$E35)</f>
        <v>172.20.148.133:31206</v>
      </c>
      <c r="L35" t="str">
        <f>IF($C35="dmz","",CONCATENATE(VLOOKUP($D35,kong_p2_var!$B$20:$H$26,SUBSTITUTE(L$1,"target_","") + 1,FALSE),":",$E35))</f>
        <v>172.20.148.134:31206</v>
      </c>
      <c r="M35" t="str">
        <f>IF($C35="dmz","",CONCATENATE(VLOOKUP($D35,kong_p2_var!$B$20:$H$26,SUBSTITUTE(M$1,"target_","") + 1,FALSE),":",$E35))</f>
        <v>172.20.148.135:31206</v>
      </c>
      <c r="N35" t="str">
        <f>IF($C35="dmz","",CONCATENATE(VLOOKUP($D35,kong_p2_var!$B$20:$H$26,SUBSTITUTE(N$1,"target_","") + 1,FALSE),":",$E35))</f>
        <v>172.20.148.136:31206</v>
      </c>
      <c r="O35" t="str">
        <f>VLOOKUP($D35,kong_p2_var!$B$10:$D$16,3,FALSE)</f>
        <v>172.20.149.183</v>
      </c>
      <c r="P35" t="str">
        <f>CONCATENATE("/",C35,MID(D35,2,15),"/",svc!$I34)</f>
        <v>/trust510/bes_acc_im006_fft_account_management</v>
      </c>
      <c r="Q35" t="str">
        <f>VLOOKUP(C35,kong_p2_var!$B$6:$C$7,2,FALSE)</f>
        <v>http://172.20.148.160:8001</v>
      </c>
      <c r="R35" t="str">
        <f>SUBSTITUTE(SUBSTITUTE(kong_p2_var!$J$1,"&lt;upstream_name&gt;",$F35),"&lt;kong_api_url&gt;",$Q35)</f>
        <v>curl -X PUT http://172.20.148.160:8001/upstreams/ups-v510-bes_acc_im006_fft_account_management</v>
      </c>
      <c r="S35" t="str">
        <f>SUBSTITUTE(SUBSTITUTE(SUBSTITUTE(SUBSTITUTE(kong_p2_var!$J$2,"&lt;kong_api_url&gt;",$Q35),"&lt;upstream_name&gt;",$F35),"&lt;port&gt;",$E35),"&lt;service_name&gt;",$G35)</f>
        <v>curl -X PUT http://172.20.148.160:8001/services/svc-v510-bes_acc_im006_fft_account_management -H "Content-Type: application/json" -d '{"protocol":"http","host":"ups-v510-bes_acc_im006_fft_account_management","port":31206}'</v>
      </c>
      <c r="T35" t="str">
        <f>SUBSTITUTE(SUBSTITUTE(SUBSTITUTE(SUBSTITUTE(SUBSTITUTE(kong_p2_var!$J$3,"&lt;kong_api_url&gt;",$Q35),"&lt;route_name&gt;",$H35),"&lt;service_name&gt;",$G35),"&lt;host&gt;",$O35),"&lt;path&gt;",$P35)</f>
        <v>curl -X PUT http://172.20.148.160:8001/services/svc-v510-bes_acc_im006_fft_account_management/routes/route-v504-v510-bes_acc_im006_fft_account_management -H "Content-Type: application/json" -d '{"protocols":["http"],"hosts":["172.20.149.183"],"paths":["/trust510/bes_acc_im006_fft_account_management"]}'</v>
      </c>
      <c r="U35" t="str">
        <f t="shared" si="1"/>
        <v>curl -X POST http://172.20.148.160:8001/upstreams/ups-v510-bes_acc_im006_fft_account_management/targets -d 'target=172.20.148.131:31206'</v>
      </c>
      <c r="V35" t="str">
        <f t="shared" si="2"/>
        <v>curl -X POST http://172.20.148.160:8001/upstreams/ups-v510-bes_acc_im006_fft_account_management/targets -d 'target=172.20.148.132:31206'</v>
      </c>
      <c r="W35" t="str">
        <f t="shared" si="3"/>
        <v>curl -X POST http://172.20.148.160:8001/upstreams/ups-v510-bes_acc_im006_fft_account_management/targets -d 'target=172.20.148.133:31206'</v>
      </c>
      <c r="X35" t="str">
        <f t="shared" si="4"/>
        <v>curl -X POST http://172.20.148.160:8001/upstreams/ups-v510-bes_acc_im006_fft_account_management/targets -d 'target=172.20.148.134:31206'</v>
      </c>
      <c r="Y35" t="str">
        <f t="shared" si="5"/>
        <v>curl -X POST http://172.20.148.160:8001/upstreams/ups-v510-bes_acc_im006_fft_account_management/targets -d 'target=172.20.148.135:31206'</v>
      </c>
      <c r="Z35" t="str">
        <f t="shared" si="6"/>
        <v>curl -X POST http://172.20.148.160:8001/upstreams/ups-v510-bes_acc_im006_fft_account_management/targets -d 'target=172.20.148.136:31206'</v>
      </c>
    </row>
    <row r="36" spans="1:26">
      <c r="A36">
        <f>IF(ISNUMBER(SEARCH("rest_api",svc!R35)),1,0)</f>
        <v>1</v>
      </c>
      <c r="C36" t="str">
        <f>svc!D35</f>
        <v>trust</v>
      </c>
      <c r="D36" t="str">
        <f>svc!$B35</f>
        <v>v810</v>
      </c>
      <c r="E36">
        <f>svc!G35</f>
        <v>31206</v>
      </c>
      <c r="F36" t="str">
        <f>CONCATENATE("ups-",svc!$B35,"-",svc!I35)</f>
        <v>ups-v810-bes_acc_im006_fft_account_management</v>
      </c>
      <c r="G36" t="str">
        <f>CONCATENATE("svc-",svc!$B35,"-",svc!I35)</f>
        <v>svc-v810-bes_acc_im006_fft_account_management</v>
      </c>
      <c r="H36" t="str">
        <f>CONCATENATE("route-",VLOOKUP($D36,kong_p2_var!$B$10:$D$16,2,FALSE),"-",svc!$B35,"-",svc!I35)</f>
        <v>route-v804-v810-bes_acc_im006_fft_account_management</v>
      </c>
      <c r="I36" t="str">
        <f>CONCATENATE(VLOOKUP($D36,kong_p2_var!$B$20:$H$26,SUBSTITUTE(I$1,"target_","") + 1,FALSE),":",$E36)</f>
        <v>172.20.148.195:31206</v>
      </c>
      <c r="J36" t="str">
        <f>CONCATENATE(VLOOKUP($D36,kong_p2_var!$B$20:$H$26,SUBSTITUTE(J$1,"target_","") + 1,FALSE),":",$E36)</f>
        <v>172.20.148.196:31206</v>
      </c>
      <c r="K36" t="str">
        <f>CONCATENATE(VLOOKUP($D36,kong_p2_var!$B$20:$H$26,SUBSTITUTE(K$1,"target_","") + 1,FALSE),":",$E36)</f>
        <v>172.20.148.197:31206</v>
      </c>
      <c r="L36" t="str">
        <f>IF($C36="dmz","",CONCATENATE(VLOOKUP($D36,kong_p2_var!$B$20:$H$26,SUBSTITUTE(L$1,"target_","") + 1,FALSE),":",$E36))</f>
        <v>172.20.148.198:31206</v>
      </c>
      <c r="M36" t="str">
        <f>IF($C36="dmz","",CONCATENATE(VLOOKUP($D36,kong_p2_var!$B$20:$H$26,SUBSTITUTE(M$1,"target_","") + 1,FALSE),":",$E36))</f>
        <v>172.20.148.199:31206</v>
      </c>
      <c r="N36" t="str">
        <f>IF($C36="dmz","",CONCATENATE(VLOOKUP($D36,kong_p2_var!$B$20:$H$26,SUBSTITUTE(N$1,"target_","") + 1,FALSE),":",$E36))</f>
        <v>172.20.148.200:31206</v>
      </c>
      <c r="O36" t="str">
        <f>VLOOKUP($D36,kong_p2_var!$B$10:$D$16,3,FALSE)</f>
        <v>172.20.149.151</v>
      </c>
      <c r="P36" t="str">
        <f>CONCATENATE("/",C36,MID(D36,2,15),"/",svc!$I35)</f>
        <v>/trust810/bes_acc_im006_fft_account_management</v>
      </c>
      <c r="Q36" t="str">
        <f>VLOOKUP(C36,kong_p2_var!$B$6:$C$7,2,FALSE)</f>
        <v>http://172.20.148.160:8001</v>
      </c>
      <c r="R36" t="str">
        <f>SUBSTITUTE(SUBSTITUTE(kong_p2_var!$J$1,"&lt;upstream_name&gt;",$F36),"&lt;kong_api_url&gt;",$Q36)</f>
        <v>curl -X PUT http://172.20.148.160:8001/upstreams/ups-v810-bes_acc_im006_fft_account_management</v>
      </c>
      <c r="S36" t="str">
        <f>SUBSTITUTE(SUBSTITUTE(SUBSTITUTE(SUBSTITUTE(kong_p2_var!$J$2,"&lt;kong_api_url&gt;",$Q36),"&lt;upstream_name&gt;",$F36),"&lt;port&gt;",$E36),"&lt;service_name&gt;",$G36)</f>
        <v>curl -X PUT http://172.20.148.160:8001/services/svc-v810-bes_acc_im006_fft_account_management -H "Content-Type: application/json" -d '{"protocol":"http","host":"ups-v810-bes_acc_im006_fft_account_management","port":31206}'</v>
      </c>
      <c r="T36" t="str">
        <f>SUBSTITUTE(SUBSTITUTE(SUBSTITUTE(SUBSTITUTE(SUBSTITUTE(kong_p2_var!$J$3,"&lt;kong_api_url&gt;",$Q36),"&lt;route_name&gt;",$H36),"&lt;service_name&gt;",$G36),"&lt;host&gt;",$O36),"&lt;path&gt;",$P36)</f>
        <v>curl -X PUT http://172.20.148.160:8001/services/svc-v810-bes_acc_im006_fft_account_management/routes/route-v804-v810-bes_acc_im006_fft_account_management -H "Content-Type: application/json" -d '{"protocols":["http"],"hosts":["172.20.149.151"],"paths":["/trust810/bes_acc_im006_fft_account_management"]}'</v>
      </c>
      <c r="U36" t="str">
        <f t="shared" si="1"/>
        <v>curl -X POST http://172.20.148.160:8001/upstreams/ups-v810-bes_acc_im006_fft_account_management/targets -d 'target=172.20.148.195:31206'</v>
      </c>
      <c r="V36" t="str">
        <f t="shared" si="2"/>
        <v>curl -X POST http://172.20.148.160:8001/upstreams/ups-v810-bes_acc_im006_fft_account_management/targets -d 'target=172.20.148.196:31206'</v>
      </c>
      <c r="W36" t="str">
        <f t="shared" si="3"/>
        <v>curl -X POST http://172.20.148.160:8001/upstreams/ups-v810-bes_acc_im006_fft_account_management/targets -d 'target=172.20.148.197:31206'</v>
      </c>
      <c r="X36" t="str">
        <f t="shared" si="4"/>
        <v>curl -X POST http://172.20.148.160:8001/upstreams/ups-v810-bes_acc_im006_fft_account_management/targets -d 'target=172.20.148.198:31206'</v>
      </c>
      <c r="Y36" t="str">
        <f t="shared" si="5"/>
        <v>curl -X POST http://172.20.148.160:8001/upstreams/ups-v810-bes_acc_im006_fft_account_management/targets -d 'target=172.20.148.199:31206'</v>
      </c>
      <c r="Z36" t="str">
        <f t="shared" si="6"/>
        <v>curl -X POST http://172.20.148.160:8001/upstreams/ups-v810-bes_acc_im006_fft_account_management/targets -d 'target=172.20.148.200:31206'</v>
      </c>
    </row>
    <row r="37" spans="1:26">
      <c r="A37">
        <f>IF(ISNUMBER(SEARCH("rest_api",svc!R36)),1,0)</f>
        <v>1</v>
      </c>
      <c r="C37" t="str">
        <f>svc!D36</f>
        <v>trust</v>
      </c>
      <c r="D37" t="str">
        <f>svc!$B36</f>
        <v>v510</v>
      </c>
      <c r="E37">
        <f>svc!G36</f>
        <v>31207</v>
      </c>
      <c r="F37" t="str">
        <f>CONCATENATE("ups-",svc!$B36,"-",svc!I36)</f>
        <v>ups-v510-bes_acc_im007_fft_vehicle_pairing</v>
      </c>
      <c r="G37" t="str">
        <f>CONCATENATE("svc-",svc!$B36,"-",svc!I36)</f>
        <v>svc-v510-bes_acc_im007_fft_vehicle_pairing</v>
      </c>
      <c r="H37" t="str">
        <f>CONCATENATE("route-",VLOOKUP($D37,kong_p2_var!$B$10:$D$16,2,FALSE),"-",svc!$B36,"-",svc!I36)</f>
        <v>route-v504-v510-bes_acc_im007_fft_vehicle_pairing</v>
      </c>
      <c r="I37" t="str">
        <f>CONCATENATE(VLOOKUP($D37,kong_p2_var!$B$20:$H$26,SUBSTITUTE(I$1,"target_","") + 1,FALSE),":",$E37)</f>
        <v>172.20.148.131:31207</v>
      </c>
      <c r="J37" t="str">
        <f>CONCATENATE(VLOOKUP($D37,kong_p2_var!$B$20:$H$26,SUBSTITUTE(J$1,"target_","") + 1,FALSE),":",$E37)</f>
        <v>172.20.148.132:31207</v>
      </c>
      <c r="K37" t="str">
        <f>CONCATENATE(VLOOKUP($D37,kong_p2_var!$B$20:$H$26,SUBSTITUTE(K$1,"target_","") + 1,FALSE),":",$E37)</f>
        <v>172.20.148.133:31207</v>
      </c>
      <c r="L37" t="str">
        <f>IF($C37="dmz","",CONCATENATE(VLOOKUP($D37,kong_p2_var!$B$20:$H$26,SUBSTITUTE(L$1,"target_","") + 1,FALSE),":",$E37))</f>
        <v>172.20.148.134:31207</v>
      </c>
      <c r="M37" t="str">
        <f>IF($C37="dmz","",CONCATENATE(VLOOKUP($D37,kong_p2_var!$B$20:$H$26,SUBSTITUTE(M$1,"target_","") + 1,FALSE),":",$E37))</f>
        <v>172.20.148.135:31207</v>
      </c>
      <c r="N37" t="str">
        <f>IF($C37="dmz","",CONCATENATE(VLOOKUP($D37,kong_p2_var!$B$20:$H$26,SUBSTITUTE(N$1,"target_","") + 1,FALSE),":",$E37))</f>
        <v>172.20.148.136:31207</v>
      </c>
      <c r="O37" t="str">
        <f>VLOOKUP($D37,kong_p2_var!$B$10:$D$16,3,FALSE)</f>
        <v>172.20.149.183</v>
      </c>
      <c r="P37" t="str">
        <f>CONCATENATE("/",C37,MID(D37,2,15),"/",svc!$I36)</f>
        <v>/trust510/bes_acc_im007_fft_vehicle_pairing</v>
      </c>
      <c r="Q37" t="str">
        <f>VLOOKUP(C37,kong_p2_var!$B$6:$C$7,2,FALSE)</f>
        <v>http://172.20.148.160:8001</v>
      </c>
      <c r="R37" t="str">
        <f>SUBSTITUTE(SUBSTITUTE(kong_p2_var!$J$1,"&lt;upstream_name&gt;",$F37),"&lt;kong_api_url&gt;",$Q37)</f>
        <v>curl -X PUT http://172.20.148.160:8001/upstreams/ups-v510-bes_acc_im007_fft_vehicle_pairing</v>
      </c>
      <c r="S37" t="str">
        <f>SUBSTITUTE(SUBSTITUTE(SUBSTITUTE(SUBSTITUTE(kong_p2_var!$J$2,"&lt;kong_api_url&gt;",$Q37),"&lt;upstream_name&gt;",$F37),"&lt;port&gt;",$E37),"&lt;service_name&gt;",$G37)</f>
        <v>curl -X PUT http://172.20.148.160:8001/services/svc-v510-bes_acc_im007_fft_vehicle_pairing -H "Content-Type: application/json" -d '{"protocol":"http","host":"ups-v510-bes_acc_im007_fft_vehicle_pairing","port":31207}'</v>
      </c>
      <c r="T37" t="str">
        <f>SUBSTITUTE(SUBSTITUTE(SUBSTITUTE(SUBSTITUTE(SUBSTITUTE(kong_p2_var!$J$3,"&lt;kong_api_url&gt;",$Q37),"&lt;route_name&gt;",$H37),"&lt;service_name&gt;",$G37),"&lt;host&gt;",$O37),"&lt;path&gt;",$P37)</f>
        <v>curl -X PUT http://172.20.148.160:8001/services/svc-v510-bes_acc_im007_fft_vehicle_pairing/routes/route-v504-v510-bes_acc_im007_fft_vehicle_pairing -H "Content-Type: application/json" -d '{"protocols":["http"],"hosts":["172.20.149.183"],"paths":["/trust510/bes_acc_im007_fft_vehicle_pairing"]}'</v>
      </c>
      <c r="U37" t="str">
        <f t="shared" si="1"/>
        <v>curl -X POST http://172.20.148.160:8001/upstreams/ups-v510-bes_acc_im007_fft_vehicle_pairing/targets -d 'target=172.20.148.131:31207'</v>
      </c>
      <c r="V37" t="str">
        <f t="shared" si="2"/>
        <v>curl -X POST http://172.20.148.160:8001/upstreams/ups-v510-bes_acc_im007_fft_vehicle_pairing/targets -d 'target=172.20.148.132:31207'</v>
      </c>
      <c r="W37" t="str">
        <f t="shared" si="3"/>
        <v>curl -X POST http://172.20.148.160:8001/upstreams/ups-v510-bes_acc_im007_fft_vehicle_pairing/targets -d 'target=172.20.148.133:31207'</v>
      </c>
      <c r="X37" t="str">
        <f t="shared" si="4"/>
        <v>curl -X POST http://172.20.148.160:8001/upstreams/ups-v510-bes_acc_im007_fft_vehicle_pairing/targets -d 'target=172.20.148.134:31207'</v>
      </c>
      <c r="Y37" t="str">
        <f t="shared" si="5"/>
        <v>curl -X POST http://172.20.148.160:8001/upstreams/ups-v510-bes_acc_im007_fft_vehicle_pairing/targets -d 'target=172.20.148.135:31207'</v>
      </c>
      <c r="Z37" t="str">
        <f t="shared" si="6"/>
        <v>curl -X POST http://172.20.148.160:8001/upstreams/ups-v510-bes_acc_im007_fft_vehicle_pairing/targets -d 'target=172.20.148.136:31207'</v>
      </c>
    </row>
    <row r="38" spans="1:26">
      <c r="A38">
        <f>IF(ISNUMBER(SEARCH("rest_api",svc!R37)),1,0)</f>
        <v>1</v>
      </c>
      <c r="C38" t="str">
        <f>svc!D37</f>
        <v>trust</v>
      </c>
      <c r="D38" t="str">
        <f>svc!$B37</f>
        <v>v810</v>
      </c>
      <c r="E38">
        <f>svc!G37</f>
        <v>31207</v>
      </c>
      <c r="F38" t="str">
        <f>CONCATENATE("ups-",svc!$B37,"-",svc!I37)</f>
        <v>ups-v810-bes_acc_im007_fft_vehicle_pairing</v>
      </c>
      <c r="G38" t="str">
        <f>CONCATENATE("svc-",svc!$B37,"-",svc!I37)</f>
        <v>svc-v810-bes_acc_im007_fft_vehicle_pairing</v>
      </c>
      <c r="H38" t="str">
        <f>CONCATENATE("route-",VLOOKUP($D38,kong_p2_var!$B$10:$D$16,2,FALSE),"-",svc!$B37,"-",svc!I37)</f>
        <v>route-v804-v810-bes_acc_im007_fft_vehicle_pairing</v>
      </c>
      <c r="I38" t="str">
        <f>CONCATENATE(VLOOKUP($D38,kong_p2_var!$B$20:$H$26,SUBSTITUTE(I$1,"target_","") + 1,FALSE),":",$E38)</f>
        <v>172.20.148.195:31207</v>
      </c>
      <c r="J38" t="str">
        <f>CONCATENATE(VLOOKUP($D38,kong_p2_var!$B$20:$H$26,SUBSTITUTE(J$1,"target_","") + 1,FALSE),":",$E38)</f>
        <v>172.20.148.196:31207</v>
      </c>
      <c r="K38" t="str">
        <f>CONCATENATE(VLOOKUP($D38,kong_p2_var!$B$20:$H$26,SUBSTITUTE(K$1,"target_","") + 1,FALSE),":",$E38)</f>
        <v>172.20.148.197:31207</v>
      </c>
      <c r="L38" t="str">
        <f>IF($C38="dmz","",CONCATENATE(VLOOKUP($D38,kong_p2_var!$B$20:$H$26,SUBSTITUTE(L$1,"target_","") + 1,FALSE),":",$E38))</f>
        <v>172.20.148.198:31207</v>
      </c>
      <c r="M38" t="str">
        <f>IF($C38="dmz","",CONCATENATE(VLOOKUP($D38,kong_p2_var!$B$20:$H$26,SUBSTITUTE(M$1,"target_","") + 1,FALSE),":",$E38))</f>
        <v>172.20.148.199:31207</v>
      </c>
      <c r="N38" t="str">
        <f>IF($C38="dmz","",CONCATENATE(VLOOKUP($D38,kong_p2_var!$B$20:$H$26,SUBSTITUTE(N$1,"target_","") + 1,FALSE),":",$E38))</f>
        <v>172.20.148.200:31207</v>
      </c>
      <c r="O38" t="str">
        <f>VLOOKUP($D38,kong_p2_var!$B$10:$D$16,3,FALSE)</f>
        <v>172.20.149.151</v>
      </c>
      <c r="P38" t="str">
        <f>CONCATENATE("/",C38,MID(D38,2,15),"/",svc!$I37)</f>
        <v>/trust810/bes_acc_im007_fft_vehicle_pairing</v>
      </c>
      <c r="Q38" t="str">
        <f>VLOOKUP(C38,kong_p2_var!$B$6:$C$7,2,FALSE)</f>
        <v>http://172.20.148.160:8001</v>
      </c>
      <c r="R38" t="str">
        <f>SUBSTITUTE(SUBSTITUTE(kong_p2_var!$J$1,"&lt;upstream_name&gt;",$F38),"&lt;kong_api_url&gt;",$Q38)</f>
        <v>curl -X PUT http://172.20.148.160:8001/upstreams/ups-v810-bes_acc_im007_fft_vehicle_pairing</v>
      </c>
      <c r="S38" t="str">
        <f>SUBSTITUTE(SUBSTITUTE(SUBSTITUTE(SUBSTITUTE(kong_p2_var!$J$2,"&lt;kong_api_url&gt;",$Q38),"&lt;upstream_name&gt;",$F38),"&lt;port&gt;",$E38),"&lt;service_name&gt;",$G38)</f>
        <v>curl -X PUT http://172.20.148.160:8001/services/svc-v810-bes_acc_im007_fft_vehicle_pairing -H "Content-Type: application/json" -d '{"protocol":"http","host":"ups-v810-bes_acc_im007_fft_vehicle_pairing","port":31207}'</v>
      </c>
      <c r="T38" t="str">
        <f>SUBSTITUTE(SUBSTITUTE(SUBSTITUTE(SUBSTITUTE(SUBSTITUTE(kong_p2_var!$J$3,"&lt;kong_api_url&gt;",$Q38),"&lt;route_name&gt;",$H38),"&lt;service_name&gt;",$G38),"&lt;host&gt;",$O38),"&lt;path&gt;",$P38)</f>
        <v>curl -X PUT http://172.20.148.160:8001/services/svc-v810-bes_acc_im007_fft_vehicle_pairing/routes/route-v804-v810-bes_acc_im007_fft_vehicle_pairing -H "Content-Type: application/json" -d '{"protocols":["http"],"hosts":["172.20.149.151"],"paths":["/trust810/bes_acc_im007_fft_vehicle_pairing"]}'</v>
      </c>
      <c r="U38" t="str">
        <f t="shared" si="1"/>
        <v>curl -X POST http://172.20.148.160:8001/upstreams/ups-v810-bes_acc_im007_fft_vehicle_pairing/targets -d 'target=172.20.148.195:31207'</v>
      </c>
      <c r="V38" t="str">
        <f t="shared" si="2"/>
        <v>curl -X POST http://172.20.148.160:8001/upstreams/ups-v810-bes_acc_im007_fft_vehicle_pairing/targets -d 'target=172.20.148.196:31207'</v>
      </c>
      <c r="W38" t="str">
        <f t="shared" si="3"/>
        <v>curl -X POST http://172.20.148.160:8001/upstreams/ups-v810-bes_acc_im007_fft_vehicle_pairing/targets -d 'target=172.20.148.197:31207'</v>
      </c>
      <c r="X38" t="str">
        <f t="shared" si="4"/>
        <v>curl -X POST http://172.20.148.160:8001/upstreams/ups-v810-bes_acc_im007_fft_vehicle_pairing/targets -d 'target=172.20.148.198:31207'</v>
      </c>
      <c r="Y38" t="str">
        <f t="shared" si="5"/>
        <v>curl -X POST http://172.20.148.160:8001/upstreams/ups-v810-bes_acc_im007_fft_vehicle_pairing/targets -d 'target=172.20.148.199:31207'</v>
      </c>
      <c r="Z38" t="str">
        <f t="shared" si="6"/>
        <v>curl -X POST http://172.20.148.160:8001/upstreams/ups-v810-bes_acc_im007_fft_vehicle_pairing/targets -d 'target=172.20.148.200:31207'</v>
      </c>
    </row>
    <row r="39" spans="1:26">
      <c r="A39">
        <f>IF(ISNUMBER(SEARCH("rest_api",svc!R38)),1,0)</f>
        <v>1</v>
      </c>
      <c r="C39" t="str">
        <f>svc!D38</f>
        <v>trust</v>
      </c>
      <c r="D39" t="str">
        <f>svc!$B38</f>
        <v>v510</v>
      </c>
      <c r="E39">
        <f>svc!G38</f>
        <v>31208</v>
      </c>
      <c r="F39" t="str">
        <f>CONCATENATE("ups-",svc!$B38,"-",svc!I38)</f>
        <v>ups-v510-bes_acc_im008_fft_tag_management</v>
      </c>
      <c r="G39" t="str">
        <f>CONCATENATE("svc-",svc!$B38,"-",svc!I38)</f>
        <v>svc-v510-bes_acc_im008_fft_tag_management</v>
      </c>
      <c r="H39" t="str">
        <f>CONCATENATE("route-",VLOOKUP($D39,kong_p2_var!$B$10:$D$16,2,FALSE),"-",svc!$B38,"-",svc!I38)</f>
        <v>route-v504-v510-bes_acc_im008_fft_tag_management</v>
      </c>
      <c r="I39" t="str">
        <f>CONCATENATE(VLOOKUP($D39,kong_p2_var!$B$20:$H$26,SUBSTITUTE(I$1,"target_","") + 1,FALSE),":",$E39)</f>
        <v>172.20.148.131:31208</v>
      </c>
      <c r="J39" t="str">
        <f>CONCATENATE(VLOOKUP($D39,kong_p2_var!$B$20:$H$26,SUBSTITUTE(J$1,"target_","") + 1,FALSE),":",$E39)</f>
        <v>172.20.148.132:31208</v>
      </c>
      <c r="K39" t="str">
        <f>CONCATENATE(VLOOKUP($D39,kong_p2_var!$B$20:$H$26,SUBSTITUTE(K$1,"target_","") + 1,FALSE),":",$E39)</f>
        <v>172.20.148.133:31208</v>
      </c>
      <c r="L39" t="str">
        <f>IF($C39="dmz","",CONCATENATE(VLOOKUP($D39,kong_p2_var!$B$20:$H$26,SUBSTITUTE(L$1,"target_","") + 1,FALSE),":",$E39))</f>
        <v>172.20.148.134:31208</v>
      </c>
      <c r="M39" t="str">
        <f>IF($C39="dmz","",CONCATENATE(VLOOKUP($D39,kong_p2_var!$B$20:$H$26,SUBSTITUTE(M$1,"target_","") + 1,FALSE),":",$E39))</f>
        <v>172.20.148.135:31208</v>
      </c>
      <c r="N39" t="str">
        <f>IF($C39="dmz","",CONCATENATE(VLOOKUP($D39,kong_p2_var!$B$20:$H$26,SUBSTITUTE(N$1,"target_","") + 1,FALSE),":",$E39))</f>
        <v>172.20.148.136:31208</v>
      </c>
      <c r="O39" t="str">
        <f>VLOOKUP($D39,kong_p2_var!$B$10:$D$16,3,FALSE)</f>
        <v>172.20.149.183</v>
      </c>
      <c r="P39" t="str">
        <f>CONCATENATE("/",C39,MID(D39,2,15),"/",svc!$I38)</f>
        <v>/trust510/bes_acc_im008_fft_tag_management</v>
      </c>
      <c r="Q39" t="str">
        <f>VLOOKUP(C39,kong_p2_var!$B$6:$C$7,2,FALSE)</f>
        <v>http://172.20.148.160:8001</v>
      </c>
      <c r="R39" t="str">
        <f>SUBSTITUTE(SUBSTITUTE(kong_p2_var!$J$1,"&lt;upstream_name&gt;",$F39),"&lt;kong_api_url&gt;",$Q39)</f>
        <v>curl -X PUT http://172.20.148.160:8001/upstreams/ups-v510-bes_acc_im008_fft_tag_management</v>
      </c>
      <c r="S39" t="str">
        <f>SUBSTITUTE(SUBSTITUTE(SUBSTITUTE(SUBSTITUTE(kong_p2_var!$J$2,"&lt;kong_api_url&gt;",$Q39),"&lt;upstream_name&gt;",$F39),"&lt;port&gt;",$E39),"&lt;service_name&gt;",$G39)</f>
        <v>curl -X PUT http://172.20.148.160:8001/services/svc-v510-bes_acc_im008_fft_tag_management -H "Content-Type: application/json" -d '{"protocol":"http","host":"ups-v510-bes_acc_im008_fft_tag_management","port":31208}'</v>
      </c>
      <c r="T39" t="str">
        <f>SUBSTITUTE(SUBSTITUTE(SUBSTITUTE(SUBSTITUTE(SUBSTITUTE(kong_p2_var!$J$3,"&lt;kong_api_url&gt;",$Q39),"&lt;route_name&gt;",$H39),"&lt;service_name&gt;",$G39),"&lt;host&gt;",$O39),"&lt;path&gt;",$P39)</f>
        <v>curl -X PUT http://172.20.148.160:8001/services/svc-v510-bes_acc_im008_fft_tag_management/routes/route-v504-v510-bes_acc_im008_fft_tag_management -H "Content-Type: application/json" -d '{"protocols":["http"],"hosts":["172.20.149.183"],"paths":["/trust510/bes_acc_im008_fft_tag_management"]}'</v>
      </c>
      <c r="U39" t="str">
        <f t="shared" si="1"/>
        <v>curl -X POST http://172.20.148.160:8001/upstreams/ups-v510-bes_acc_im008_fft_tag_management/targets -d 'target=172.20.148.131:31208'</v>
      </c>
      <c r="V39" t="str">
        <f t="shared" si="2"/>
        <v>curl -X POST http://172.20.148.160:8001/upstreams/ups-v510-bes_acc_im008_fft_tag_management/targets -d 'target=172.20.148.132:31208'</v>
      </c>
      <c r="W39" t="str">
        <f t="shared" si="3"/>
        <v>curl -X POST http://172.20.148.160:8001/upstreams/ups-v510-bes_acc_im008_fft_tag_management/targets -d 'target=172.20.148.133:31208'</v>
      </c>
      <c r="X39" t="str">
        <f t="shared" si="4"/>
        <v>curl -X POST http://172.20.148.160:8001/upstreams/ups-v510-bes_acc_im008_fft_tag_management/targets -d 'target=172.20.148.134:31208'</v>
      </c>
      <c r="Y39" t="str">
        <f t="shared" si="5"/>
        <v>curl -X POST http://172.20.148.160:8001/upstreams/ups-v510-bes_acc_im008_fft_tag_management/targets -d 'target=172.20.148.135:31208'</v>
      </c>
      <c r="Z39" t="str">
        <f t="shared" si="6"/>
        <v>curl -X POST http://172.20.148.160:8001/upstreams/ups-v510-bes_acc_im008_fft_tag_management/targets -d 'target=172.20.148.136:31208'</v>
      </c>
    </row>
    <row r="40" spans="1:26">
      <c r="A40">
        <f>IF(ISNUMBER(SEARCH("rest_api",svc!R39)),1,0)</f>
        <v>1</v>
      </c>
      <c r="C40" t="str">
        <f>svc!D39</f>
        <v>trust</v>
      </c>
      <c r="D40" t="str">
        <f>svc!$B39</f>
        <v>v810</v>
      </c>
      <c r="E40">
        <f>svc!G39</f>
        <v>31208</v>
      </c>
      <c r="F40" t="str">
        <f>CONCATENATE("ups-",svc!$B39,"-",svc!I39)</f>
        <v>ups-v810-bes_acc_im008_fft_tag_management</v>
      </c>
      <c r="G40" t="str">
        <f>CONCATENATE("svc-",svc!$B39,"-",svc!I39)</f>
        <v>svc-v810-bes_acc_im008_fft_tag_management</v>
      </c>
      <c r="H40" t="str">
        <f>CONCATENATE("route-",VLOOKUP($D40,kong_p2_var!$B$10:$D$16,2,FALSE),"-",svc!$B39,"-",svc!I39)</f>
        <v>route-v804-v810-bes_acc_im008_fft_tag_management</v>
      </c>
      <c r="I40" t="str">
        <f>CONCATENATE(VLOOKUP($D40,kong_p2_var!$B$20:$H$26,SUBSTITUTE(I$1,"target_","") + 1,FALSE),":",$E40)</f>
        <v>172.20.148.195:31208</v>
      </c>
      <c r="J40" t="str">
        <f>CONCATENATE(VLOOKUP($D40,kong_p2_var!$B$20:$H$26,SUBSTITUTE(J$1,"target_","") + 1,FALSE),":",$E40)</f>
        <v>172.20.148.196:31208</v>
      </c>
      <c r="K40" t="str">
        <f>CONCATENATE(VLOOKUP($D40,kong_p2_var!$B$20:$H$26,SUBSTITUTE(K$1,"target_","") + 1,FALSE),":",$E40)</f>
        <v>172.20.148.197:31208</v>
      </c>
      <c r="L40" t="str">
        <f>IF($C40="dmz","",CONCATENATE(VLOOKUP($D40,kong_p2_var!$B$20:$H$26,SUBSTITUTE(L$1,"target_","") + 1,FALSE),":",$E40))</f>
        <v>172.20.148.198:31208</v>
      </c>
      <c r="M40" t="str">
        <f>IF($C40="dmz","",CONCATENATE(VLOOKUP($D40,kong_p2_var!$B$20:$H$26,SUBSTITUTE(M$1,"target_","") + 1,FALSE),":",$E40))</f>
        <v>172.20.148.199:31208</v>
      </c>
      <c r="N40" t="str">
        <f>IF($C40="dmz","",CONCATENATE(VLOOKUP($D40,kong_p2_var!$B$20:$H$26,SUBSTITUTE(N$1,"target_","") + 1,FALSE),":",$E40))</f>
        <v>172.20.148.200:31208</v>
      </c>
      <c r="O40" t="str">
        <f>VLOOKUP($D40,kong_p2_var!$B$10:$D$16,3,FALSE)</f>
        <v>172.20.149.151</v>
      </c>
      <c r="P40" t="str">
        <f>CONCATENATE("/",C40,MID(D40,2,15),"/",svc!$I39)</f>
        <v>/trust810/bes_acc_im008_fft_tag_management</v>
      </c>
      <c r="Q40" t="str">
        <f>VLOOKUP(C40,kong_p2_var!$B$6:$C$7,2,FALSE)</f>
        <v>http://172.20.148.160:8001</v>
      </c>
      <c r="R40" t="str">
        <f>SUBSTITUTE(SUBSTITUTE(kong_p2_var!$J$1,"&lt;upstream_name&gt;",$F40),"&lt;kong_api_url&gt;",$Q40)</f>
        <v>curl -X PUT http://172.20.148.160:8001/upstreams/ups-v810-bes_acc_im008_fft_tag_management</v>
      </c>
      <c r="S40" t="str">
        <f>SUBSTITUTE(SUBSTITUTE(SUBSTITUTE(SUBSTITUTE(kong_p2_var!$J$2,"&lt;kong_api_url&gt;",$Q40),"&lt;upstream_name&gt;",$F40),"&lt;port&gt;",$E40),"&lt;service_name&gt;",$G40)</f>
        <v>curl -X PUT http://172.20.148.160:8001/services/svc-v810-bes_acc_im008_fft_tag_management -H "Content-Type: application/json" -d '{"protocol":"http","host":"ups-v810-bes_acc_im008_fft_tag_management","port":31208}'</v>
      </c>
      <c r="T40" t="str">
        <f>SUBSTITUTE(SUBSTITUTE(SUBSTITUTE(SUBSTITUTE(SUBSTITUTE(kong_p2_var!$J$3,"&lt;kong_api_url&gt;",$Q40),"&lt;route_name&gt;",$H40),"&lt;service_name&gt;",$G40),"&lt;host&gt;",$O40),"&lt;path&gt;",$P40)</f>
        <v>curl -X PUT http://172.20.148.160:8001/services/svc-v810-bes_acc_im008_fft_tag_management/routes/route-v804-v810-bes_acc_im008_fft_tag_management -H "Content-Type: application/json" -d '{"protocols":["http"],"hosts":["172.20.149.151"],"paths":["/trust810/bes_acc_im008_fft_tag_management"]}'</v>
      </c>
      <c r="U40" t="str">
        <f t="shared" si="1"/>
        <v>curl -X POST http://172.20.148.160:8001/upstreams/ups-v810-bes_acc_im008_fft_tag_management/targets -d 'target=172.20.148.195:31208'</v>
      </c>
      <c r="V40" t="str">
        <f t="shared" si="2"/>
        <v>curl -X POST http://172.20.148.160:8001/upstreams/ups-v810-bes_acc_im008_fft_tag_management/targets -d 'target=172.20.148.196:31208'</v>
      </c>
      <c r="W40" t="str">
        <f t="shared" si="3"/>
        <v>curl -X POST http://172.20.148.160:8001/upstreams/ups-v810-bes_acc_im008_fft_tag_management/targets -d 'target=172.20.148.197:31208'</v>
      </c>
      <c r="X40" t="str">
        <f t="shared" si="4"/>
        <v>curl -X POST http://172.20.148.160:8001/upstreams/ups-v810-bes_acc_im008_fft_tag_management/targets -d 'target=172.20.148.198:31208'</v>
      </c>
      <c r="Y40" t="str">
        <f t="shared" si="5"/>
        <v>curl -X POST http://172.20.148.160:8001/upstreams/ups-v810-bes_acc_im008_fft_tag_management/targets -d 'target=172.20.148.199:31208'</v>
      </c>
      <c r="Z40" t="str">
        <f t="shared" si="6"/>
        <v>curl -X POST http://172.20.148.160:8001/upstreams/ups-v810-bes_acc_im008_fft_tag_management/targets -d 'target=172.20.148.200:31208'</v>
      </c>
    </row>
    <row r="41" spans="1:26">
      <c r="A41">
        <f>IF(ISNUMBER(SEARCH("rest_api",svc!R40)),1,0)</f>
        <v>1</v>
      </c>
      <c r="C41" t="str">
        <f>svc!D40</f>
        <v>trust</v>
      </c>
      <c r="D41" t="str">
        <f>svc!$B40</f>
        <v>v510</v>
      </c>
      <c r="E41">
        <f>svc!G40</f>
        <v>31209</v>
      </c>
      <c r="F41" t="str">
        <f>CONCATENATE("ups-",svc!$B40,"-",svc!I40)</f>
        <v>ups-v510-bes_acc_im009_fft_payment_and_billing</v>
      </c>
      <c r="G41" t="str">
        <f>CONCATENATE("svc-",svc!$B40,"-",svc!I40)</f>
        <v>svc-v510-bes_acc_im009_fft_payment_and_billing</v>
      </c>
      <c r="H41" t="str">
        <f>CONCATENATE("route-",VLOOKUP($D41,kong_p2_var!$B$10:$D$16,2,FALSE),"-",svc!$B40,"-",svc!I40)</f>
        <v>route-v504-v510-bes_acc_im009_fft_payment_and_billing</v>
      </c>
      <c r="I41" t="str">
        <f>CONCATENATE(VLOOKUP($D41,kong_p2_var!$B$20:$H$26,SUBSTITUTE(I$1,"target_","") + 1,FALSE),":",$E41)</f>
        <v>172.20.148.131:31209</v>
      </c>
      <c r="J41" t="str">
        <f>CONCATENATE(VLOOKUP($D41,kong_p2_var!$B$20:$H$26,SUBSTITUTE(J$1,"target_","") + 1,FALSE),":",$E41)</f>
        <v>172.20.148.132:31209</v>
      </c>
      <c r="K41" t="str">
        <f>CONCATENATE(VLOOKUP($D41,kong_p2_var!$B$20:$H$26,SUBSTITUTE(K$1,"target_","") + 1,FALSE),":",$E41)</f>
        <v>172.20.148.133:31209</v>
      </c>
      <c r="L41" t="str">
        <f>IF($C41="dmz","",CONCATENATE(VLOOKUP($D41,kong_p2_var!$B$20:$H$26,SUBSTITUTE(L$1,"target_","") + 1,FALSE),":",$E41))</f>
        <v>172.20.148.134:31209</v>
      </c>
      <c r="M41" t="str">
        <f>IF($C41="dmz","",CONCATENATE(VLOOKUP($D41,kong_p2_var!$B$20:$H$26,SUBSTITUTE(M$1,"target_","") + 1,FALSE),":",$E41))</f>
        <v>172.20.148.135:31209</v>
      </c>
      <c r="N41" t="str">
        <f>IF($C41="dmz","",CONCATENATE(VLOOKUP($D41,kong_p2_var!$B$20:$H$26,SUBSTITUTE(N$1,"target_","") + 1,FALSE),":",$E41))</f>
        <v>172.20.148.136:31209</v>
      </c>
      <c r="O41" t="str">
        <f>VLOOKUP($D41,kong_p2_var!$B$10:$D$16,3,FALSE)</f>
        <v>172.20.149.183</v>
      </c>
      <c r="P41" t="str">
        <f>CONCATENATE("/",C41,MID(D41,2,15),"/",svc!$I40)</f>
        <v>/trust510/bes_acc_im009_fft_payment_and_billing</v>
      </c>
      <c r="Q41" t="str">
        <f>VLOOKUP(C41,kong_p2_var!$B$6:$C$7,2,FALSE)</f>
        <v>http://172.20.148.160:8001</v>
      </c>
      <c r="R41" t="str">
        <f>SUBSTITUTE(SUBSTITUTE(kong_p2_var!$J$1,"&lt;upstream_name&gt;",$F41),"&lt;kong_api_url&gt;",$Q41)</f>
        <v>curl -X PUT http://172.20.148.160:8001/upstreams/ups-v510-bes_acc_im009_fft_payment_and_billing</v>
      </c>
      <c r="S41" t="str">
        <f>SUBSTITUTE(SUBSTITUTE(SUBSTITUTE(SUBSTITUTE(kong_p2_var!$J$2,"&lt;kong_api_url&gt;",$Q41),"&lt;upstream_name&gt;",$F41),"&lt;port&gt;",$E41),"&lt;service_name&gt;",$G41)</f>
        <v>curl -X PUT http://172.20.148.160:8001/services/svc-v510-bes_acc_im009_fft_payment_and_billing -H "Content-Type: application/json" -d '{"protocol":"http","host":"ups-v510-bes_acc_im009_fft_payment_and_billing","port":31209}'</v>
      </c>
      <c r="T41" t="str">
        <f>SUBSTITUTE(SUBSTITUTE(SUBSTITUTE(SUBSTITUTE(SUBSTITUTE(kong_p2_var!$J$3,"&lt;kong_api_url&gt;",$Q41),"&lt;route_name&gt;",$H41),"&lt;service_name&gt;",$G41),"&lt;host&gt;",$O41),"&lt;path&gt;",$P41)</f>
        <v>curl -X PUT http://172.20.148.160:8001/services/svc-v510-bes_acc_im009_fft_payment_and_billing/routes/route-v504-v510-bes_acc_im009_fft_payment_and_billing -H "Content-Type: application/json" -d '{"protocols":["http"],"hosts":["172.20.149.183"],"paths":["/trust510/bes_acc_im009_fft_payment_and_billing"]}'</v>
      </c>
      <c r="U41" t="str">
        <f t="shared" si="1"/>
        <v>curl -X POST http://172.20.148.160:8001/upstreams/ups-v510-bes_acc_im009_fft_payment_and_billing/targets -d 'target=172.20.148.131:31209'</v>
      </c>
      <c r="V41" t="str">
        <f t="shared" si="2"/>
        <v>curl -X POST http://172.20.148.160:8001/upstreams/ups-v510-bes_acc_im009_fft_payment_and_billing/targets -d 'target=172.20.148.132:31209'</v>
      </c>
      <c r="W41" t="str">
        <f t="shared" si="3"/>
        <v>curl -X POST http://172.20.148.160:8001/upstreams/ups-v510-bes_acc_im009_fft_payment_and_billing/targets -d 'target=172.20.148.133:31209'</v>
      </c>
      <c r="X41" t="str">
        <f t="shared" si="4"/>
        <v>curl -X POST http://172.20.148.160:8001/upstreams/ups-v510-bes_acc_im009_fft_payment_and_billing/targets -d 'target=172.20.148.134:31209'</v>
      </c>
      <c r="Y41" t="str">
        <f t="shared" si="5"/>
        <v>curl -X POST http://172.20.148.160:8001/upstreams/ups-v510-bes_acc_im009_fft_payment_and_billing/targets -d 'target=172.20.148.135:31209'</v>
      </c>
      <c r="Z41" t="str">
        <f t="shared" si="6"/>
        <v>curl -X POST http://172.20.148.160:8001/upstreams/ups-v510-bes_acc_im009_fft_payment_and_billing/targets -d 'target=172.20.148.136:31209'</v>
      </c>
    </row>
    <row r="42" spans="1:26">
      <c r="A42">
        <f>IF(ISNUMBER(SEARCH("rest_api",svc!R41)),1,0)</f>
        <v>1</v>
      </c>
      <c r="C42" t="str">
        <f>svc!D41</f>
        <v>trust</v>
      </c>
      <c r="D42" t="str">
        <f>svc!$B41</f>
        <v>v810</v>
      </c>
      <c r="E42">
        <f>svc!G41</f>
        <v>31209</v>
      </c>
      <c r="F42" t="str">
        <f>CONCATENATE("ups-",svc!$B41,"-",svc!I41)</f>
        <v>ups-v810-bes_acc_im009_fft_payment_and_billing</v>
      </c>
      <c r="G42" t="str">
        <f>CONCATENATE("svc-",svc!$B41,"-",svc!I41)</f>
        <v>svc-v810-bes_acc_im009_fft_payment_and_billing</v>
      </c>
      <c r="H42" t="str">
        <f>CONCATENATE("route-",VLOOKUP($D42,kong_p2_var!$B$10:$D$16,2,FALSE),"-",svc!$B41,"-",svc!I41)</f>
        <v>route-v804-v810-bes_acc_im009_fft_payment_and_billing</v>
      </c>
      <c r="I42" t="str">
        <f>CONCATENATE(VLOOKUP($D42,kong_p2_var!$B$20:$H$26,SUBSTITUTE(I$1,"target_","") + 1,FALSE),":",$E42)</f>
        <v>172.20.148.195:31209</v>
      </c>
      <c r="J42" t="str">
        <f>CONCATENATE(VLOOKUP($D42,kong_p2_var!$B$20:$H$26,SUBSTITUTE(J$1,"target_","") + 1,FALSE),":",$E42)</f>
        <v>172.20.148.196:31209</v>
      </c>
      <c r="K42" t="str">
        <f>CONCATENATE(VLOOKUP($D42,kong_p2_var!$B$20:$H$26,SUBSTITUTE(K$1,"target_","") + 1,FALSE),":",$E42)</f>
        <v>172.20.148.197:31209</v>
      </c>
      <c r="L42" t="str">
        <f>IF($C42="dmz","",CONCATENATE(VLOOKUP($D42,kong_p2_var!$B$20:$H$26,SUBSTITUTE(L$1,"target_","") + 1,FALSE),":",$E42))</f>
        <v>172.20.148.198:31209</v>
      </c>
      <c r="M42" t="str">
        <f>IF($C42="dmz","",CONCATENATE(VLOOKUP($D42,kong_p2_var!$B$20:$H$26,SUBSTITUTE(M$1,"target_","") + 1,FALSE),":",$E42))</f>
        <v>172.20.148.199:31209</v>
      </c>
      <c r="N42" t="str">
        <f>IF($C42="dmz","",CONCATENATE(VLOOKUP($D42,kong_p2_var!$B$20:$H$26,SUBSTITUTE(N$1,"target_","") + 1,FALSE),":",$E42))</f>
        <v>172.20.148.200:31209</v>
      </c>
      <c r="O42" t="str">
        <f>VLOOKUP($D42,kong_p2_var!$B$10:$D$16,3,FALSE)</f>
        <v>172.20.149.151</v>
      </c>
      <c r="P42" t="str">
        <f>CONCATENATE("/",C42,MID(D42,2,15),"/",svc!$I41)</f>
        <v>/trust810/bes_acc_im009_fft_payment_and_billing</v>
      </c>
      <c r="Q42" t="str">
        <f>VLOOKUP(C42,kong_p2_var!$B$6:$C$7,2,FALSE)</f>
        <v>http://172.20.148.160:8001</v>
      </c>
      <c r="R42" t="str">
        <f>SUBSTITUTE(SUBSTITUTE(kong_p2_var!$J$1,"&lt;upstream_name&gt;",$F42),"&lt;kong_api_url&gt;",$Q42)</f>
        <v>curl -X PUT http://172.20.148.160:8001/upstreams/ups-v810-bes_acc_im009_fft_payment_and_billing</v>
      </c>
      <c r="S42" t="str">
        <f>SUBSTITUTE(SUBSTITUTE(SUBSTITUTE(SUBSTITUTE(kong_p2_var!$J$2,"&lt;kong_api_url&gt;",$Q42),"&lt;upstream_name&gt;",$F42),"&lt;port&gt;",$E42),"&lt;service_name&gt;",$G42)</f>
        <v>curl -X PUT http://172.20.148.160:8001/services/svc-v810-bes_acc_im009_fft_payment_and_billing -H "Content-Type: application/json" -d '{"protocol":"http","host":"ups-v810-bes_acc_im009_fft_payment_and_billing","port":31209}'</v>
      </c>
      <c r="T42" t="str">
        <f>SUBSTITUTE(SUBSTITUTE(SUBSTITUTE(SUBSTITUTE(SUBSTITUTE(kong_p2_var!$J$3,"&lt;kong_api_url&gt;",$Q42),"&lt;route_name&gt;",$H42),"&lt;service_name&gt;",$G42),"&lt;host&gt;",$O42),"&lt;path&gt;",$P42)</f>
        <v>curl -X PUT http://172.20.148.160:8001/services/svc-v810-bes_acc_im009_fft_payment_and_billing/routes/route-v804-v810-bes_acc_im009_fft_payment_and_billing -H "Content-Type: application/json" -d '{"protocols":["http"],"hosts":["172.20.149.151"],"paths":["/trust810/bes_acc_im009_fft_payment_and_billing"]}'</v>
      </c>
      <c r="U42" t="str">
        <f t="shared" si="1"/>
        <v>curl -X POST http://172.20.148.160:8001/upstreams/ups-v810-bes_acc_im009_fft_payment_and_billing/targets -d 'target=172.20.148.195:31209'</v>
      </c>
      <c r="V42" t="str">
        <f t="shared" si="2"/>
        <v>curl -X POST http://172.20.148.160:8001/upstreams/ups-v810-bes_acc_im009_fft_payment_and_billing/targets -d 'target=172.20.148.196:31209'</v>
      </c>
      <c r="W42" t="str">
        <f t="shared" si="3"/>
        <v>curl -X POST http://172.20.148.160:8001/upstreams/ups-v810-bes_acc_im009_fft_payment_and_billing/targets -d 'target=172.20.148.197:31209'</v>
      </c>
      <c r="X42" t="str">
        <f t="shared" si="4"/>
        <v>curl -X POST http://172.20.148.160:8001/upstreams/ups-v810-bes_acc_im009_fft_payment_and_billing/targets -d 'target=172.20.148.198:31209'</v>
      </c>
      <c r="Y42" t="str">
        <f t="shared" si="5"/>
        <v>curl -X POST http://172.20.148.160:8001/upstreams/ups-v810-bes_acc_im009_fft_payment_and_billing/targets -d 'target=172.20.148.199:31209'</v>
      </c>
      <c r="Z42" t="str">
        <f t="shared" si="6"/>
        <v>curl -X POST http://172.20.148.160:8001/upstreams/ups-v810-bes_acc_im009_fft_payment_and_billing/targets -d 'target=172.20.148.200:31209'</v>
      </c>
    </row>
    <row r="43" spans="1:26">
      <c r="A43">
        <f>IF(ISNUMBER(SEARCH("rest_api",svc!R42)),1,0)</f>
        <v>1</v>
      </c>
      <c r="C43" t="str">
        <f>svc!D42</f>
        <v>trust</v>
      </c>
      <c r="D43" t="str">
        <f>svc!$B42</f>
        <v>v510</v>
      </c>
      <c r="E43">
        <f>svc!G42</f>
        <v>31210</v>
      </c>
      <c r="F43" t="str">
        <f>CONCATENATE("ups-",svc!$B42,"-",svc!I42)</f>
        <v>ups-v510-bes_acc_im010_fft_transaction</v>
      </c>
      <c r="G43" t="str">
        <f>CONCATENATE("svc-",svc!$B42,"-",svc!I42)</f>
        <v>svc-v510-bes_acc_im010_fft_transaction</v>
      </c>
      <c r="H43" t="str">
        <f>CONCATENATE("route-",VLOOKUP($D43,kong_p2_var!$B$10:$D$16,2,FALSE),"-",svc!$B42,"-",svc!I42)</f>
        <v>route-v504-v510-bes_acc_im010_fft_transaction</v>
      </c>
      <c r="I43" t="str">
        <f>CONCATENATE(VLOOKUP($D43,kong_p2_var!$B$20:$H$26,SUBSTITUTE(I$1,"target_","") + 1,FALSE),":",$E43)</f>
        <v>172.20.148.131:31210</v>
      </c>
      <c r="J43" t="str">
        <f>CONCATENATE(VLOOKUP($D43,kong_p2_var!$B$20:$H$26,SUBSTITUTE(J$1,"target_","") + 1,FALSE),":",$E43)</f>
        <v>172.20.148.132:31210</v>
      </c>
      <c r="K43" t="str">
        <f>CONCATENATE(VLOOKUP($D43,kong_p2_var!$B$20:$H$26,SUBSTITUTE(K$1,"target_","") + 1,FALSE),":",$E43)</f>
        <v>172.20.148.133:31210</v>
      </c>
      <c r="L43" t="str">
        <f>IF($C43="dmz","",CONCATENATE(VLOOKUP($D43,kong_p2_var!$B$20:$H$26,SUBSTITUTE(L$1,"target_","") + 1,FALSE),":",$E43))</f>
        <v>172.20.148.134:31210</v>
      </c>
      <c r="M43" t="str">
        <f>IF($C43="dmz","",CONCATENATE(VLOOKUP($D43,kong_p2_var!$B$20:$H$26,SUBSTITUTE(M$1,"target_","") + 1,FALSE),":",$E43))</f>
        <v>172.20.148.135:31210</v>
      </c>
      <c r="N43" t="str">
        <f>IF($C43="dmz","",CONCATENATE(VLOOKUP($D43,kong_p2_var!$B$20:$H$26,SUBSTITUTE(N$1,"target_","") + 1,FALSE),":",$E43))</f>
        <v>172.20.148.136:31210</v>
      </c>
      <c r="O43" t="str">
        <f>VLOOKUP($D43,kong_p2_var!$B$10:$D$16,3,FALSE)</f>
        <v>172.20.149.183</v>
      </c>
      <c r="P43" t="str">
        <f>CONCATENATE("/",C43,MID(D43,2,15),"/",svc!$I42)</f>
        <v>/trust510/bes_acc_im010_fft_transaction</v>
      </c>
      <c r="Q43" t="str">
        <f>VLOOKUP(C43,kong_p2_var!$B$6:$C$7,2,FALSE)</f>
        <v>http://172.20.148.160:8001</v>
      </c>
      <c r="R43" t="str">
        <f>SUBSTITUTE(SUBSTITUTE(kong_p2_var!$J$1,"&lt;upstream_name&gt;",$F43),"&lt;kong_api_url&gt;",$Q43)</f>
        <v>curl -X PUT http://172.20.148.160:8001/upstreams/ups-v510-bes_acc_im010_fft_transaction</v>
      </c>
      <c r="S43" t="str">
        <f>SUBSTITUTE(SUBSTITUTE(SUBSTITUTE(SUBSTITUTE(kong_p2_var!$J$2,"&lt;kong_api_url&gt;",$Q43),"&lt;upstream_name&gt;",$F43),"&lt;port&gt;",$E43),"&lt;service_name&gt;",$G43)</f>
        <v>curl -X PUT http://172.20.148.160:8001/services/svc-v510-bes_acc_im010_fft_transaction -H "Content-Type: application/json" -d '{"protocol":"http","host":"ups-v510-bes_acc_im010_fft_transaction","port":31210}'</v>
      </c>
      <c r="T43" t="str">
        <f>SUBSTITUTE(SUBSTITUTE(SUBSTITUTE(SUBSTITUTE(SUBSTITUTE(kong_p2_var!$J$3,"&lt;kong_api_url&gt;",$Q43),"&lt;route_name&gt;",$H43),"&lt;service_name&gt;",$G43),"&lt;host&gt;",$O43),"&lt;path&gt;",$P43)</f>
        <v>curl -X PUT http://172.20.148.160:8001/services/svc-v510-bes_acc_im010_fft_transaction/routes/route-v504-v510-bes_acc_im010_fft_transaction -H "Content-Type: application/json" -d '{"protocols":["http"],"hosts":["172.20.149.183"],"paths":["/trust510/bes_acc_im010_fft_transaction"]}'</v>
      </c>
      <c r="U43" t="str">
        <f t="shared" si="1"/>
        <v>curl -X POST http://172.20.148.160:8001/upstreams/ups-v510-bes_acc_im010_fft_transaction/targets -d 'target=172.20.148.131:31210'</v>
      </c>
      <c r="V43" t="str">
        <f t="shared" si="2"/>
        <v>curl -X POST http://172.20.148.160:8001/upstreams/ups-v510-bes_acc_im010_fft_transaction/targets -d 'target=172.20.148.132:31210'</v>
      </c>
      <c r="W43" t="str">
        <f t="shared" si="3"/>
        <v>curl -X POST http://172.20.148.160:8001/upstreams/ups-v510-bes_acc_im010_fft_transaction/targets -d 'target=172.20.148.133:31210'</v>
      </c>
      <c r="X43" t="str">
        <f t="shared" si="4"/>
        <v>curl -X POST http://172.20.148.160:8001/upstreams/ups-v510-bes_acc_im010_fft_transaction/targets -d 'target=172.20.148.134:31210'</v>
      </c>
      <c r="Y43" t="str">
        <f t="shared" si="5"/>
        <v>curl -X POST http://172.20.148.160:8001/upstreams/ups-v510-bes_acc_im010_fft_transaction/targets -d 'target=172.20.148.135:31210'</v>
      </c>
      <c r="Z43" t="str">
        <f t="shared" si="6"/>
        <v>curl -X POST http://172.20.148.160:8001/upstreams/ups-v510-bes_acc_im010_fft_transaction/targets -d 'target=172.20.148.136:31210'</v>
      </c>
    </row>
    <row r="44" spans="1:26">
      <c r="A44">
        <f>IF(ISNUMBER(SEARCH("rest_api",svc!R43)),1,0)</f>
        <v>1</v>
      </c>
      <c r="C44" t="str">
        <f>svc!D43</f>
        <v>trust</v>
      </c>
      <c r="D44" t="str">
        <f>svc!$B43</f>
        <v>v810</v>
      </c>
      <c r="E44">
        <f>svc!G43</f>
        <v>31210</v>
      </c>
      <c r="F44" t="str">
        <f>CONCATENATE("ups-",svc!$B43,"-",svc!I43)</f>
        <v>ups-v810-bes_acc_im010_fft_transaction</v>
      </c>
      <c r="G44" t="str">
        <f>CONCATENATE("svc-",svc!$B43,"-",svc!I43)</f>
        <v>svc-v810-bes_acc_im010_fft_transaction</v>
      </c>
      <c r="H44" t="str">
        <f>CONCATENATE("route-",VLOOKUP($D44,kong_p2_var!$B$10:$D$16,2,FALSE),"-",svc!$B43,"-",svc!I43)</f>
        <v>route-v804-v810-bes_acc_im010_fft_transaction</v>
      </c>
      <c r="I44" t="str">
        <f>CONCATENATE(VLOOKUP($D44,kong_p2_var!$B$20:$H$26,SUBSTITUTE(I$1,"target_","") + 1,FALSE),":",$E44)</f>
        <v>172.20.148.195:31210</v>
      </c>
      <c r="J44" t="str">
        <f>CONCATENATE(VLOOKUP($D44,kong_p2_var!$B$20:$H$26,SUBSTITUTE(J$1,"target_","") + 1,FALSE),":",$E44)</f>
        <v>172.20.148.196:31210</v>
      </c>
      <c r="K44" t="str">
        <f>CONCATENATE(VLOOKUP($D44,kong_p2_var!$B$20:$H$26,SUBSTITUTE(K$1,"target_","") + 1,FALSE),":",$E44)</f>
        <v>172.20.148.197:31210</v>
      </c>
      <c r="L44" t="str">
        <f>IF($C44="dmz","",CONCATENATE(VLOOKUP($D44,kong_p2_var!$B$20:$H$26,SUBSTITUTE(L$1,"target_","") + 1,FALSE),":",$E44))</f>
        <v>172.20.148.198:31210</v>
      </c>
      <c r="M44" t="str">
        <f>IF($C44="dmz","",CONCATENATE(VLOOKUP($D44,kong_p2_var!$B$20:$H$26,SUBSTITUTE(M$1,"target_","") + 1,FALSE),":",$E44))</f>
        <v>172.20.148.199:31210</v>
      </c>
      <c r="N44" t="str">
        <f>IF($C44="dmz","",CONCATENATE(VLOOKUP($D44,kong_p2_var!$B$20:$H$26,SUBSTITUTE(N$1,"target_","") + 1,FALSE),":",$E44))</f>
        <v>172.20.148.200:31210</v>
      </c>
      <c r="O44" t="str">
        <f>VLOOKUP($D44,kong_p2_var!$B$10:$D$16,3,FALSE)</f>
        <v>172.20.149.151</v>
      </c>
      <c r="P44" t="str">
        <f>CONCATENATE("/",C44,MID(D44,2,15),"/",svc!$I43)</f>
        <v>/trust810/bes_acc_im010_fft_transaction</v>
      </c>
      <c r="Q44" t="str">
        <f>VLOOKUP(C44,kong_p2_var!$B$6:$C$7,2,FALSE)</f>
        <v>http://172.20.148.160:8001</v>
      </c>
      <c r="R44" t="str">
        <f>SUBSTITUTE(SUBSTITUTE(kong_p2_var!$J$1,"&lt;upstream_name&gt;",$F44),"&lt;kong_api_url&gt;",$Q44)</f>
        <v>curl -X PUT http://172.20.148.160:8001/upstreams/ups-v810-bes_acc_im010_fft_transaction</v>
      </c>
      <c r="S44" t="str">
        <f>SUBSTITUTE(SUBSTITUTE(SUBSTITUTE(SUBSTITUTE(kong_p2_var!$J$2,"&lt;kong_api_url&gt;",$Q44),"&lt;upstream_name&gt;",$F44),"&lt;port&gt;",$E44),"&lt;service_name&gt;",$G44)</f>
        <v>curl -X PUT http://172.20.148.160:8001/services/svc-v810-bes_acc_im010_fft_transaction -H "Content-Type: application/json" -d '{"protocol":"http","host":"ups-v810-bes_acc_im010_fft_transaction","port":31210}'</v>
      </c>
      <c r="T44" t="str">
        <f>SUBSTITUTE(SUBSTITUTE(SUBSTITUTE(SUBSTITUTE(SUBSTITUTE(kong_p2_var!$J$3,"&lt;kong_api_url&gt;",$Q44),"&lt;route_name&gt;",$H44),"&lt;service_name&gt;",$G44),"&lt;host&gt;",$O44),"&lt;path&gt;",$P44)</f>
        <v>curl -X PUT http://172.20.148.160:8001/services/svc-v810-bes_acc_im010_fft_transaction/routes/route-v804-v810-bes_acc_im010_fft_transaction -H "Content-Type: application/json" -d '{"protocols":["http"],"hosts":["172.20.149.151"],"paths":["/trust810/bes_acc_im010_fft_transaction"]}'</v>
      </c>
      <c r="U44" t="str">
        <f t="shared" si="1"/>
        <v>curl -X POST http://172.20.148.160:8001/upstreams/ups-v810-bes_acc_im010_fft_transaction/targets -d 'target=172.20.148.195:31210'</v>
      </c>
      <c r="V44" t="str">
        <f t="shared" si="2"/>
        <v>curl -X POST http://172.20.148.160:8001/upstreams/ups-v810-bes_acc_im010_fft_transaction/targets -d 'target=172.20.148.196:31210'</v>
      </c>
      <c r="W44" t="str">
        <f t="shared" si="3"/>
        <v>curl -X POST http://172.20.148.160:8001/upstreams/ups-v810-bes_acc_im010_fft_transaction/targets -d 'target=172.20.148.197:31210'</v>
      </c>
      <c r="X44" t="str">
        <f t="shared" si="4"/>
        <v>curl -X POST http://172.20.148.160:8001/upstreams/ups-v810-bes_acc_im010_fft_transaction/targets -d 'target=172.20.148.198:31210'</v>
      </c>
      <c r="Y44" t="str">
        <f t="shared" si="5"/>
        <v>curl -X POST http://172.20.148.160:8001/upstreams/ups-v810-bes_acc_im010_fft_transaction/targets -d 'target=172.20.148.199:31210'</v>
      </c>
      <c r="Z44" t="str">
        <f t="shared" si="6"/>
        <v>curl -X POST http://172.20.148.160:8001/upstreams/ups-v810-bes_acc_im010_fft_transaction/targets -d 'target=172.20.148.200:31210'</v>
      </c>
    </row>
    <row r="45" spans="1:26">
      <c r="A45">
        <f>IF(ISNUMBER(SEARCH("rest_api",svc!R44)),1,0)</f>
        <v>1</v>
      </c>
      <c r="C45" t="str">
        <f>svc!D44</f>
        <v>trust</v>
      </c>
      <c r="D45" t="str">
        <f>svc!$B44</f>
        <v>v510</v>
      </c>
      <c r="E45">
        <f>svc!G44</f>
        <v>31212</v>
      </c>
      <c r="F45" t="str">
        <f>CONCATENATE("ups-",svc!$B44,"-",svc!I44)</f>
        <v>ups-v510-bes_acc_im011_ffts_toll_and_surcharge</v>
      </c>
      <c r="G45" t="str">
        <f>CONCATENATE("svc-",svc!$B44,"-",svc!I44)</f>
        <v>svc-v510-bes_acc_im011_ffts_toll_and_surcharge</v>
      </c>
      <c r="H45" t="str">
        <f>CONCATENATE("route-",VLOOKUP($D45,kong_p2_var!$B$10:$D$16,2,FALSE),"-",svc!$B44,"-",svc!I44)</f>
        <v>route-v504-v510-bes_acc_im011_ffts_toll_and_surcharge</v>
      </c>
      <c r="I45" t="str">
        <f>CONCATENATE(VLOOKUP($D45,kong_p2_var!$B$20:$H$26,SUBSTITUTE(I$1,"target_","") + 1,FALSE),":",$E45)</f>
        <v>172.20.148.131:31212</v>
      </c>
      <c r="J45" t="str">
        <f>CONCATENATE(VLOOKUP($D45,kong_p2_var!$B$20:$H$26,SUBSTITUTE(J$1,"target_","") + 1,FALSE),":",$E45)</f>
        <v>172.20.148.132:31212</v>
      </c>
      <c r="K45" t="str">
        <f>CONCATENATE(VLOOKUP($D45,kong_p2_var!$B$20:$H$26,SUBSTITUTE(K$1,"target_","") + 1,FALSE),":",$E45)</f>
        <v>172.20.148.133:31212</v>
      </c>
      <c r="L45" t="str">
        <f>IF($C45="dmz","",CONCATENATE(VLOOKUP($D45,kong_p2_var!$B$20:$H$26,SUBSTITUTE(L$1,"target_","") + 1,FALSE),":",$E45))</f>
        <v>172.20.148.134:31212</v>
      </c>
      <c r="M45" t="str">
        <f>IF($C45="dmz","",CONCATENATE(VLOOKUP($D45,kong_p2_var!$B$20:$H$26,SUBSTITUTE(M$1,"target_","") + 1,FALSE),":",$E45))</f>
        <v>172.20.148.135:31212</v>
      </c>
      <c r="N45" t="str">
        <f>IF($C45="dmz","",CONCATENATE(VLOOKUP($D45,kong_p2_var!$B$20:$H$26,SUBSTITUTE(N$1,"target_","") + 1,FALSE),":",$E45))</f>
        <v>172.20.148.136:31212</v>
      </c>
      <c r="O45" t="str">
        <f>VLOOKUP($D45,kong_p2_var!$B$10:$D$16,3,FALSE)</f>
        <v>172.20.149.183</v>
      </c>
      <c r="P45" t="str">
        <f>CONCATENATE("/",C45,MID(D45,2,15),"/",svc!$I44)</f>
        <v>/trust510/bes_acc_im011_ffts_toll_and_surcharge</v>
      </c>
      <c r="Q45" t="str">
        <f>VLOOKUP(C45,kong_p2_var!$B$6:$C$7,2,FALSE)</f>
        <v>http://172.20.148.160:8001</v>
      </c>
      <c r="R45" t="str">
        <f>SUBSTITUTE(SUBSTITUTE(kong_p2_var!$J$1,"&lt;upstream_name&gt;",$F45),"&lt;kong_api_url&gt;",$Q45)</f>
        <v>curl -X PUT http://172.20.148.160:8001/upstreams/ups-v510-bes_acc_im011_ffts_toll_and_surcharge</v>
      </c>
      <c r="S45" t="str">
        <f>SUBSTITUTE(SUBSTITUTE(SUBSTITUTE(SUBSTITUTE(kong_p2_var!$J$2,"&lt;kong_api_url&gt;",$Q45),"&lt;upstream_name&gt;",$F45),"&lt;port&gt;",$E45),"&lt;service_name&gt;",$G45)</f>
        <v>curl -X PUT http://172.20.148.160:8001/services/svc-v510-bes_acc_im011_ffts_toll_and_surcharge -H "Content-Type: application/json" -d '{"protocol":"http","host":"ups-v510-bes_acc_im011_ffts_toll_and_surcharge","port":31212}'</v>
      </c>
      <c r="T45" t="str">
        <f>SUBSTITUTE(SUBSTITUTE(SUBSTITUTE(SUBSTITUTE(SUBSTITUTE(kong_p2_var!$J$3,"&lt;kong_api_url&gt;",$Q45),"&lt;route_name&gt;",$H45),"&lt;service_name&gt;",$G45),"&lt;host&gt;",$O45),"&lt;path&gt;",$P45)</f>
        <v>curl -X PUT http://172.20.148.160:8001/services/svc-v510-bes_acc_im011_ffts_toll_and_surcharge/routes/route-v504-v510-bes_acc_im011_ffts_toll_and_surcharge -H "Content-Type: application/json" -d '{"protocols":["http"],"hosts":["172.20.149.183"],"paths":["/trust510/bes_acc_im011_ffts_toll_and_surcharge"]}'</v>
      </c>
      <c r="U45" t="str">
        <f t="shared" si="1"/>
        <v>curl -X POST http://172.20.148.160:8001/upstreams/ups-v510-bes_acc_im011_ffts_toll_and_surcharge/targets -d 'target=172.20.148.131:31212'</v>
      </c>
      <c r="V45" t="str">
        <f t="shared" si="2"/>
        <v>curl -X POST http://172.20.148.160:8001/upstreams/ups-v510-bes_acc_im011_ffts_toll_and_surcharge/targets -d 'target=172.20.148.132:31212'</v>
      </c>
      <c r="W45" t="str">
        <f t="shared" si="3"/>
        <v>curl -X POST http://172.20.148.160:8001/upstreams/ups-v510-bes_acc_im011_ffts_toll_and_surcharge/targets -d 'target=172.20.148.133:31212'</v>
      </c>
      <c r="X45" t="str">
        <f t="shared" si="4"/>
        <v>curl -X POST http://172.20.148.160:8001/upstreams/ups-v510-bes_acc_im011_ffts_toll_and_surcharge/targets -d 'target=172.20.148.134:31212'</v>
      </c>
      <c r="Y45" t="str">
        <f t="shared" si="5"/>
        <v>curl -X POST http://172.20.148.160:8001/upstreams/ups-v510-bes_acc_im011_ffts_toll_and_surcharge/targets -d 'target=172.20.148.135:31212'</v>
      </c>
      <c r="Z45" t="str">
        <f t="shared" si="6"/>
        <v>curl -X POST http://172.20.148.160:8001/upstreams/ups-v510-bes_acc_im011_ffts_toll_and_surcharge/targets -d 'target=172.20.148.136:31212'</v>
      </c>
    </row>
    <row r="46" spans="1:26">
      <c r="A46">
        <f>IF(ISNUMBER(SEARCH("rest_api",svc!R45)),1,0)</f>
        <v>1</v>
      </c>
      <c r="C46" t="str">
        <f>svc!D45</f>
        <v>trust</v>
      </c>
      <c r="D46" t="str">
        <f>svc!$B45</f>
        <v>v810</v>
      </c>
      <c r="E46">
        <f>svc!G45</f>
        <v>31212</v>
      </c>
      <c r="F46" t="str">
        <f>CONCATENATE("ups-",svc!$B45,"-",svc!I45)</f>
        <v>ups-v810-bes_acc_im011_ffts_toll_and_surcharge</v>
      </c>
      <c r="G46" t="str">
        <f>CONCATENATE("svc-",svc!$B45,"-",svc!I45)</f>
        <v>svc-v810-bes_acc_im011_ffts_toll_and_surcharge</v>
      </c>
      <c r="H46" t="str">
        <f>CONCATENATE("route-",VLOOKUP($D46,kong_p2_var!$B$10:$D$16,2,FALSE),"-",svc!$B45,"-",svc!I45)</f>
        <v>route-v804-v810-bes_acc_im011_ffts_toll_and_surcharge</v>
      </c>
      <c r="I46" t="str">
        <f>CONCATENATE(VLOOKUP($D46,kong_p2_var!$B$20:$H$26,SUBSTITUTE(I$1,"target_","") + 1,FALSE),":",$E46)</f>
        <v>172.20.148.195:31212</v>
      </c>
      <c r="J46" t="str">
        <f>CONCATENATE(VLOOKUP($D46,kong_p2_var!$B$20:$H$26,SUBSTITUTE(J$1,"target_","") + 1,FALSE),":",$E46)</f>
        <v>172.20.148.196:31212</v>
      </c>
      <c r="K46" t="str">
        <f>CONCATENATE(VLOOKUP($D46,kong_p2_var!$B$20:$H$26,SUBSTITUTE(K$1,"target_","") + 1,FALSE),":",$E46)</f>
        <v>172.20.148.197:31212</v>
      </c>
      <c r="L46" t="str">
        <f>IF($C46="dmz","",CONCATENATE(VLOOKUP($D46,kong_p2_var!$B$20:$H$26,SUBSTITUTE(L$1,"target_","") + 1,FALSE),":",$E46))</f>
        <v>172.20.148.198:31212</v>
      </c>
      <c r="M46" t="str">
        <f>IF($C46="dmz","",CONCATENATE(VLOOKUP($D46,kong_p2_var!$B$20:$H$26,SUBSTITUTE(M$1,"target_","") + 1,FALSE),":",$E46))</f>
        <v>172.20.148.199:31212</v>
      </c>
      <c r="N46" t="str">
        <f>IF($C46="dmz","",CONCATENATE(VLOOKUP($D46,kong_p2_var!$B$20:$H$26,SUBSTITUTE(N$1,"target_","") + 1,FALSE),":",$E46))</f>
        <v>172.20.148.200:31212</v>
      </c>
      <c r="O46" t="str">
        <f>VLOOKUP($D46,kong_p2_var!$B$10:$D$16,3,FALSE)</f>
        <v>172.20.149.151</v>
      </c>
      <c r="P46" t="str">
        <f>CONCATENATE("/",C46,MID(D46,2,15),"/",svc!$I45)</f>
        <v>/trust810/bes_acc_im011_ffts_toll_and_surcharge</v>
      </c>
      <c r="Q46" t="str">
        <f>VLOOKUP(C46,kong_p2_var!$B$6:$C$7,2,FALSE)</f>
        <v>http://172.20.148.160:8001</v>
      </c>
      <c r="R46" t="str">
        <f>SUBSTITUTE(SUBSTITUTE(kong_p2_var!$J$1,"&lt;upstream_name&gt;",$F46),"&lt;kong_api_url&gt;",$Q46)</f>
        <v>curl -X PUT http://172.20.148.160:8001/upstreams/ups-v810-bes_acc_im011_ffts_toll_and_surcharge</v>
      </c>
      <c r="S46" t="str">
        <f>SUBSTITUTE(SUBSTITUTE(SUBSTITUTE(SUBSTITUTE(kong_p2_var!$J$2,"&lt;kong_api_url&gt;",$Q46),"&lt;upstream_name&gt;",$F46),"&lt;port&gt;",$E46),"&lt;service_name&gt;",$G46)</f>
        <v>curl -X PUT http://172.20.148.160:8001/services/svc-v810-bes_acc_im011_ffts_toll_and_surcharge -H "Content-Type: application/json" -d '{"protocol":"http","host":"ups-v810-bes_acc_im011_ffts_toll_and_surcharge","port":31212}'</v>
      </c>
      <c r="T46" t="str">
        <f>SUBSTITUTE(SUBSTITUTE(SUBSTITUTE(SUBSTITUTE(SUBSTITUTE(kong_p2_var!$J$3,"&lt;kong_api_url&gt;",$Q46),"&lt;route_name&gt;",$H46),"&lt;service_name&gt;",$G46),"&lt;host&gt;",$O46),"&lt;path&gt;",$P46)</f>
        <v>curl -X PUT http://172.20.148.160:8001/services/svc-v810-bes_acc_im011_ffts_toll_and_surcharge/routes/route-v804-v810-bes_acc_im011_ffts_toll_and_surcharge -H "Content-Type: application/json" -d '{"protocols":["http"],"hosts":["172.20.149.151"],"paths":["/trust810/bes_acc_im011_ffts_toll_and_surcharge"]}'</v>
      </c>
      <c r="U46" t="str">
        <f t="shared" si="1"/>
        <v>curl -X POST http://172.20.148.160:8001/upstreams/ups-v810-bes_acc_im011_ffts_toll_and_surcharge/targets -d 'target=172.20.148.195:31212'</v>
      </c>
      <c r="V46" t="str">
        <f t="shared" si="2"/>
        <v>curl -X POST http://172.20.148.160:8001/upstreams/ups-v810-bes_acc_im011_ffts_toll_and_surcharge/targets -d 'target=172.20.148.196:31212'</v>
      </c>
      <c r="W46" t="str">
        <f t="shared" si="3"/>
        <v>curl -X POST http://172.20.148.160:8001/upstreams/ups-v810-bes_acc_im011_ffts_toll_and_surcharge/targets -d 'target=172.20.148.197:31212'</v>
      </c>
      <c r="X46" t="str">
        <f t="shared" si="4"/>
        <v>curl -X POST http://172.20.148.160:8001/upstreams/ups-v810-bes_acc_im011_ffts_toll_and_surcharge/targets -d 'target=172.20.148.198:31212'</v>
      </c>
      <c r="Y46" t="str">
        <f t="shared" si="5"/>
        <v>curl -X POST http://172.20.148.160:8001/upstreams/ups-v810-bes_acc_im011_ffts_toll_and_surcharge/targets -d 'target=172.20.148.199:31212'</v>
      </c>
      <c r="Z46" t="str">
        <f t="shared" si="6"/>
        <v>curl -X POST http://172.20.148.160:8001/upstreams/ups-v810-bes_acc_im011_ffts_toll_and_surcharge/targets -d 'target=172.20.148.200:31212'</v>
      </c>
    </row>
    <row r="47" spans="1:26">
      <c r="A47">
        <f>IF(ISNUMBER(SEARCH("rest_api",svc!R46)),1,0)</f>
        <v>1</v>
      </c>
      <c r="C47" t="str">
        <f>svc!D46</f>
        <v>trust</v>
      </c>
      <c r="D47" t="str">
        <f>svc!$B46</f>
        <v>v510</v>
      </c>
      <c r="E47">
        <f>svc!G46</f>
        <v>31215</v>
      </c>
      <c r="F47" t="str">
        <f>CONCATENATE("ups-",svc!$B46,"-",svc!I46)</f>
        <v>ups-v510-bes_acc_im012_ffts_account_history</v>
      </c>
      <c r="G47" t="str">
        <f>CONCATENATE("svc-",svc!$B46,"-",svc!I46)</f>
        <v>svc-v510-bes_acc_im012_ffts_account_history</v>
      </c>
      <c r="H47" t="str">
        <f>CONCATENATE("route-",VLOOKUP($D47,kong_p2_var!$B$10:$D$16,2,FALSE),"-",svc!$B46,"-",svc!I46)</f>
        <v>route-v504-v510-bes_acc_im012_ffts_account_history</v>
      </c>
      <c r="I47" t="str">
        <f>CONCATENATE(VLOOKUP($D47,kong_p2_var!$B$20:$H$26,SUBSTITUTE(I$1,"target_","") + 1,FALSE),":",$E47)</f>
        <v>172.20.148.131:31215</v>
      </c>
      <c r="J47" t="str">
        <f>CONCATENATE(VLOOKUP($D47,kong_p2_var!$B$20:$H$26,SUBSTITUTE(J$1,"target_","") + 1,FALSE),":",$E47)</f>
        <v>172.20.148.132:31215</v>
      </c>
      <c r="K47" t="str">
        <f>CONCATENATE(VLOOKUP($D47,kong_p2_var!$B$20:$H$26,SUBSTITUTE(K$1,"target_","") + 1,FALSE),":",$E47)</f>
        <v>172.20.148.133:31215</v>
      </c>
      <c r="L47" t="str">
        <f>IF($C47="dmz","",CONCATENATE(VLOOKUP($D47,kong_p2_var!$B$20:$H$26,SUBSTITUTE(L$1,"target_","") + 1,FALSE),":",$E47))</f>
        <v>172.20.148.134:31215</v>
      </c>
      <c r="M47" t="str">
        <f>IF($C47="dmz","",CONCATENATE(VLOOKUP($D47,kong_p2_var!$B$20:$H$26,SUBSTITUTE(M$1,"target_","") + 1,FALSE),":",$E47))</f>
        <v>172.20.148.135:31215</v>
      </c>
      <c r="N47" t="str">
        <f>IF($C47="dmz","",CONCATENATE(VLOOKUP($D47,kong_p2_var!$B$20:$H$26,SUBSTITUTE(N$1,"target_","") + 1,FALSE),":",$E47))</f>
        <v>172.20.148.136:31215</v>
      </c>
      <c r="O47" t="str">
        <f>VLOOKUP($D47,kong_p2_var!$B$10:$D$16,3,FALSE)</f>
        <v>172.20.149.183</v>
      </c>
      <c r="P47" t="str">
        <f>CONCATENATE("/",C47,MID(D47,2,15),"/",svc!$I46)</f>
        <v>/trust510/bes_acc_im012_ffts_account_history</v>
      </c>
      <c r="Q47" t="str">
        <f>VLOOKUP(C47,kong_p2_var!$B$6:$C$7,2,FALSE)</f>
        <v>http://172.20.148.160:8001</v>
      </c>
      <c r="R47" t="str">
        <f>SUBSTITUTE(SUBSTITUTE(kong_p2_var!$J$1,"&lt;upstream_name&gt;",$F47),"&lt;kong_api_url&gt;",$Q47)</f>
        <v>curl -X PUT http://172.20.148.160:8001/upstreams/ups-v510-bes_acc_im012_ffts_account_history</v>
      </c>
      <c r="S47" t="str">
        <f>SUBSTITUTE(SUBSTITUTE(SUBSTITUTE(SUBSTITUTE(kong_p2_var!$J$2,"&lt;kong_api_url&gt;",$Q47),"&lt;upstream_name&gt;",$F47),"&lt;port&gt;",$E47),"&lt;service_name&gt;",$G47)</f>
        <v>curl -X PUT http://172.20.148.160:8001/services/svc-v510-bes_acc_im012_ffts_account_history -H "Content-Type: application/json" -d '{"protocol":"http","host":"ups-v510-bes_acc_im012_ffts_account_history","port":31215}'</v>
      </c>
      <c r="T47" t="str">
        <f>SUBSTITUTE(SUBSTITUTE(SUBSTITUTE(SUBSTITUTE(SUBSTITUTE(kong_p2_var!$J$3,"&lt;kong_api_url&gt;",$Q47),"&lt;route_name&gt;",$H47),"&lt;service_name&gt;",$G47),"&lt;host&gt;",$O47),"&lt;path&gt;",$P47)</f>
        <v>curl -X PUT http://172.20.148.160:8001/services/svc-v510-bes_acc_im012_ffts_account_history/routes/route-v504-v510-bes_acc_im012_ffts_account_history -H "Content-Type: application/json" -d '{"protocols":["http"],"hosts":["172.20.149.183"],"paths":["/trust510/bes_acc_im012_ffts_account_history"]}'</v>
      </c>
      <c r="U47" t="str">
        <f t="shared" si="1"/>
        <v>curl -X POST http://172.20.148.160:8001/upstreams/ups-v510-bes_acc_im012_ffts_account_history/targets -d 'target=172.20.148.131:31215'</v>
      </c>
      <c r="V47" t="str">
        <f t="shared" si="2"/>
        <v>curl -X POST http://172.20.148.160:8001/upstreams/ups-v510-bes_acc_im012_ffts_account_history/targets -d 'target=172.20.148.132:31215'</v>
      </c>
      <c r="W47" t="str">
        <f t="shared" si="3"/>
        <v>curl -X POST http://172.20.148.160:8001/upstreams/ups-v510-bes_acc_im012_ffts_account_history/targets -d 'target=172.20.148.133:31215'</v>
      </c>
      <c r="X47" t="str">
        <f t="shared" si="4"/>
        <v>curl -X POST http://172.20.148.160:8001/upstreams/ups-v510-bes_acc_im012_ffts_account_history/targets -d 'target=172.20.148.134:31215'</v>
      </c>
      <c r="Y47" t="str">
        <f t="shared" si="5"/>
        <v>curl -X POST http://172.20.148.160:8001/upstreams/ups-v510-bes_acc_im012_ffts_account_history/targets -d 'target=172.20.148.135:31215'</v>
      </c>
      <c r="Z47" t="str">
        <f t="shared" si="6"/>
        <v>curl -X POST http://172.20.148.160:8001/upstreams/ups-v510-bes_acc_im012_ffts_account_history/targets -d 'target=172.20.148.136:31215'</v>
      </c>
    </row>
    <row r="48" spans="1:26">
      <c r="A48">
        <f>IF(ISNUMBER(SEARCH("rest_api",svc!R47)),1,0)</f>
        <v>1</v>
      </c>
      <c r="C48" t="str">
        <f>svc!D47</f>
        <v>trust</v>
      </c>
      <c r="D48" t="str">
        <f>svc!$B47</f>
        <v>v810</v>
      </c>
      <c r="E48">
        <f>svc!G47</f>
        <v>31215</v>
      </c>
      <c r="F48" t="str">
        <f>CONCATENATE("ups-",svc!$B47,"-",svc!I47)</f>
        <v>ups-v810-bes_acc_im012_ffts_account_history</v>
      </c>
      <c r="G48" t="str">
        <f>CONCATENATE("svc-",svc!$B47,"-",svc!I47)</f>
        <v>svc-v810-bes_acc_im012_ffts_account_history</v>
      </c>
      <c r="H48" t="str">
        <f>CONCATENATE("route-",VLOOKUP($D48,kong_p2_var!$B$10:$D$16,2,FALSE),"-",svc!$B47,"-",svc!I47)</f>
        <v>route-v804-v810-bes_acc_im012_ffts_account_history</v>
      </c>
      <c r="I48" t="str">
        <f>CONCATENATE(VLOOKUP($D48,kong_p2_var!$B$20:$H$26,SUBSTITUTE(I$1,"target_","") + 1,FALSE),":",$E48)</f>
        <v>172.20.148.195:31215</v>
      </c>
      <c r="J48" t="str">
        <f>CONCATENATE(VLOOKUP($D48,kong_p2_var!$B$20:$H$26,SUBSTITUTE(J$1,"target_","") + 1,FALSE),":",$E48)</f>
        <v>172.20.148.196:31215</v>
      </c>
      <c r="K48" t="str">
        <f>CONCATENATE(VLOOKUP($D48,kong_p2_var!$B$20:$H$26,SUBSTITUTE(K$1,"target_","") + 1,FALSE),":",$E48)</f>
        <v>172.20.148.197:31215</v>
      </c>
      <c r="L48" t="str">
        <f>IF($C48="dmz","",CONCATENATE(VLOOKUP($D48,kong_p2_var!$B$20:$H$26,SUBSTITUTE(L$1,"target_","") + 1,FALSE),":",$E48))</f>
        <v>172.20.148.198:31215</v>
      </c>
      <c r="M48" t="str">
        <f>IF($C48="dmz","",CONCATENATE(VLOOKUP($D48,kong_p2_var!$B$20:$H$26,SUBSTITUTE(M$1,"target_","") + 1,FALSE),":",$E48))</f>
        <v>172.20.148.199:31215</v>
      </c>
      <c r="N48" t="str">
        <f>IF($C48="dmz","",CONCATENATE(VLOOKUP($D48,kong_p2_var!$B$20:$H$26,SUBSTITUTE(N$1,"target_","") + 1,FALSE),":",$E48))</f>
        <v>172.20.148.200:31215</v>
      </c>
      <c r="O48" t="str">
        <f>VLOOKUP($D48,kong_p2_var!$B$10:$D$16,3,FALSE)</f>
        <v>172.20.149.151</v>
      </c>
      <c r="P48" t="str">
        <f>CONCATENATE("/",C48,MID(D48,2,15),"/",svc!$I47)</f>
        <v>/trust810/bes_acc_im012_ffts_account_history</v>
      </c>
      <c r="Q48" t="str">
        <f>VLOOKUP(C48,kong_p2_var!$B$6:$C$7,2,FALSE)</f>
        <v>http://172.20.148.160:8001</v>
      </c>
      <c r="R48" t="str">
        <f>SUBSTITUTE(SUBSTITUTE(kong_p2_var!$J$1,"&lt;upstream_name&gt;",$F48),"&lt;kong_api_url&gt;",$Q48)</f>
        <v>curl -X PUT http://172.20.148.160:8001/upstreams/ups-v810-bes_acc_im012_ffts_account_history</v>
      </c>
      <c r="S48" t="str">
        <f>SUBSTITUTE(SUBSTITUTE(SUBSTITUTE(SUBSTITUTE(kong_p2_var!$J$2,"&lt;kong_api_url&gt;",$Q48),"&lt;upstream_name&gt;",$F48),"&lt;port&gt;",$E48),"&lt;service_name&gt;",$G48)</f>
        <v>curl -X PUT http://172.20.148.160:8001/services/svc-v810-bes_acc_im012_ffts_account_history -H "Content-Type: application/json" -d '{"protocol":"http","host":"ups-v810-bes_acc_im012_ffts_account_history","port":31215}'</v>
      </c>
      <c r="T48" t="str">
        <f>SUBSTITUTE(SUBSTITUTE(SUBSTITUTE(SUBSTITUTE(SUBSTITUTE(kong_p2_var!$J$3,"&lt;kong_api_url&gt;",$Q48),"&lt;route_name&gt;",$H48),"&lt;service_name&gt;",$G48),"&lt;host&gt;",$O48),"&lt;path&gt;",$P48)</f>
        <v>curl -X PUT http://172.20.148.160:8001/services/svc-v810-bes_acc_im012_ffts_account_history/routes/route-v804-v810-bes_acc_im012_ffts_account_history -H "Content-Type: application/json" -d '{"protocols":["http"],"hosts":["172.20.149.151"],"paths":["/trust810/bes_acc_im012_ffts_account_history"]}'</v>
      </c>
      <c r="U48" t="str">
        <f t="shared" si="1"/>
        <v>curl -X POST http://172.20.148.160:8001/upstreams/ups-v810-bes_acc_im012_ffts_account_history/targets -d 'target=172.20.148.195:31215'</v>
      </c>
      <c r="V48" t="str">
        <f t="shared" si="2"/>
        <v>curl -X POST http://172.20.148.160:8001/upstreams/ups-v810-bes_acc_im012_ffts_account_history/targets -d 'target=172.20.148.196:31215'</v>
      </c>
      <c r="W48" t="str">
        <f t="shared" si="3"/>
        <v>curl -X POST http://172.20.148.160:8001/upstreams/ups-v810-bes_acc_im012_ffts_account_history/targets -d 'target=172.20.148.197:31215'</v>
      </c>
      <c r="X48" t="str">
        <f t="shared" si="4"/>
        <v>curl -X POST http://172.20.148.160:8001/upstreams/ups-v810-bes_acc_im012_ffts_account_history/targets -d 'target=172.20.148.198:31215'</v>
      </c>
      <c r="Y48" t="str">
        <f t="shared" si="5"/>
        <v>curl -X POST http://172.20.148.160:8001/upstreams/ups-v810-bes_acc_im012_ffts_account_history/targets -d 'target=172.20.148.199:31215'</v>
      </c>
      <c r="Z48" t="str">
        <f t="shared" si="6"/>
        <v>curl -X POST http://172.20.148.160:8001/upstreams/ups-v810-bes_acc_im012_ffts_account_history/targets -d 'target=172.20.148.200:31215'</v>
      </c>
    </row>
    <row r="49" spans="1:26">
      <c r="A49">
        <f>IF(ISNUMBER(SEARCH("rest_api",svc!R48)),1,0)</f>
        <v>1</v>
      </c>
      <c r="C49" t="str">
        <f>svc!D48</f>
        <v>trust</v>
      </c>
      <c r="D49" t="str">
        <f>svc!$B48</f>
        <v>v510</v>
      </c>
      <c r="E49">
        <f>svc!G48</f>
        <v>31214</v>
      </c>
      <c r="F49" t="str">
        <f>CONCATENATE("ups-",svc!$B48,"-",svc!I48)</f>
        <v>ups-v510-bes_acc_im013_ffts_performance_monitoring</v>
      </c>
      <c r="G49" t="str">
        <f>CONCATENATE("svc-",svc!$B48,"-",svc!I48)</f>
        <v>svc-v510-bes_acc_im013_ffts_performance_monitoring</v>
      </c>
      <c r="H49" t="str">
        <f>CONCATENATE("route-",VLOOKUP($D49,kong_p2_var!$B$10:$D$16,2,FALSE),"-",svc!$B48,"-",svc!I48)</f>
        <v>route-v504-v510-bes_acc_im013_ffts_performance_monitoring</v>
      </c>
      <c r="I49" t="str">
        <f>CONCATENATE(VLOOKUP($D49,kong_p2_var!$B$20:$H$26,SUBSTITUTE(I$1,"target_","") + 1,FALSE),":",$E49)</f>
        <v>172.20.148.131:31214</v>
      </c>
      <c r="J49" t="str">
        <f>CONCATENATE(VLOOKUP($D49,kong_p2_var!$B$20:$H$26,SUBSTITUTE(J$1,"target_","") + 1,FALSE),":",$E49)</f>
        <v>172.20.148.132:31214</v>
      </c>
      <c r="K49" t="str">
        <f>CONCATENATE(VLOOKUP($D49,kong_p2_var!$B$20:$H$26,SUBSTITUTE(K$1,"target_","") + 1,FALSE),":",$E49)</f>
        <v>172.20.148.133:31214</v>
      </c>
      <c r="L49" t="str">
        <f>IF($C49="dmz","",CONCATENATE(VLOOKUP($D49,kong_p2_var!$B$20:$H$26,SUBSTITUTE(L$1,"target_","") + 1,FALSE),":",$E49))</f>
        <v>172.20.148.134:31214</v>
      </c>
      <c r="M49" t="str">
        <f>IF($C49="dmz","",CONCATENATE(VLOOKUP($D49,kong_p2_var!$B$20:$H$26,SUBSTITUTE(M$1,"target_","") + 1,FALSE),":",$E49))</f>
        <v>172.20.148.135:31214</v>
      </c>
      <c r="N49" t="str">
        <f>IF($C49="dmz","",CONCATENATE(VLOOKUP($D49,kong_p2_var!$B$20:$H$26,SUBSTITUTE(N$1,"target_","") + 1,FALSE),":",$E49))</f>
        <v>172.20.148.136:31214</v>
      </c>
      <c r="O49" t="str">
        <f>VLOOKUP($D49,kong_p2_var!$B$10:$D$16,3,FALSE)</f>
        <v>172.20.149.183</v>
      </c>
      <c r="P49" t="str">
        <f>CONCATENATE("/",C49,MID(D49,2,15),"/",svc!$I48)</f>
        <v>/trust510/bes_acc_im013_ffts_performance_monitoring</v>
      </c>
      <c r="Q49" t="str">
        <f>VLOOKUP(C49,kong_p2_var!$B$6:$C$7,2,FALSE)</f>
        <v>http://172.20.148.160:8001</v>
      </c>
      <c r="R49" t="str">
        <f>SUBSTITUTE(SUBSTITUTE(kong_p2_var!$J$1,"&lt;upstream_name&gt;",$F49),"&lt;kong_api_url&gt;",$Q49)</f>
        <v>curl -X PUT http://172.20.148.160:8001/upstreams/ups-v510-bes_acc_im013_ffts_performance_monitoring</v>
      </c>
      <c r="S49" t="str">
        <f>SUBSTITUTE(SUBSTITUTE(SUBSTITUTE(SUBSTITUTE(kong_p2_var!$J$2,"&lt;kong_api_url&gt;",$Q49),"&lt;upstream_name&gt;",$F49),"&lt;port&gt;",$E49),"&lt;service_name&gt;",$G49)</f>
        <v>curl -X PUT http://172.20.148.160:8001/services/svc-v510-bes_acc_im013_ffts_performance_monitoring -H "Content-Type: application/json" -d '{"protocol":"http","host":"ups-v510-bes_acc_im013_ffts_performance_monitoring","port":31214}'</v>
      </c>
      <c r="T49" t="str">
        <f>SUBSTITUTE(SUBSTITUTE(SUBSTITUTE(SUBSTITUTE(SUBSTITUTE(kong_p2_var!$J$3,"&lt;kong_api_url&gt;",$Q49),"&lt;route_name&gt;",$H49),"&lt;service_name&gt;",$G49),"&lt;host&gt;",$O49),"&lt;path&gt;",$P49)</f>
        <v>curl -X PUT http://172.20.148.160:8001/services/svc-v510-bes_acc_im013_ffts_performance_monitoring/routes/route-v504-v510-bes_acc_im013_ffts_performance_monitoring -H "Content-Type: application/json" -d '{"protocols":["http"],"hosts":["172.20.149.183"],"paths":["/trust510/bes_acc_im013_ffts_performance_monitoring"]}'</v>
      </c>
      <c r="U49" t="str">
        <f t="shared" si="1"/>
        <v>curl -X POST http://172.20.148.160:8001/upstreams/ups-v510-bes_acc_im013_ffts_performance_monitoring/targets -d 'target=172.20.148.131:31214'</v>
      </c>
      <c r="V49" t="str">
        <f t="shared" si="2"/>
        <v>curl -X POST http://172.20.148.160:8001/upstreams/ups-v510-bes_acc_im013_ffts_performance_monitoring/targets -d 'target=172.20.148.132:31214'</v>
      </c>
      <c r="W49" t="str">
        <f t="shared" si="3"/>
        <v>curl -X POST http://172.20.148.160:8001/upstreams/ups-v510-bes_acc_im013_ffts_performance_monitoring/targets -d 'target=172.20.148.133:31214'</v>
      </c>
      <c r="X49" t="str">
        <f t="shared" si="4"/>
        <v>curl -X POST http://172.20.148.160:8001/upstreams/ups-v510-bes_acc_im013_ffts_performance_monitoring/targets -d 'target=172.20.148.134:31214'</v>
      </c>
      <c r="Y49" t="str">
        <f t="shared" si="5"/>
        <v>curl -X POST http://172.20.148.160:8001/upstreams/ups-v510-bes_acc_im013_ffts_performance_monitoring/targets -d 'target=172.20.148.135:31214'</v>
      </c>
      <c r="Z49" t="str">
        <f t="shared" si="6"/>
        <v>curl -X POST http://172.20.148.160:8001/upstreams/ups-v510-bes_acc_im013_ffts_performance_monitoring/targets -d 'target=172.20.148.136:31214'</v>
      </c>
    </row>
    <row r="50" spans="1:26">
      <c r="A50">
        <f>IF(ISNUMBER(SEARCH("rest_api",svc!R49)),1,0)</f>
        <v>1</v>
      </c>
      <c r="C50" t="str">
        <f>svc!D49</f>
        <v>trust</v>
      </c>
      <c r="D50" t="str">
        <f>svc!$B49</f>
        <v>v810</v>
      </c>
      <c r="E50">
        <f>svc!G49</f>
        <v>31214</v>
      </c>
      <c r="F50" t="str">
        <f>CONCATENATE("ups-",svc!$B49,"-",svc!I49)</f>
        <v>ups-v810-bes_acc_im013_ffts_performance_monitoring</v>
      </c>
      <c r="G50" t="str">
        <f>CONCATENATE("svc-",svc!$B49,"-",svc!I49)</f>
        <v>svc-v810-bes_acc_im013_ffts_performance_monitoring</v>
      </c>
      <c r="H50" t="str">
        <f>CONCATENATE("route-",VLOOKUP($D50,kong_p2_var!$B$10:$D$16,2,FALSE),"-",svc!$B49,"-",svc!I49)</f>
        <v>route-v804-v810-bes_acc_im013_ffts_performance_monitoring</v>
      </c>
      <c r="I50" t="str">
        <f>CONCATENATE(VLOOKUP($D50,kong_p2_var!$B$20:$H$26,SUBSTITUTE(I$1,"target_","") + 1,FALSE),":",$E50)</f>
        <v>172.20.148.195:31214</v>
      </c>
      <c r="J50" t="str">
        <f>CONCATENATE(VLOOKUP($D50,kong_p2_var!$B$20:$H$26,SUBSTITUTE(J$1,"target_","") + 1,FALSE),":",$E50)</f>
        <v>172.20.148.196:31214</v>
      </c>
      <c r="K50" t="str">
        <f>CONCATENATE(VLOOKUP($D50,kong_p2_var!$B$20:$H$26,SUBSTITUTE(K$1,"target_","") + 1,FALSE),":",$E50)</f>
        <v>172.20.148.197:31214</v>
      </c>
      <c r="L50" t="str">
        <f>IF($C50="dmz","",CONCATENATE(VLOOKUP($D50,kong_p2_var!$B$20:$H$26,SUBSTITUTE(L$1,"target_","") + 1,FALSE),":",$E50))</f>
        <v>172.20.148.198:31214</v>
      </c>
      <c r="M50" t="str">
        <f>IF($C50="dmz","",CONCATENATE(VLOOKUP($D50,kong_p2_var!$B$20:$H$26,SUBSTITUTE(M$1,"target_","") + 1,FALSE),":",$E50))</f>
        <v>172.20.148.199:31214</v>
      </c>
      <c r="N50" t="str">
        <f>IF($C50="dmz","",CONCATENATE(VLOOKUP($D50,kong_p2_var!$B$20:$H$26,SUBSTITUTE(N$1,"target_","") + 1,FALSE),":",$E50))</f>
        <v>172.20.148.200:31214</v>
      </c>
      <c r="O50" t="str">
        <f>VLOOKUP($D50,kong_p2_var!$B$10:$D$16,3,FALSE)</f>
        <v>172.20.149.151</v>
      </c>
      <c r="P50" t="str">
        <f>CONCATENATE("/",C50,MID(D50,2,15),"/",svc!$I49)</f>
        <v>/trust810/bes_acc_im013_ffts_performance_monitoring</v>
      </c>
      <c r="Q50" t="str">
        <f>VLOOKUP(C50,kong_p2_var!$B$6:$C$7,2,FALSE)</f>
        <v>http://172.20.148.160:8001</v>
      </c>
      <c r="R50" t="str">
        <f>SUBSTITUTE(SUBSTITUTE(kong_p2_var!$J$1,"&lt;upstream_name&gt;",$F50),"&lt;kong_api_url&gt;",$Q50)</f>
        <v>curl -X PUT http://172.20.148.160:8001/upstreams/ups-v810-bes_acc_im013_ffts_performance_monitoring</v>
      </c>
      <c r="S50" t="str">
        <f>SUBSTITUTE(SUBSTITUTE(SUBSTITUTE(SUBSTITUTE(kong_p2_var!$J$2,"&lt;kong_api_url&gt;",$Q50),"&lt;upstream_name&gt;",$F50),"&lt;port&gt;",$E50),"&lt;service_name&gt;",$G50)</f>
        <v>curl -X PUT http://172.20.148.160:8001/services/svc-v810-bes_acc_im013_ffts_performance_monitoring -H "Content-Type: application/json" -d '{"protocol":"http","host":"ups-v810-bes_acc_im013_ffts_performance_monitoring","port":31214}'</v>
      </c>
      <c r="T50" t="str">
        <f>SUBSTITUTE(SUBSTITUTE(SUBSTITUTE(SUBSTITUTE(SUBSTITUTE(kong_p2_var!$J$3,"&lt;kong_api_url&gt;",$Q50),"&lt;route_name&gt;",$H50),"&lt;service_name&gt;",$G50),"&lt;host&gt;",$O50),"&lt;path&gt;",$P50)</f>
        <v>curl -X PUT http://172.20.148.160:8001/services/svc-v810-bes_acc_im013_ffts_performance_monitoring/routes/route-v804-v810-bes_acc_im013_ffts_performance_monitoring -H "Content-Type: application/json" -d '{"protocols":["http"],"hosts":["172.20.149.151"],"paths":["/trust810/bes_acc_im013_ffts_performance_monitoring"]}'</v>
      </c>
      <c r="U50" t="str">
        <f t="shared" si="1"/>
        <v>curl -X POST http://172.20.148.160:8001/upstreams/ups-v810-bes_acc_im013_ffts_performance_monitoring/targets -d 'target=172.20.148.195:31214'</v>
      </c>
      <c r="V50" t="str">
        <f t="shared" si="2"/>
        <v>curl -X POST http://172.20.148.160:8001/upstreams/ups-v810-bes_acc_im013_ffts_performance_monitoring/targets -d 'target=172.20.148.196:31214'</v>
      </c>
      <c r="W50" t="str">
        <f t="shared" si="3"/>
        <v>curl -X POST http://172.20.148.160:8001/upstreams/ups-v810-bes_acc_im013_ffts_performance_monitoring/targets -d 'target=172.20.148.197:31214'</v>
      </c>
      <c r="X50" t="str">
        <f t="shared" si="4"/>
        <v>curl -X POST http://172.20.148.160:8001/upstreams/ups-v810-bes_acc_im013_ffts_performance_monitoring/targets -d 'target=172.20.148.198:31214'</v>
      </c>
      <c r="Y50" t="str">
        <f t="shared" si="5"/>
        <v>curl -X POST http://172.20.148.160:8001/upstreams/ups-v810-bes_acc_im013_ffts_performance_monitoring/targets -d 'target=172.20.148.199:31214'</v>
      </c>
      <c r="Z50" t="str">
        <f t="shared" si="6"/>
        <v>curl -X POST http://172.20.148.160:8001/upstreams/ups-v810-bes_acc_im013_ffts_performance_monitoring/targets -d 'target=172.20.148.200:31214'</v>
      </c>
    </row>
    <row r="51" spans="1:26">
      <c r="A51">
        <f>IF(ISNUMBER(SEARCH("rest_api",svc!R50)),1,0)</f>
        <v>1</v>
      </c>
      <c r="C51" t="str">
        <f>svc!D50</f>
        <v>trust</v>
      </c>
      <c r="D51" t="str">
        <f>svc!$B50</f>
        <v>v510</v>
      </c>
      <c r="E51">
        <f>svc!G50</f>
        <v>31311</v>
      </c>
      <c r="F51" t="str">
        <f>CONCATENATE("ups-",svc!$B50,"-",svc!I50)</f>
        <v>ups-v510-bes_ccs</v>
      </c>
      <c r="G51" t="str">
        <f>CONCATENATE("svc-",svc!$B50,"-",svc!I50)</f>
        <v>svc-v510-bes_ccs</v>
      </c>
      <c r="H51" t="str">
        <f>CONCATENATE("route-",VLOOKUP($D51,kong_p2_var!$B$10:$D$16,2,FALSE),"-",svc!$B50,"-",svc!I50)</f>
        <v>route-v504-v510-bes_ccs</v>
      </c>
      <c r="I51" t="str">
        <f>CONCATENATE(VLOOKUP($D51,kong_p2_var!$B$20:$H$26,SUBSTITUTE(I$1,"target_","") + 1,FALSE),":",$E51)</f>
        <v>172.20.148.131:31311</v>
      </c>
      <c r="J51" t="str">
        <f>CONCATENATE(VLOOKUP($D51,kong_p2_var!$B$20:$H$26,SUBSTITUTE(J$1,"target_","") + 1,FALSE),":",$E51)</f>
        <v>172.20.148.132:31311</v>
      </c>
      <c r="K51" t="str">
        <f>CONCATENATE(VLOOKUP($D51,kong_p2_var!$B$20:$H$26,SUBSTITUTE(K$1,"target_","") + 1,FALSE),":",$E51)</f>
        <v>172.20.148.133:31311</v>
      </c>
      <c r="L51" t="str">
        <f>IF($C51="dmz","",CONCATENATE(VLOOKUP($D51,kong_p2_var!$B$20:$H$26,SUBSTITUTE(L$1,"target_","") + 1,FALSE),":",$E51))</f>
        <v>172.20.148.134:31311</v>
      </c>
      <c r="M51" t="str">
        <f>IF($C51="dmz","",CONCATENATE(VLOOKUP($D51,kong_p2_var!$B$20:$H$26,SUBSTITUTE(M$1,"target_","") + 1,FALSE),":",$E51))</f>
        <v>172.20.148.135:31311</v>
      </c>
      <c r="N51" t="str">
        <f>IF($C51="dmz","",CONCATENATE(VLOOKUP($D51,kong_p2_var!$B$20:$H$26,SUBSTITUTE(N$1,"target_","") + 1,FALSE),":",$E51))</f>
        <v>172.20.148.136:31311</v>
      </c>
      <c r="O51" t="str">
        <f>VLOOKUP($D51,kong_p2_var!$B$10:$D$16,3,FALSE)</f>
        <v>172.20.149.183</v>
      </c>
      <c r="P51" t="str">
        <f>CONCATENATE("/",C51,MID(D51,2,15),"/",svc!$I50)</f>
        <v>/trust510/bes_ccs</v>
      </c>
      <c r="Q51" t="str">
        <f>VLOOKUP(C51,kong_p2_var!$B$6:$C$7,2,FALSE)</f>
        <v>http://172.20.148.160:8001</v>
      </c>
      <c r="R51" t="str">
        <f>SUBSTITUTE(SUBSTITUTE(kong_p2_var!$J$1,"&lt;upstream_name&gt;",$F51),"&lt;kong_api_url&gt;",$Q51)</f>
        <v>curl -X PUT http://172.20.148.160:8001/upstreams/ups-v510-bes_ccs</v>
      </c>
      <c r="S51" t="str">
        <f>SUBSTITUTE(SUBSTITUTE(SUBSTITUTE(SUBSTITUTE(kong_p2_var!$J$2,"&lt;kong_api_url&gt;",$Q51),"&lt;upstream_name&gt;",$F51),"&lt;port&gt;",$E51),"&lt;service_name&gt;",$G51)</f>
        <v>curl -X PUT http://172.20.148.160:8001/services/svc-v510-bes_ccs -H "Content-Type: application/json" -d '{"protocol":"http","host":"ups-v510-bes_ccs","port":31311}'</v>
      </c>
      <c r="T51" t="str">
        <f>SUBSTITUTE(SUBSTITUTE(SUBSTITUTE(SUBSTITUTE(SUBSTITUTE(kong_p2_var!$J$3,"&lt;kong_api_url&gt;",$Q51),"&lt;route_name&gt;",$H51),"&lt;service_name&gt;",$G51),"&lt;host&gt;",$O51),"&lt;path&gt;",$P51)</f>
        <v>curl -X PUT http://172.20.148.160:8001/services/svc-v510-bes_ccs/routes/route-v504-v510-bes_ccs -H "Content-Type: application/json" -d '{"protocols":["http"],"hosts":["172.20.149.183"],"paths":["/trust510/bes_ccs"]}'</v>
      </c>
      <c r="U51" t="str">
        <f t="shared" si="1"/>
        <v>curl -X POST http://172.20.148.160:8001/upstreams/ups-v510-bes_ccs/targets -d 'target=172.20.148.131:31311'</v>
      </c>
      <c r="V51" t="str">
        <f t="shared" si="2"/>
        <v>curl -X POST http://172.20.148.160:8001/upstreams/ups-v510-bes_ccs/targets -d 'target=172.20.148.132:31311'</v>
      </c>
      <c r="W51" t="str">
        <f t="shared" si="3"/>
        <v>curl -X POST http://172.20.148.160:8001/upstreams/ups-v510-bes_ccs/targets -d 'target=172.20.148.133:31311'</v>
      </c>
      <c r="X51" t="str">
        <f t="shared" si="4"/>
        <v>curl -X POST http://172.20.148.160:8001/upstreams/ups-v510-bes_ccs/targets -d 'target=172.20.148.134:31311'</v>
      </c>
      <c r="Y51" t="str">
        <f t="shared" si="5"/>
        <v>curl -X POST http://172.20.148.160:8001/upstreams/ups-v510-bes_ccs/targets -d 'target=172.20.148.135:31311'</v>
      </c>
      <c r="Z51" t="str">
        <f t="shared" si="6"/>
        <v>curl -X POST http://172.20.148.160:8001/upstreams/ups-v510-bes_ccs/targets -d 'target=172.20.148.136:31311'</v>
      </c>
    </row>
    <row r="52" spans="1:26">
      <c r="A52">
        <f>IF(ISNUMBER(SEARCH("rest_api",svc!R51)),1,0)</f>
        <v>1</v>
      </c>
      <c r="C52" t="str">
        <f>svc!D51</f>
        <v>trust</v>
      </c>
      <c r="D52" t="str">
        <f>svc!$B51</f>
        <v>v510</v>
      </c>
      <c r="E52">
        <f>svc!G51</f>
        <v>31301</v>
      </c>
      <c r="F52" t="str">
        <f>CONCATENATE("ups-",svc!$B51,"-",svc!I51)</f>
        <v>ups-v510-bes_cre_im001_tokenization</v>
      </c>
      <c r="G52" t="str">
        <f>CONCATENATE("svc-",svc!$B51,"-",svc!I51)</f>
        <v>svc-v510-bes_cre_im001_tokenization</v>
      </c>
      <c r="H52" t="str">
        <f>CONCATENATE("route-",VLOOKUP($D52,kong_p2_var!$B$10:$D$16,2,FALSE),"-",svc!$B51,"-",svc!I51)</f>
        <v>route-v504-v510-bes_cre_im001_tokenization</v>
      </c>
      <c r="I52" t="str">
        <f>CONCATENATE(VLOOKUP($D52,kong_p2_var!$B$20:$H$26,SUBSTITUTE(I$1,"target_","") + 1,FALSE),":",$E52)</f>
        <v>172.20.148.131:31301</v>
      </c>
      <c r="J52" t="str">
        <f>CONCATENATE(VLOOKUP($D52,kong_p2_var!$B$20:$H$26,SUBSTITUTE(J$1,"target_","") + 1,FALSE),":",$E52)</f>
        <v>172.20.148.132:31301</v>
      </c>
      <c r="K52" t="str">
        <f>CONCATENATE(VLOOKUP($D52,kong_p2_var!$B$20:$H$26,SUBSTITUTE(K$1,"target_","") + 1,FALSE),":",$E52)</f>
        <v>172.20.148.133:31301</v>
      </c>
      <c r="L52" t="str">
        <f>IF($C52="dmz","",CONCATENATE(VLOOKUP($D52,kong_p2_var!$B$20:$H$26,SUBSTITUTE(L$1,"target_","") + 1,FALSE),":",$E52))</f>
        <v>172.20.148.134:31301</v>
      </c>
      <c r="M52" t="str">
        <f>IF($C52="dmz","",CONCATENATE(VLOOKUP($D52,kong_p2_var!$B$20:$H$26,SUBSTITUTE(M$1,"target_","") + 1,FALSE),":",$E52))</f>
        <v>172.20.148.135:31301</v>
      </c>
      <c r="N52" t="str">
        <f>IF($C52="dmz","",CONCATENATE(VLOOKUP($D52,kong_p2_var!$B$20:$H$26,SUBSTITUTE(N$1,"target_","") + 1,FALSE),":",$E52))</f>
        <v>172.20.148.136:31301</v>
      </c>
      <c r="O52" t="str">
        <f>VLOOKUP($D52,kong_p2_var!$B$10:$D$16,3,FALSE)</f>
        <v>172.20.149.183</v>
      </c>
      <c r="P52" t="str">
        <f>CONCATENATE("/",C52,MID(D52,2,15),"/",svc!$I51)</f>
        <v>/trust510/bes_cre_im001_tokenization</v>
      </c>
      <c r="Q52" t="str">
        <f>VLOOKUP(C52,kong_p2_var!$B$6:$C$7,2,FALSE)</f>
        <v>http://172.20.148.160:8001</v>
      </c>
      <c r="R52" t="str">
        <f>SUBSTITUTE(SUBSTITUTE(kong_p2_var!$J$1,"&lt;upstream_name&gt;",$F52),"&lt;kong_api_url&gt;",$Q52)</f>
        <v>curl -X PUT http://172.20.148.160:8001/upstreams/ups-v510-bes_cre_im001_tokenization</v>
      </c>
      <c r="S52" t="str">
        <f>SUBSTITUTE(SUBSTITUTE(SUBSTITUTE(SUBSTITUTE(kong_p2_var!$J$2,"&lt;kong_api_url&gt;",$Q52),"&lt;upstream_name&gt;",$F52),"&lt;port&gt;",$E52),"&lt;service_name&gt;",$G52)</f>
        <v>curl -X PUT http://172.20.148.160:8001/services/svc-v510-bes_cre_im001_tokenization -H "Content-Type: application/json" -d '{"protocol":"http","host":"ups-v510-bes_cre_im001_tokenization","port":31301}'</v>
      </c>
      <c r="T52" t="str">
        <f>SUBSTITUTE(SUBSTITUTE(SUBSTITUTE(SUBSTITUTE(SUBSTITUTE(kong_p2_var!$J$3,"&lt;kong_api_url&gt;",$Q52),"&lt;route_name&gt;",$H52),"&lt;service_name&gt;",$G52),"&lt;host&gt;",$O52),"&lt;path&gt;",$P52)</f>
        <v>curl -X PUT http://172.20.148.160:8001/services/svc-v510-bes_cre_im001_tokenization/routes/route-v504-v510-bes_cre_im001_tokenization -H "Content-Type: application/json" -d '{"protocols":["http"],"hosts":["172.20.149.183"],"paths":["/trust510/bes_cre_im001_tokenization"]}'</v>
      </c>
      <c r="U52" t="str">
        <f t="shared" si="1"/>
        <v>curl -X POST http://172.20.148.160:8001/upstreams/ups-v510-bes_cre_im001_tokenization/targets -d 'target=172.20.148.131:31301'</v>
      </c>
      <c r="V52" t="str">
        <f t="shared" si="2"/>
        <v>curl -X POST http://172.20.148.160:8001/upstreams/ups-v510-bes_cre_im001_tokenization/targets -d 'target=172.20.148.132:31301'</v>
      </c>
      <c r="W52" t="str">
        <f t="shared" si="3"/>
        <v>curl -X POST http://172.20.148.160:8001/upstreams/ups-v510-bes_cre_im001_tokenization/targets -d 'target=172.20.148.133:31301'</v>
      </c>
      <c r="X52" t="str">
        <f t="shared" si="4"/>
        <v>curl -X POST http://172.20.148.160:8001/upstreams/ups-v510-bes_cre_im001_tokenization/targets -d 'target=172.20.148.134:31301'</v>
      </c>
      <c r="Y52" t="str">
        <f t="shared" si="5"/>
        <v>curl -X POST http://172.20.148.160:8001/upstreams/ups-v510-bes_cre_im001_tokenization/targets -d 'target=172.20.148.135:31301'</v>
      </c>
      <c r="Z52" t="str">
        <f t="shared" si="6"/>
        <v>curl -X POST http://172.20.148.160:8001/upstreams/ups-v510-bes_cre_im001_tokenization/targets -d 'target=172.20.148.136:31301'</v>
      </c>
    </row>
    <row r="53" spans="1:26">
      <c r="A53">
        <f>IF(ISNUMBER(SEARCH("rest_api",svc!R52)),1,0)</f>
        <v>1</v>
      </c>
      <c r="C53" t="str">
        <f>svc!D52</f>
        <v>trust</v>
      </c>
      <c r="D53" t="str">
        <f>svc!$B52</f>
        <v>v810</v>
      </c>
      <c r="E53">
        <f>svc!G52</f>
        <v>31301</v>
      </c>
      <c r="F53" t="str">
        <f>CONCATENATE("ups-",svc!$B52,"-",svc!I52)</f>
        <v>ups-v810-bes_cre_im001_tokenization</v>
      </c>
      <c r="G53" t="str">
        <f>CONCATENATE("svc-",svc!$B52,"-",svc!I52)</f>
        <v>svc-v810-bes_cre_im001_tokenization</v>
      </c>
      <c r="H53" t="str">
        <f>CONCATENATE("route-",VLOOKUP($D53,kong_p2_var!$B$10:$D$16,2,FALSE),"-",svc!$B52,"-",svc!I52)</f>
        <v>route-v804-v810-bes_cre_im001_tokenization</v>
      </c>
      <c r="I53" t="str">
        <f>CONCATENATE(VLOOKUP($D53,kong_p2_var!$B$20:$H$26,SUBSTITUTE(I$1,"target_","") + 1,FALSE),":",$E53)</f>
        <v>172.20.148.195:31301</v>
      </c>
      <c r="J53" t="str">
        <f>CONCATENATE(VLOOKUP($D53,kong_p2_var!$B$20:$H$26,SUBSTITUTE(J$1,"target_","") + 1,FALSE),":",$E53)</f>
        <v>172.20.148.196:31301</v>
      </c>
      <c r="K53" t="str">
        <f>CONCATENATE(VLOOKUP($D53,kong_p2_var!$B$20:$H$26,SUBSTITUTE(K$1,"target_","") + 1,FALSE),":",$E53)</f>
        <v>172.20.148.197:31301</v>
      </c>
      <c r="L53" t="str">
        <f>IF($C53="dmz","",CONCATENATE(VLOOKUP($D53,kong_p2_var!$B$20:$H$26,SUBSTITUTE(L$1,"target_","") + 1,FALSE),":",$E53))</f>
        <v>172.20.148.198:31301</v>
      </c>
      <c r="M53" t="str">
        <f>IF($C53="dmz","",CONCATENATE(VLOOKUP($D53,kong_p2_var!$B$20:$H$26,SUBSTITUTE(M$1,"target_","") + 1,FALSE),":",$E53))</f>
        <v>172.20.148.199:31301</v>
      </c>
      <c r="N53" t="str">
        <f>IF($C53="dmz","",CONCATENATE(VLOOKUP($D53,kong_p2_var!$B$20:$H$26,SUBSTITUTE(N$1,"target_","") + 1,FALSE),":",$E53))</f>
        <v>172.20.148.200:31301</v>
      </c>
      <c r="O53" t="str">
        <f>VLOOKUP($D53,kong_p2_var!$B$10:$D$16,3,FALSE)</f>
        <v>172.20.149.151</v>
      </c>
      <c r="P53" t="str">
        <f>CONCATENATE("/",C53,MID(D53,2,15),"/",svc!$I52)</f>
        <v>/trust810/bes_cre_im001_tokenization</v>
      </c>
      <c r="Q53" t="str">
        <f>VLOOKUP(C53,kong_p2_var!$B$6:$C$7,2,FALSE)</f>
        <v>http://172.20.148.160:8001</v>
      </c>
      <c r="R53" t="str">
        <f>SUBSTITUTE(SUBSTITUTE(kong_p2_var!$J$1,"&lt;upstream_name&gt;",$F53),"&lt;kong_api_url&gt;",$Q53)</f>
        <v>curl -X PUT http://172.20.148.160:8001/upstreams/ups-v810-bes_cre_im001_tokenization</v>
      </c>
      <c r="S53" t="str">
        <f>SUBSTITUTE(SUBSTITUTE(SUBSTITUTE(SUBSTITUTE(kong_p2_var!$J$2,"&lt;kong_api_url&gt;",$Q53),"&lt;upstream_name&gt;",$F53),"&lt;port&gt;",$E53),"&lt;service_name&gt;",$G53)</f>
        <v>curl -X PUT http://172.20.148.160:8001/services/svc-v810-bes_cre_im001_tokenization -H "Content-Type: application/json" -d '{"protocol":"http","host":"ups-v810-bes_cre_im001_tokenization","port":31301}'</v>
      </c>
      <c r="T53" t="str">
        <f>SUBSTITUTE(SUBSTITUTE(SUBSTITUTE(SUBSTITUTE(SUBSTITUTE(kong_p2_var!$J$3,"&lt;kong_api_url&gt;",$Q53),"&lt;route_name&gt;",$H53),"&lt;service_name&gt;",$G53),"&lt;host&gt;",$O53),"&lt;path&gt;",$P53)</f>
        <v>curl -X PUT http://172.20.148.160:8001/services/svc-v810-bes_cre_im001_tokenization/routes/route-v804-v810-bes_cre_im001_tokenization -H "Content-Type: application/json" -d '{"protocols":["http"],"hosts":["172.20.149.151"],"paths":["/trust810/bes_cre_im001_tokenization"]}'</v>
      </c>
      <c r="U53" t="str">
        <f t="shared" si="1"/>
        <v>curl -X POST http://172.20.148.160:8001/upstreams/ups-v810-bes_cre_im001_tokenization/targets -d 'target=172.20.148.195:31301'</v>
      </c>
      <c r="V53" t="str">
        <f t="shared" si="2"/>
        <v>curl -X POST http://172.20.148.160:8001/upstreams/ups-v810-bes_cre_im001_tokenization/targets -d 'target=172.20.148.196:31301'</v>
      </c>
      <c r="W53" t="str">
        <f t="shared" si="3"/>
        <v>curl -X POST http://172.20.148.160:8001/upstreams/ups-v810-bes_cre_im001_tokenization/targets -d 'target=172.20.148.197:31301'</v>
      </c>
      <c r="X53" t="str">
        <f t="shared" si="4"/>
        <v>curl -X POST http://172.20.148.160:8001/upstreams/ups-v810-bes_cre_im001_tokenization/targets -d 'target=172.20.148.198:31301'</v>
      </c>
      <c r="Y53" t="str">
        <f t="shared" si="5"/>
        <v>curl -X POST http://172.20.148.160:8001/upstreams/ups-v810-bes_cre_im001_tokenization/targets -d 'target=172.20.148.199:31301'</v>
      </c>
      <c r="Z53" t="str">
        <f t="shared" si="6"/>
        <v>curl -X POST http://172.20.148.160:8001/upstreams/ups-v810-bes_cre_im001_tokenization/targets -d 'target=172.20.148.200:31301'</v>
      </c>
    </row>
    <row r="54" spans="1:26">
      <c r="A54">
        <f>IF(ISNUMBER(SEARCH("rest_api",svc!R53)),1,0)</f>
        <v>1</v>
      </c>
      <c r="C54" t="str">
        <f>svc!D53</f>
        <v>trust</v>
      </c>
      <c r="D54" t="str">
        <f>svc!$B53</f>
        <v>v510</v>
      </c>
      <c r="E54">
        <f>svc!G53</f>
        <v>31302</v>
      </c>
      <c r="F54" t="str">
        <f>CONCATENATE("ups-",svc!$B53,"-",svc!I53)</f>
        <v>ups-v510-bes_cre_im002_otp</v>
      </c>
      <c r="G54" t="str">
        <f>CONCATENATE("svc-",svc!$B53,"-",svc!I53)</f>
        <v>svc-v510-bes_cre_im002_otp</v>
      </c>
      <c r="H54" t="str">
        <f>CONCATENATE("route-",VLOOKUP($D54,kong_p2_var!$B$10:$D$16,2,FALSE),"-",svc!$B53,"-",svc!I53)</f>
        <v>route-v504-v510-bes_cre_im002_otp</v>
      </c>
      <c r="I54" t="str">
        <f>CONCATENATE(VLOOKUP($D54,kong_p2_var!$B$20:$H$26,SUBSTITUTE(I$1,"target_","") + 1,FALSE),":",$E54)</f>
        <v>172.20.148.131:31302</v>
      </c>
      <c r="J54" t="str">
        <f>CONCATENATE(VLOOKUP($D54,kong_p2_var!$B$20:$H$26,SUBSTITUTE(J$1,"target_","") + 1,FALSE),":",$E54)</f>
        <v>172.20.148.132:31302</v>
      </c>
      <c r="K54" t="str">
        <f>CONCATENATE(VLOOKUP($D54,kong_p2_var!$B$20:$H$26,SUBSTITUTE(K$1,"target_","") + 1,FALSE),":",$E54)</f>
        <v>172.20.148.133:31302</v>
      </c>
      <c r="L54" t="str">
        <f>IF($C54="dmz","",CONCATENATE(VLOOKUP($D54,kong_p2_var!$B$20:$H$26,SUBSTITUTE(L$1,"target_","") + 1,FALSE),":",$E54))</f>
        <v>172.20.148.134:31302</v>
      </c>
      <c r="M54" t="str">
        <f>IF($C54="dmz","",CONCATENATE(VLOOKUP($D54,kong_p2_var!$B$20:$H$26,SUBSTITUTE(M$1,"target_","") + 1,FALSE),":",$E54))</f>
        <v>172.20.148.135:31302</v>
      </c>
      <c r="N54" t="str">
        <f>IF($C54="dmz","",CONCATENATE(VLOOKUP($D54,kong_p2_var!$B$20:$H$26,SUBSTITUTE(N$1,"target_","") + 1,FALSE),":",$E54))</f>
        <v>172.20.148.136:31302</v>
      </c>
      <c r="O54" t="str">
        <f>VLOOKUP($D54,kong_p2_var!$B$10:$D$16,3,FALSE)</f>
        <v>172.20.149.183</v>
      </c>
      <c r="P54" t="str">
        <f>CONCATENATE("/",C54,MID(D54,2,15),"/",svc!$I53)</f>
        <v>/trust510/bes_cre_im002_otp</v>
      </c>
      <c r="Q54" t="str">
        <f>VLOOKUP(C54,kong_p2_var!$B$6:$C$7,2,FALSE)</f>
        <v>http://172.20.148.160:8001</v>
      </c>
      <c r="R54" t="str">
        <f>SUBSTITUTE(SUBSTITUTE(kong_p2_var!$J$1,"&lt;upstream_name&gt;",$F54),"&lt;kong_api_url&gt;",$Q54)</f>
        <v>curl -X PUT http://172.20.148.160:8001/upstreams/ups-v510-bes_cre_im002_otp</v>
      </c>
      <c r="S54" t="str">
        <f>SUBSTITUTE(SUBSTITUTE(SUBSTITUTE(SUBSTITUTE(kong_p2_var!$J$2,"&lt;kong_api_url&gt;",$Q54),"&lt;upstream_name&gt;",$F54),"&lt;port&gt;",$E54),"&lt;service_name&gt;",$G54)</f>
        <v>curl -X PUT http://172.20.148.160:8001/services/svc-v510-bes_cre_im002_otp -H "Content-Type: application/json" -d '{"protocol":"http","host":"ups-v510-bes_cre_im002_otp","port":31302}'</v>
      </c>
      <c r="T54" t="str">
        <f>SUBSTITUTE(SUBSTITUTE(SUBSTITUTE(SUBSTITUTE(SUBSTITUTE(kong_p2_var!$J$3,"&lt;kong_api_url&gt;",$Q54),"&lt;route_name&gt;",$H54),"&lt;service_name&gt;",$G54),"&lt;host&gt;",$O54),"&lt;path&gt;",$P54)</f>
        <v>curl -X PUT http://172.20.148.160:8001/services/svc-v510-bes_cre_im002_otp/routes/route-v504-v510-bes_cre_im002_otp -H "Content-Type: application/json" -d '{"protocols":["http"],"hosts":["172.20.149.183"],"paths":["/trust510/bes_cre_im002_otp"]}'</v>
      </c>
      <c r="U54" t="str">
        <f t="shared" si="1"/>
        <v>curl -X POST http://172.20.148.160:8001/upstreams/ups-v510-bes_cre_im002_otp/targets -d 'target=172.20.148.131:31302'</v>
      </c>
      <c r="V54" t="str">
        <f t="shared" si="2"/>
        <v>curl -X POST http://172.20.148.160:8001/upstreams/ups-v510-bes_cre_im002_otp/targets -d 'target=172.20.148.132:31302'</v>
      </c>
      <c r="W54" t="str">
        <f t="shared" si="3"/>
        <v>curl -X POST http://172.20.148.160:8001/upstreams/ups-v510-bes_cre_im002_otp/targets -d 'target=172.20.148.133:31302'</v>
      </c>
      <c r="X54" t="str">
        <f t="shared" si="4"/>
        <v>curl -X POST http://172.20.148.160:8001/upstreams/ups-v510-bes_cre_im002_otp/targets -d 'target=172.20.148.134:31302'</v>
      </c>
      <c r="Y54" t="str">
        <f t="shared" si="5"/>
        <v>curl -X POST http://172.20.148.160:8001/upstreams/ups-v510-bes_cre_im002_otp/targets -d 'target=172.20.148.135:31302'</v>
      </c>
      <c r="Z54" t="str">
        <f t="shared" si="6"/>
        <v>curl -X POST http://172.20.148.160:8001/upstreams/ups-v510-bes_cre_im002_otp/targets -d 'target=172.20.148.136:31302'</v>
      </c>
    </row>
    <row r="55" spans="1:26">
      <c r="A55">
        <f>IF(ISNUMBER(SEARCH("rest_api",svc!R54)),1,0)</f>
        <v>1</v>
      </c>
      <c r="C55" t="str">
        <f>svc!D54</f>
        <v>trust</v>
      </c>
      <c r="D55" t="str">
        <f>svc!$B54</f>
        <v>v810</v>
      </c>
      <c r="E55">
        <f>svc!G54</f>
        <v>31302</v>
      </c>
      <c r="F55" t="str">
        <f>CONCATENATE("ups-",svc!$B54,"-",svc!I54)</f>
        <v>ups-v810-bes_cre_im002_otp</v>
      </c>
      <c r="G55" t="str">
        <f>CONCATENATE("svc-",svc!$B54,"-",svc!I54)</f>
        <v>svc-v810-bes_cre_im002_otp</v>
      </c>
      <c r="H55" t="str">
        <f>CONCATENATE("route-",VLOOKUP($D55,kong_p2_var!$B$10:$D$16,2,FALSE),"-",svc!$B54,"-",svc!I54)</f>
        <v>route-v804-v810-bes_cre_im002_otp</v>
      </c>
      <c r="I55" t="str">
        <f>CONCATENATE(VLOOKUP($D55,kong_p2_var!$B$20:$H$26,SUBSTITUTE(I$1,"target_","") + 1,FALSE),":",$E55)</f>
        <v>172.20.148.195:31302</v>
      </c>
      <c r="J55" t="str">
        <f>CONCATENATE(VLOOKUP($D55,kong_p2_var!$B$20:$H$26,SUBSTITUTE(J$1,"target_","") + 1,FALSE),":",$E55)</f>
        <v>172.20.148.196:31302</v>
      </c>
      <c r="K55" t="str">
        <f>CONCATENATE(VLOOKUP($D55,kong_p2_var!$B$20:$H$26,SUBSTITUTE(K$1,"target_","") + 1,FALSE),":",$E55)</f>
        <v>172.20.148.197:31302</v>
      </c>
      <c r="L55" t="str">
        <f>IF($C55="dmz","",CONCATENATE(VLOOKUP($D55,kong_p2_var!$B$20:$H$26,SUBSTITUTE(L$1,"target_","") + 1,FALSE),":",$E55))</f>
        <v>172.20.148.198:31302</v>
      </c>
      <c r="M55" t="str">
        <f>IF($C55="dmz","",CONCATENATE(VLOOKUP($D55,kong_p2_var!$B$20:$H$26,SUBSTITUTE(M$1,"target_","") + 1,FALSE),":",$E55))</f>
        <v>172.20.148.199:31302</v>
      </c>
      <c r="N55" t="str">
        <f>IF($C55="dmz","",CONCATENATE(VLOOKUP($D55,kong_p2_var!$B$20:$H$26,SUBSTITUTE(N$1,"target_","") + 1,FALSE),":",$E55))</f>
        <v>172.20.148.200:31302</v>
      </c>
      <c r="O55" t="str">
        <f>VLOOKUP($D55,kong_p2_var!$B$10:$D$16,3,FALSE)</f>
        <v>172.20.149.151</v>
      </c>
      <c r="P55" t="str">
        <f>CONCATENATE("/",C55,MID(D55,2,15),"/",svc!$I54)</f>
        <v>/trust810/bes_cre_im002_otp</v>
      </c>
      <c r="Q55" t="str">
        <f>VLOOKUP(C55,kong_p2_var!$B$6:$C$7,2,FALSE)</f>
        <v>http://172.20.148.160:8001</v>
      </c>
      <c r="R55" t="str">
        <f>SUBSTITUTE(SUBSTITUTE(kong_p2_var!$J$1,"&lt;upstream_name&gt;",$F55),"&lt;kong_api_url&gt;",$Q55)</f>
        <v>curl -X PUT http://172.20.148.160:8001/upstreams/ups-v810-bes_cre_im002_otp</v>
      </c>
      <c r="S55" t="str">
        <f>SUBSTITUTE(SUBSTITUTE(SUBSTITUTE(SUBSTITUTE(kong_p2_var!$J$2,"&lt;kong_api_url&gt;",$Q55),"&lt;upstream_name&gt;",$F55),"&lt;port&gt;",$E55),"&lt;service_name&gt;",$G55)</f>
        <v>curl -X PUT http://172.20.148.160:8001/services/svc-v810-bes_cre_im002_otp -H "Content-Type: application/json" -d '{"protocol":"http","host":"ups-v810-bes_cre_im002_otp","port":31302}'</v>
      </c>
      <c r="T55" t="str">
        <f>SUBSTITUTE(SUBSTITUTE(SUBSTITUTE(SUBSTITUTE(SUBSTITUTE(kong_p2_var!$J$3,"&lt;kong_api_url&gt;",$Q55),"&lt;route_name&gt;",$H55),"&lt;service_name&gt;",$G55),"&lt;host&gt;",$O55),"&lt;path&gt;",$P55)</f>
        <v>curl -X PUT http://172.20.148.160:8001/services/svc-v810-bes_cre_im002_otp/routes/route-v804-v810-bes_cre_im002_otp -H "Content-Type: application/json" -d '{"protocols":["http"],"hosts":["172.20.149.151"],"paths":["/trust810/bes_cre_im002_otp"]}'</v>
      </c>
      <c r="U55" t="str">
        <f t="shared" si="1"/>
        <v>curl -X POST http://172.20.148.160:8001/upstreams/ups-v810-bes_cre_im002_otp/targets -d 'target=172.20.148.195:31302'</v>
      </c>
      <c r="V55" t="str">
        <f t="shared" si="2"/>
        <v>curl -X POST http://172.20.148.160:8001/upstreams/ups-v810-bes_cre_im002_otp/targets -d 'target=172.20.148.196:31302'</v>
      </c>
      <c r="W55" t="str">
        <f t="shared" si="3"/>
        <v>curl -X POST http://172.20.148.160:8001/upstreams/ups-v810-bes_cre_im002_otp/targets -d 'target=172.20.148.197:31302'</v>
      </c>
      <c r="X55" t="str">
        <f t="shared" si="4"/>
        <v>curl -X POST http://172.20.148.160:8001/upstreams/ups-v810-bes_cre_im002_otp/targets -d 'target=172.20.148.198:31302'</v>
      </c>
      <c r="Y55" t="str">
        <f t="shared" si="5"/>
        <v>curl -X POST http://172.20.148.160:8001/upstreams/ups-v810-bes_cre_im002_otp/targets -d 'target=172.20.148.199:31302'</v>
      </c>
      <c r="Z55" t="str">
        <f t="shared" si="6"/>
        <v>curl -X POST http://172.20.148.160:8001/upstreams/ups-v810-bes_cre_im002_otp/targets -d 'target=172.20.148.200:31302'</v>
      </c>
    </row>
    <row r="56" spans="1:26">
      <c r="A56">
        <f>IF(ISNUMBER(SEARCH("rest_api",svc!R55)),1,0)</f>
        <v>1</v>
      </c>
      <c r="C56" t="str">
        <f>svc!D55</f>
        <v>trust</v>
      </c>
      <c r="D56" t="str">
        <f>svc!$B55</f>
        <v>v510</v>
      </c>
      <c r="E56">
        <f>svc!G55</f>
        <v>31307</v>
      </c>
      <c r="F56" t="str">
        <f>CONCATENATE("ups-",svc!$B55,"-",svc!I55)</f>
        <v>ups-v510-bes_cre_im007_notification_template_management</v>
      </c>
      <c r="G56" t="str">
        <f>CONCATENATE("svc-",svc!$B55,"-",svc!I55)</f>
        <v>svc-v510-bes_cre_im007_notification_template_management</v>
      </c>
      <c r="H56" t="str">
        <f>CONCATENATE("route-",VLOOKUP($D56,kong_p2_var!$B$10:$D$16,2,FALSE),"-",svc!$B55,"-",svc!I55)</f>
        <v>route-v504-v510-bes_cre_im007_notification_template_management</v>
      </c>
      <c r="I56" t="str">
        <f>CONCATENATE(VLOOKUP($D56,kong_p2_var!$B$20:$H$26,SUBSTITUTE(I$1,"target_","") + 1,FALSE),":",$E56)</f>
        <v>172.20.148.131:31307</v>
      </c>
      <c r="J56" t="str">
        <f>CONCATENATE(VLOOKUP($D56,kong_p2_var!$B$20:$H$26,SUBSTITUTE(J$1,"target_","") + 1,FALSE),":",$E56)</f>
        <v>172.20.148.132:31307</v>
      </c>
      <c r="K56" t="str">
        <f>CONCATENATE(VLOOKUP($D56,kong_p2_var!$B$20:$H$26,SUBSTITUTE(K$1,"target_","") + 1,FALSE),":",$E56)</f>
        <v>172.20.148.133:31307</v>
      </c>
      <c r="L56" t="str">
        <f>IF($C56="dmz","",CONCATENATE(VLOOKUP($D56,kong_p2_var!$B$20:$H$26,SUBSTITUTE(L$1,"target_","") + 1,FALSE),":",$E56))</f>
        <v>172.20.148.134:31307</v>
      </c>
      <c r="M56" t="str">
        <f>IF($C56="dmz","",CONCATENATE(VLOOKUP($D56,kong_p2_var!$B$20:$H$26,SUBSTITUTE(M$1,"target_","") + 1,FALSE),":",$E56))</f>
        <v>172.20.148.135:31307</v>
      </c>
      <c r="N56" t="str">
        <f>IF($C56="dmz","",CONCATENATE(VLOOKUP($D56,kong_p2_var!$B$20:$H$26,SUBSTITUTE(N$1,"target_","") + 1,FALSE),":",$E56))</f>
        <v>172.20.148.136:31307</v>
      </c>
      <c r="O56" t="str">
        <f>VLOOKUP($D56,kong_p2_var!$B$10:$D$16,3,FALSE)</f>
        <v>172.20.149.183</v>
      </c>
      <c r="P56" t="str">
        <f>CONCATENATE("/",C56,MID(D56,2,15),"/",svc!$I55)</f>
        <v>/trust510/bes_cre_im007_notification_template_management</v>
      </c>
      <c r="Q56" t="str">
        <f>VLOOKUP(C56,kong_p2_var!$B$6:$C$7,2,FALSE)</f>
        <v>http://172.20.148.160:8001</v>
      </c>
      <c r="R56" t="str">
        <f>SUBSTITUTE(SUBSTITUTE(kong_p2_var!$J$1,"&lt;upstream_name&gt;",$F56),"&lt;kong_api_url&gt;",$Q56)</f>
        <v>curl -X PUT http://172.20.148.160:8001/upstreams/ups-v510-bes_cre_im007_notification_template_management</v>
      </c>
      <c r="S56" t="str">
        <f>SUBSTITUTE(SUBSTITUTE(SUBSTITUTE(SUBSTITUTE(kong_p2_var!$J$2,"&lt;kong_api_url&gt;",$Q56),"&lt;upstream_name&gt;",$F56),"&lt;port&gt;",$E56),"&lt;service_name&gt;",$G56)</f>
        <v>curl -X PUT http://172.20.148.160:8001/services/svc-v510-bes_cre_im007_notification_template_management -H "Content-Type: application/json" -d '{"protocol":"http","host":"ups-v510-bes_cre_im007_notification_template_management","port":31307}'</v>
      </c>
      <c r="T56" t="str">
        <f>SUBSTITUTE(SUBSTITUTE(SUBSTITUTE(SUBSTITUTE(SUBSTITUTE(kong_p2_var!$J$3,"&lt;kong_api_url&gt;",$Q56),"&lt;route_name&gt;",$H56),"&lt;service_name&gt;",$G56),"&lt;host&gt;",$O56),"&lt;path&gt;",$P56)</f>
        <v>curl -X PUT http://172.20.148.160:8001/services/svc-v510-bes_cre_im007_notification_template_management/routes/route-v504-v510-bes_cre_im007_notification_template_management -H "Content-Type: application/json" -d '{"protocols":["http"],"hosts":["172.20.149.183"],"paths":["/trust510/bes_cre_im007_notification_template_management"]}'</v>
      </c>
      <c r="U56" t="str">
        <f t="shared" si="1"/>
        <v>curl -X POST http://172.20.148.160:8001/upstreams/ups-v510-bes_cre_im007_notification_template_management/targets -d 'target=172.20.148.131:31307'</v>
      </c>
      <c r="V56" t="str">
        <f t="shared" si="2"/>
        <v>curl -X POST http://172.20.148.160:8001/upstreams/ups-v510-bes_cre_im007_notification_template_management/targets -d 'target=172.20.148.132:31307'</v>
      </c>
      <c r="W56" t="str">
        <f t="shared" si="3"/>
        <v>curl -X POST http://172.20.148.160:8001/upstreams/ups-v510-bes_cre_im007_notification_template_management/targets -d 'target=172.20.148.133:31307'</v>
      </c>
      <c r="X56" t="str">
        <f t="shared" si="4"/>
        <v>curl -X POST http://172.20.148.160:8001/upstreams/ups-v510-bes_cre_im007_notification_template_management/targets -d 'target=172.20.148.134:31307'</v>
      </c>
      <c r="Y56" t="str">
        <f t="shared" si="5"/>
        <v>curl -X POST http://172.20.148.160:8001/upstreams/ups-v510-bes_cre_im007_notification_template_management/targets -d 'target=172.20.148.135:31307'</v>
      </c>
      <c r="Z56" t="str">
        <f t="shared" si="6"/>
        <v>curl -X POST http://172.20.148.160:8001/upstreams/ups-v510-bes_cre_im007_notification_template_management/targets -d 'target=172.20.148.136:31307'</v>
      </c>
    </row>
    <row r="57" spans="1:26">
      <c r="A57">
        <f>IF(ISNUMBER(SEARCH("rest_api",svc!R56)),1,0)</f>
        <v>1</v>
      </c>
      <c r="C57" t="str">
        <f>svc!D56</f>
        <v>trust</v>
      </c>
      <c r="D57" t="str">
        <f>svc!$B56</f>
        <v>v810</v>
      </c>
      <c r="E57">
        <f>svc!G56</f>
        <v>31307</v>
      </c>
      <c r="F57" t="str">
        <f>CONCATENATE("ups-",svc!$B56,"-",svc!I56)</f>
        <v>ups-v810-bes_cre_im007_notification_template_management</v>
      </c>
      <c r="G57" t="str">
        <f>CONCATENATE("svc-",svc!$B56,"-",svc!I56)</f>
        <v>svc-v810-bes_cre_im007_notification_template_management</v>
      </c>
      <c r="H57" t="str">
        <f>CONCATENATE("route-",VLOOKUP($D57,kong_p2_var!$B$10:$D$16,2,FALSE),"-",svc!$B56,"-",svc!I56)</f>
        <v>route-v804-v810-bes_cre_im007_notification_template_management</v>
      </c>
      <c r="I57" t="str">
        <f>CONCATENATE(VLOOKUP($D57,kong_p2_var!$B$20:$H$26,SUBSTITUTE(I$1,"target_","") + 1,FALSE),":",$E57)</f>
        <v>172.20.148.195:31307</v>
      </c>
      <c r="J57" t="str">
        <f>CONCATENATE(VLOOKUP($D57,kong_p2_var!$B$20:$H$26,SUBSTITUTE(J$1,"target_","") + 1,FALSE),":",$E57)</f>
        <v>172.20.148.196:31307</v>
      </c>
      <c r="K57" t="str">
        <f>CONCATENATE(VLOOKUP($D57,kong_p2_var!$B$20:$H$26,SUBSTITUTE(K$1,"target_","") + 1,FALSE),":",$E57)</f>
        <v>172.20.148.197:31307</v>
      </c>
      <c r="L57" t="str">
        <f>IF($C57="dmz","",CONCATENATE(VLOOKUP($D57,kong_p2_var!$B$20:$H$26,SUBSTITUTE(L$1,"target_","") + 1,FALSE),":",$E57))</f>
        <v>172.20.148.198:31307</v>
      </c>
      <c r="M57" t="str">
        <f>IF($C57="dmz","",CONCATENATE(VLOOKUP($D57,kong_p2_var!$B$20:$H$26,SUBSTITUTE(M$1,"target_","") + 1,FALSE),":",$E57))</f>
        <v>172.20.148.199:31307</v>
      </c>
      <c r="N57" t="str">
        <f>IF($C57="dmz","",CONCATENATE(VLOOKUP($D57,kong_p2_var!$B$20:$H$26,SUBSTITUTE(N$1,"target_","") + 1,FALSE),":",$E57))</f>
        <v>172.20.148.200:31307</v>
      </c>
      <c r="O57" t="str">
        <f>VLOOKUP($D57,kong_p2_var!$B$10:$D$16,3,FALSE)</f>
        <v>172.20.149.151</v>
      </c>
      <c r="P57" t="str">
        <f>CONCATENATE("/",C57,MID(D57,2,15),"/",svc!$I56)</f>
        <v>/trust810/bes_cre_im007_notification_template_management</v>
      </c>
      <c r="Q57" t="str">
        <f>VLOOKUP(C57,kong_p2_var!$B$6:$C$7,2,FALSE)</f>
        <v>http://172.20.148.160:8001</v>
      </c>
      <c r="R57" t="str">
        <f>SUBSTITUTE(SUBSTITUTE(kong_p2_var!$J$1,"&lt;upstream_name&gt;",$F57),"&lt;kong_api_url&gt;",$Q57)</f>
        <v>curl -X PUT http://172.20.148.160:8001/upstreams/ups-v810-bes_cre_im007_notification_template_management</v>
      </c>
      <c r="S57" t="str">
        <f>SUBSTITUTE(SUBSTITUTE(SUBSTITUTE(SUBSTITUTE(kong_p2_var!$J$2,"&lt;kong_api_url&gt;",$Q57),"&lt;upstream_name&gt;",$F57),"&lt;port&gt;",$E57),"&lt;service_name&gt;",$G57)</f>
        <v>curl -X PUT http://172.20.148.160:8001/services/svc-v810-bes_cre_im007_notification_template_management -H "Content-Type: application/json" -d '{"protocol":"http","host":"ups-v810-bes_cre_im007_notification_template_management","port":31307}'</v>
      </c>
      <c r="T57" t="str">
        <f>SUBSTITUTE(SUBSTITUTE(SUBSTITUTE(SUBSTITUTE(SUBSTITUTE(kong_p2_var!$J$3,"&lt;kong_api_url&gt;",$Q57),"&lt;route_name&gt;",$H57),"&lt;service_name&gt;",$G57),"&lt;host&gt;",$O57),"&lt;path&gt;",$P57)</f>
        <v>curl -X PUT http://172.20.148.160:8001/services/svc-v810-bes_cre_im007_notification_template_management/routes/route-v804-v810-bes_cre_im007_notification_template_management -H "Content-Type: application/json" -d '{"protocols":["http"],"hosts":["172.20.149.151"],"paths":["/trust810/bes_cre_im007_notification_template_management"]}'</v>
      </c>
      <c r="U57" t="str">
        <f t="shared" si="1"/>
        <v>curl -X POST http://172.20.148.160:8001/upstreams/ups-v810-bes_cre_im007_notification_template_management/targets -d 'target=172.20.148.195:31307'</v>
      </c>
      <c r="V57" t="str">
        <f t="shared" si="2"/>
        <v>curl -X POST http://172.20.148.160:8001/upstreams/ups-v810-bes_cre_im007_notification_template_management/targets -d 'target=172.20.148.196:31307'</v>
      </c>
      <c r="W57" t="str">
        <f t="shared" si="3"/>
        <v>curl -X POST http://172.20.148.160:8001/upstreams/ups-v810-bes_cre_im007_notification_template_management/targets -d 'target=172.20.148.197:31307'</v>
      </c>
      <c r="X57" t="str">
        <f t="shared" si="4"/>
        <v>curl -X POST http://172.20.148.160:8001/upstreams/ups-v810-bes_cre_im007_notification_template_management/targets -d 'target=172.20.148.198:31307'</v>
      </c>
      <c r="Y57" t="str">
        <f t="shared" si="5"/>
        <v>curl -X POST http://172.20.148.160:8001/upstreams/ups-v810-bes_cre_im007_notification_template_management/targets -d 'target=172.20.148.199:31307'</v>
      </c>
      <c r="Z57" t="str">
        <f t="shared" si="6"/>
        <v>curl -X POST http://172.20.148.160:8001/upstreams/ups-v810-bes_cre_im007_notification_template_management/targets -d 'target=172.20.148.200:31307'</v>
      </c>
    </row>
    <row r="58" spans="1:26">
      <c r="A58">
        <f>IF(ISNUMBER(SEARCH("rest_api",svc!R57)),1,0)</f>
        <v>1</v>
      </c>
      <c r="C58" t="str">
        <f>svc!D57</f>
        <v>trust</v>
      </c>
      <c r="D58" t="str">
        <f>svc!$B57</f>
        <v>v510</v>
      </c>
      <c r="E58">
        <f>svc!G57</f>
        <v>31308</v>
      </c>
      <c r="F58" t="str">
        <f>CONCATENATE("ups-",svc!$B57,"-",svc!I57)</f>
        <v>ups-v510-bes_cre_im008_notification_message_management</v>
      </c>
      <c r="G58" t="str">
        <f>CONCATENATE("svc-",svc!$B57,"-",svc!I57)</f>
        <v>svc-v510-bes_cre_im008_notification_message_management</v>
      </c>
      <c r="H58" t="str">
        <f>CONCATENATE("route-",VLOOKUP($D58,kong_p2_var!$B$10:$D$16,2,FALSE),"-",svc!$B57,"-",svc!I57)</f>
        <v>route-v504-v510-bes_cre_im008_notification_message_management</v>
      </c>
      <c r="I58" t="str">
        <f>CONCATENATE(VLOOKUP($D58,kong_p2_var!$B$20:$H$26,SUBSTITUTE(I$1,"target_","") + 1,FALSE),":",$E58)</f>
        <v>172.20.148.131:31308</v>
      </c>
      <c r="J58" t="str">
        <f>CONCATENATE(VLOOKUP($D58,kong_p2_var!$B$20:$H$26,SUBSTITUTE(J$1,"target_","") + 1,FALSE),":",$E58)</f>
        <v>172.20.148.132:31308</v>
      </c>
      <c r="K58" t="str">
        <f>CONCATENATE(VLOOKUP($D58,kong_p2_var!$B$20:$H$26,SUBSTITUTE(K$1,"target_","") + 1,FALSE),":",$E58)</f>
        <v>172.20.148.133:31308</v>
      </c>
      <c r="L58" t="str">
        <f>IF($C58="dmz","",CONCATENATE(VLOOKUP($D58,kong_p2_var!$B$20:$H$26,SUBSTITUTE(L$1,"target_","") + 1,FALSE),":",$E58))</f>
        <v>172.20.148.134:31308</v>
      </c>
      <c r="M58" t="str">
        <f>IF($C58="dmz","",CONCATENATE(VLOOKUP($D58,kong_p2_var!$B$20:$H$26,SUBSTITUTE(M$1,"target_","") + 1,FALSE),":",$E58))</f>
        <v>172.20.148.135:31308</v>
      </c>
      <c r="N58" t="str">
        <f>IF($C58="dmz","",CONCATENATE(VLOOKUP($D58,kong_p2_var!$B$20:$H$26,SUBSTITUTE(N$1,"target_","") + 1,FALSE),":",$E58))</f>
        <v>172.20.148.136:31308</v>
      </c>
      <c r="O58" t="str">
        <f>VLOOKUP($D58,kong_p2_var!$B$10:$D$16,3,FALSE)</f>
        <v>172.20.149.183</v>
      </c>
      <c r="P58" t="str">
        <f>CONCATENATE("/",C58,MID(D58,2,15),"/",svc!$I57)</f>
        <v>/trust510/bes_cre_im008_notification_message_management</v>
      </c>
      <c r="Q58" t="str">
        <f>VLOOKUP(C58,kong_p2_var!$B$6:$C$7,2,FALSE)</f>
        <v>http://172.20.148.160:8001</v>
      </c>
      <c r="R58" t="str">
        <f>SUBSTITUTE(SUBSTITUTE(kong_p2_var!$J$1,"&lt;upstream_name&gt;",$F58),"&lt;kong_api_url&gt;",$Q58)</f>
        <v>curl -X PUT http://172.20.148.160:8001/upstreams/ups-v510-bes_cre_im008_notification_message_management</v>
      </c>
      <c r="S58" t="str">
        <f>SUBSTITUTE(SUBSTITUTE(SUBSTITUTE(SUBSTITUTE(kong_p2_var!$J$2,"&lt;kong_api_url&gt;",$Q58),"&lt;upstream_name&gt;",$F58),"&lt;port&gt;",$E58),"&lt;service_name&gt;",$G58)</f>
        <v>curl -X PUT http://172.20.148.160:8001/services/svc-v510-bes_cre_im008_notification_message_management -H "Content-Type: application/json" -d '{"protocol":"http","host":"ups-v510-bes_cre_im008_notification_message_management","port":31308}'</v>
      </c>
      <c r="T58" t="str">
        <f>SUBSTITUTE(SUBSTITUTE(SUBSTITUTE(SUBSTITUTE(SUBSTITUTE(kong_p2_var!$J$3,"&lt;kong_api_url&gt;",$Q58),"&lt;route_name&gt;",$H58),"&lt;service_name&gt;",$G58),"&lt;host&gt;",$O58),"&lt;path&gt;",$P58)</f>
        <v>curl -X PUT http://172.20.148.160:8001/services/svc-v510-bes_cre_im008_notification_message_management/routes/route-v504-v510-bes_cre_im008_notification_message_management -H "Content-Type: application/json" -d '{"protocols":["http"],"hosts":["172.20.149.183"],"paths":["/trust510/bes_cre_im008_notification_message_management"]}'</v>
      </c>
      <c r="U58" t="str">
        <f t="shared" si="1"/>
        <v>curl -X POST http://172.20.148.160:8001/upstreams/ups-v510-bes_cre_im008_notification_message_management/targets -d 'target=172.20.148.131:31308'</v>
      </c>
      <c r="V58" t="str">
        <f t="shared" si="2"/>
        <v>curl -X POST http://172.20.148.160:8001/upstreams/ups-v510-bes_cre_im008_notification_message_management/targets -d 'target=172.20.148.132:31308'</v>
      </c>
      <c r="W58" t="str">
        <f t="shared" si="3"/>
        <v>curl -X POST http://172.20.148.160:8001/upstreams/ups-v510-bes_cre_im008_notification_message_management/targets -d 'target=172.20.148.133:31308'</v>
      </c>
      <c r="X58" t="str">
        <f t="shared" si="4"/>
        <v>curl -X POST http://172.20.148.160:8001/upstreams/ups-v510-bes_cre_im008_notification_message_management/targets -d 'target=172.20.148.134:31308'</v>
      </c>
      <c r="Y58" t="str">
        <f t="shared" si="5"/>
        <v>curl -X POST http://172.20.148.160:8001/upstreams/ups-v510-bes_cre_im008_notification_message_management/targets -d 'target=172.20.148.135:31308'</v>
      </c>
      <c r="Z58" t="str">
        <f t="shared" si="6"/>
        <v>curl -X POST http://172.20.148.160:8001/upstreams/ups-v510-bes_cre_im008_notification_message_management/targets -d 'target=172.20.148.136:31308'</v>
      </c>
    </row>
    <row r="59" spans="1:26">
      <c r="A59">
        <f>IF(ISNUMBER(SEARCH("rest_api",svc!R58)),1,0)</f>
        <v>1</v>
      </c>
      <c r="C59" t="str">
        <f>svc!D58</f>
        <v>trust</v>
      </c>
      <c r="D59" t="str">
        <f>svc!$B58</f>
        <v>v810</v>
      </c>
      <c r="E59">
        <f>svc!G58</f>
        <v>31308</v>
      </c>
      <c r="F59" t="str">
        <f>CONCATENATE("ups-",svc!$B58,"-",svc!I58)</f>
        <v>ups-v810-bes_cre_im008_notification_message_management</v>
      </c>
      <c r="G59" t="str">
        <f>CONCATENATE("svc-",svc!$B58,"-",svc!I58)</f>
        <v>svc-v810-bes_cre_im008_notification_message_management</v>
      </c>
      <c r="H59" t="str">
        <f>CONCATENATE("route-",VLOOKUP($D59,kong_p2_var!$B$10:$D$16,2,FALSE),"-",svc!$B58,"-",svc!I58)</f>
        <v>route-v804-v810-bes_cre_im008_notification_message_management</v>
      </c>
      <c r="I59" t="str">
        <f>CONCATENATE(VLOOKUP($D59,kong_p2_var!$B$20:$H$26,SUBSTITUTE(I$1,"target_","") + 1,FALSE),":",$E59)</f>
        <v>172.20.148.195:31308</v>
      </c>
      <c r="J59" t="str">
        <f>CONCATENATE(VLOOKUP($D59,kong_p2_var!$B$20:$H$26,SUBSTITUTE(J$1,"target_","") + 1,FALSE),":",$E59)</f>
        <v>172.20.148.196:31308</v>
      </c>
      <c r="K59" t="str">
        <f>CONCATENATE(VLOOKUP($D59,kong_p2_var!$B$20:$H$26,SUBSTITUTE(K$1,"target_","") + 1,FALSE),":",$E59)</f>
        <v>172.20.148.197:31308</v>
      </c>
      <c r="L59" t="str">
        <f>IF($C59="dmz","",CONCATENATE(VLOOKUP($D59,kong_p2_var!$B$20:$H$26,SUBSTITUTE(L$1,"target_","") + 1,FALSE),":",$E59))</f>
        <v>172.20.148.198:31308</v>
      </c>
      <c r="M59" t="str">
        <f>IF($C59="dmz","",CONCATENATE(VLOOKUP($D59,kong_p2_var!$B$20:$H$26,SUBSTITUTE(M$1,"target_","") + 1,FALSE),":",$E59))</f>
        <v>172.20.148.199:31308</v>
      </c>
      <c r="N59" t="str">
        <f>IF($C59="dmz","",CONCATENATE(VLOOKUP($D59,kong_p2_var!$B$20:$H$26,SUBSTITUTE(N$1,"target_","") + 1,FALSE),":",$E59))</f>
        <v>172.20.148.200:31308</v>
      </c>
      <c r="O59" t="str">
        <f>VLOOKUP($D59,kong_p2_var!$B$10:$D$16,3,FALSE)</f>
        <v>172.20.149.151</v>
      </c>
      <c r="P59" t="str">
        <f>CONCATENATE("/",C59,MID(D59,2,15),"/",svc!$I58)</f>
        <v>/trust810/bes_cre_im008_notification_message_management</v>
      </c>
      <c r="Q59" t="str">
        <f>VLOOKUP(C59,kong_p2_var!$B$6:$C$7,2,FALSE)</f>
        <v>http://172.20.148.160:8001</v>
      </c>
      <c r="R59" t="str">
        <f>SUBSTITUTE(SUBSTITUTE(kong_p2_var!$J$1,"&lt;upstream_name&gt;",$F59),"&lt;kong_api_url&gt;",$Q59)</f>
        <v>curl -X PUT http://172.20.148.160:8001/upstreams/ups-v810-bes_cre_im008_notification_message_management</v>
      </c>
      <c r="S59" t="str">
        <f>SUBSTITUTE(SUBSTITUTE(SUBSTITUTE(SUBSTITUTE(kong_p2_var!$J$2,"&lt;kong_api_url&gt;",$Q59),"&lt;upstream_name&gt;",$F59),"&lt;port&gt;",$E59),"&lt;service_name&gt;",$G59)</f>
        <v>curl -X PUT http://172.20.148.160:8001/services/svc-v810-bes_cre_im008_notification_message_management -H "Content-Type: application/json" -d '{"protocol":"http","host":"ups-v810-bes_cre_im008_notification_message_management","port":31308}'</v>
      </c>
      <c r="T59" t="str">
        <f>SUBSTITUTE(SUBSTITUTE(SUBSTITUTE(SUBSTITUTE(SUBSTITUTE(kong_p2_var!$J$3,"&lt;kong_api_url&gt;",$Q59),"&lt;route_name&gt;",$H59),"&lt;service_name&gt;",$G59),"&lt;host&gt;",$O59),"&lt;path&gt;",$P59)</f>
        <v>curl -X PUT http://172.20.148.160:8001/services/svc-v810-bes_cre_im008_notification_message_management/routes/route-v804-v810-bes_cre_im008_notification_message_management -H "Content-Type: application/json" -d '{"protocols":["http"],"hosts":["172.20.149.151"],"paths":["/trust810/bes_cre_im008_notification_message_management"]}'</v>
      </c>
      <c r="U59" t="str">
        <f t="shared" si="1"/>
        <v>curl -X POST http://172.20.148.160:8001/upstreams/ups-v810-bes_cre_im008_notification_message_management/targets -d 'target=172.20.148.195:31308'</v>
      </c>
      <c r="V59" t="str">
        <f t="shared" si="2"/>
        <v>curl -X POST http://172.20.148.160:8001/upstreams/ups-v810-bes_cre_im008_notification_message_management/targets -d 'target=172.20.148.196:31308'</v>
      </c>
      <c r="W59" t="str">
        <f t="shared" si="3"/>
        <v>curl -X POST http://172.20.148.160:8001/upstreams/ups-v810-bes_cre_im008_notification_message_management/targets -d 'target=172.20.148.197:31308'</v>
      </c>
      <c r="X59" t="str">
        <f t="shared" si="4"/>
        <v>curl -X POST http://172.20.148.160:8001/upstreams/ups-v810-bes_cre_im008_notification_message_management/targets -d 'target=172.20.148.198:31308'</v>
      </c>
      <c r="Y59" t="str">
        <f t="shared" si="5"/>
        <v>curl -X POST http://172.20.148.160:8001/upstreams/ups-v810-bes_cre_im008_notification_message_management/targets -d 'target=172.20.148.199:31308'</v>
      </c>
      <c r="Z59" t="str">
        <f t="shared" si="6"/>
        <v>curl -X POST http://172.20.148.160:8001/upstreams/ups-v810-bes_cre_im008_notification_message_management/targets -d 'target=172.20.148.200:31308'</v>
      </c>
    </row>
    <row r="60" spans="1:26">
      <c r="A60">
        <f>IF(ISNUMBER(SEARCH("rest_api",svc!R59)),1,0)</f>
        <v>1</v>
      </c>
      <c r="C60" t="str">
        <f>svc!D59</f>
        <v>trust</v>
      </c>
      <c r="D60" t="str">
        <f>svc!$B59</f>
        <v>v510</v>
      </c>
      <c r="E60">
        <f>svc!G59</f>
        <v>31309</v>
      </c>
      <c r="F60" t="str">
        <f>CONCATENATE("ups-",svc!$B59,"-",svc!I59)</f>
        <v>ups-v510-bes_cre_im009_notification_processor</v>
      </c>
      <c r="G60" t="str">
        <f>CONCATENATE("svc-",svc!$B59,"-",svc!I59)</f>
        <v>svc-v510-bes_cre_im009_notification_processor</v>
      </c>
      <c r="H60" t="str">
        <f>CONCATENATE("route-",VLOOKUP($D60,kong_p2_var!$B$10:$D$16,2,FALSE),"-",svc!$B59,"-",svc!I59)</f>
        <v>route-v504-v510-bes_cre_im009_notification_processor</v>
      </c>
      <c r="I60" t="str">
        <f>CONCATENATE(VLOOKUP($D60,kong_p2_var!$B$20:$H$26,SUBSTITUTE(I$1,"target_","") + 1,FALSE),":",$E60)</f>
        <v>172.20.148.131:31309</v>
      </c>
      <c r="J60" t="str">
        <f>CONCATENATE(VLOOKUP($D60,kong_p2_var!$B$20:$H$26,SUBSTITUTE(J$1,"target_","") + 1,FALSE),":",$E60)</f>
        <v>172.20.148.132:31309</v>
      </c>
      <c r="K60" t="str">
        <f>CONCATENATE(VLOOKUP($D60,kong_p2_var!$B$20:$H$26,SUBSTITUTE(K$1,"target_","") + 1,FALSE),":",$E60)</f>
        <v>172.20.148.133:31309</v>
      </c>
      <c r="L60" t="str">
        <f>IF($C60="dmz","",CONCATENATE(VLOOKUP($D60,kong_p2_var!$B$20:$H$26,SUBSTITUTE(L$1,"target_","") + 1,FALSE),":",$E60))</f>
        <v>172.20.148.134:31309</v>
      </c>
      <c r="M60" t="str">
        <f>IF($C60="dmz","",CONCATENATE(VLOOKUP($D60,kong_p2_var!$B$20:$H$26,SUBSTITUTE(M$1,"target_","") + 1,FALSE),":",$E60))</f>
        <v>172.20.148.135:31309</v>
      </c>
      <c r="N60" t="str">
        <f>IF($C60="dmz","",CONCATENATE(VLOOKUP($D60,kong_p2_var!$B$20:$H$26,SUBSTITUTE(N$1,"target_","") + 1,FALSE),":",$E60))</f>
        <v>172.20.148.136:31309</v>
      </c>
      <c r="O60" t="str">
        <f>VLOOKUP($D60,kong_p2_var!$B$10:$D$16,3,FALSE)</f>
        <v>172.20.149.183</v>
      </c>
      <c r="P60" t="str">
        <f>CONCATENATE("/",C60,MID(D60,2,15),"/",svc!$I59)</f>
        <v>/trust510/bes_cre_im009_notification_processor</v>
      </c>
      <c r="Q60" t="str">
        <f>VLOOKUP(C60,kong_p2_var!$B$6:$C$7,2,FALSE)</f>
        <v>http://172.20.148.160:8001</v>
      </c>
      <c r="R60" t="str">
        <f>SUBSTITUTE(SUBSTITUTE(kong_p2_var!$J$1,"&lt;upstream_name&gt;",$F60),"&lt;kong_api_url&gt;",$Q60)</f>
        <v>curl -X PUT http://172.20.148.160:8001/upstreams/ups-v510-bes_cre_im009_notification_processor</v>
      </c>
      <c r="S60" t="str">
        <f>SUBSTITUTE(SUBSTITUTE(SUBSTITUTE(SUBSTITUTE(kong_p2_var!$J$2,"&lt;kong_api_url&gt;",$Q60),"&lt;upstream_name&gt;",$F60),"&lt;port&gt;",$E60),"&lt;service_name&gt;",$G60)</f>
        <v>curl -X PUT http://172.20.148.160:8001/services/svc-v510-bes_cre_im009_notification_processor -H "Content-Type: application/json" -d '{"protocol":"http","host":"ups-v510-bes_cre_im009_notification_processor","port":31309}'</v>
      </c>
      <c r="T60" t="str">
        <f>SUBSTITUTE(SUBSTITUTE(SUBSTITUTE(SUBSTITUTE(SUBSTITUTE(kong_p2_var!$J$3,"&lt;kong_api_url&gt;",$Q60),"&lt;route_name&gt;",$H60),"&lt;service_name&gt;",$G60),"&lt;host&gt;",$O60),"&lt;path&gt;",$P60)</f>
        <v>curl -X PUT http://172.20.148.160:8001/services/svc-v510-bes_cre_im009_notification_processor/routes/route-v504-v510-bes_cre_im009_notification_processor -H "Content-Type: application/json" -d '{"protocols":["http"],"hosts":["172.20.149.183"],"paths":["/trust510/bes_cre_im009_notification_processor"]}'</v>
      </c>
      <c r="U60" t="str">
        <f t="shared" si="1"/>
        <v>curl -X POST http://172.20.148.160:8001/upstreams/ups-v510-bes_cre_im009_notification_processor/targets -d 'target=172.20.148.131:31309'</v>
      </c>
      <c r="V60" t="str">
        <f t="shared" si="2"/>
        <v>curl -X POST http://172.20.148.160:8001/upstreams/ups-v510-bes_cre_im009_notification_processor/targets -d 'target=172.20.148.132:31309'</v>
      </c>
      <c r="W60" t="str">
        <f t="shared" si="3"/>
        <v>curl -X POST http://172.20.148.160:8001/upstreams/ups-v510-bes_cre_im009_notification_processor/targets -d 'target=172.20.148.133:31309'</v>
      </c>
      <c r="X60" t="str">
        <f t="shared" si="4"/>
        <v>curl -X POST http://172.20.148.160:8001/upstreams/ups-v510-bes_cre_im009_notification_processor/targets -d 'target=172.20.148.134:31309'</v>
      </c>
      <c r="Y60" t="str">
        <f t="shared" si="5"/>
        <v>curl -X POST http://172.20.148.160:8001/upstreams/ups-v510-bes_cre_im009_notification_processor/targets -d 'target=172.20.148.135:31309'</v>
      </c>
      <c r="Z60" t="str">
        <f t="shared" si="6"/>
        <v>curl -X POST http://172.20.148.160:8001/upstreams/ups-v510-bes_cre_im009_notification_processor/targets -d 'target=172.20.148.136:31309'</v>
      </c>
    </row>
    <row r="61" spans="1:26">
      <c r="A61">
        <f>IF(ISNUMBER(SEARCH("rest_api",svc!R60)),1,0)</f>
        <v>1</v>
      </c>
      <c r="C61" t="str">
        <f>svc!D60</f>
        <v>trust</v>
      </c>
      <c r="D61" t="str">
        <f>svc!$B60</f>
        <v>v810</v>
      </c>
      <c r="E61">
        <f>svc!G60</f>
        <v>31309</v>
      </c>
      <c r="F61" t="str">
        <f>CONCATENATE("ups-",svc!$B60,"-",svc!I60)</f>
        <v>ups-v810-bes_cre_im009_notification_processor</v>
      </c>
      <c r="G61" t="str">
        <f>CONCATENATE("svc-",svc!$B60,"-",svc!I60)</f>
        <v>svc-v810-bes_cre_im009_notification_processor</v>
      </c>
      <c r="H61" t="str">
        <f>CONCATENATE("route-",VLOOKUP($D61,kong_p2_var!$B$10:$D$16,2,FALSE),"-",svc!$B60,"-",svc!I60)</f>
        <v>route-v804-v810-bes_cre_im009_notification_processor</v>
      </c>
      <c r="I61" t="str">
        <f>CONCATENATE(VLOOKUP($D61,kong_p2_var!$B$20:$H$26,SUBSTITUTE(I$1,"target_","") + 1,FALSE),":",$E61)</f>
        <v>172.20.148.195:31309</v>
      </c>
      <c r="J61" t="str">
        <f>CONCATENATE(VLOOKUP($D61,kong_p2_var!$B$20:$H$26,SUBSTITUTE(J$1,"target_","") + 1,FALSE),":",$E61)</f>
        <v>172.20.148.196:31309</v>
      </c>
      <c r="K61" t="str">
        <f>CONCATENATE(VLOOKUP($D61,kong_p2_var!$B$20:$H$26,SUBSTITUTE(K$1,"target_","") + 1,FALSE),":",$E61)</f>
        <v>172.20.148.197:31309</v>
      </c>
      <c r="L61" t="str">
        <f>IF($C61="dmz","",CONCATENATE(VLOOKUP($D61,kong_p2_var!$B$20:$H$26,SUBSTITUTE(L$1,"target_","") + 1,FALSE),":",$E61))</f>
        <v>172.20.148.198:31309</v>
      </c>
      <c r="M61" t="str">
        <f>IF($C61="dmz","",CONCATENATE(VLOOKUP($D61,kong_p2_var!$B$20:$H$26,SUBSTITUTE(M$1,"target_","") + 1,FALSE),":",$E61))</f>
        <v>172.20.148.199:31309</v>
      </c>
      <c r="N61" t="str">
        <f>IF($C61="dmz","",CONCATENATE(VLOOKUP($D61,kong_p2_var!$B$20:$H$26,SUBSTITUTE(N$1,"target_","") + 1,FALSE),":",$E61))</f>
        <v>172.20.148.200:31309</v>
      </c>
      <c r="O61" t="str">
        <f>VLOOKUP($D61,kong_p2_var!$B$10:$D$16,3,FALSE)</f>
        <v>172.20.149.151</v>
      </c>
      <c r="P61" t="str">
        <f>CONCATENATE("/",C61,MID(D61,2,15),"/",svc!$I60)</f>
        <v>/trust810/bes_cre_im009_notification_processor</v>
      </c>
      <c r="Q61" t="str">
        <f>VLOOKUP(C61,kong_p2_var!$B$6:$C$7,2,FALSE)</f>
        <v>http://172.20.148.160:8001</v>
      </c>
      <c r="R61" t="str">
        <f>SUBSTITUTE(SUBSTITUTE(kong_p2_var!$J$1,"&lt;upstream_name&gt;",$F61),"&lt;kong_api_url&gt;",$Q61)</f>
        <v>curl -X PUT http://172.20.148.160:8001/upstreams/ups-v810-bes_cre_im009_notification_processor</v>
      </c>
      <c r="S61" t="str">
        <f>SUBSTITUTE(SUBSTITUTE(SUBSTITUTE(SUBSTITUTE(kong_p2_var!$J$2,"&lt;kong_api_url&gt;",$Q61),"&lt;upstream_name&gt;",$F61),"&lt;port&gt;",$E61),"&lt;service_name&gt;",$G61)</f>
        <v>curl -X PUT http://172.20.148.160:8001/services/svc-v810-bes_cre_im009_notification_processor -H "Content-Type: application/json" -d '{"protocol":"http","host":"ups-v810-bes_cre_im009_notification_processor","port":31309}'</v>
      </c>
      <c r="T61" t="str">
        <f>SUBSTITUTE(SUBSTITUTE(SUBSTITUTE(SUBSTITUTE(SUBSTITUTE(kong_p2_var!$J$3,"&lt;kong_api_url&gt;",$Q61),"&lt;route_name&gt;",$H61),"&lt;service_name&gt;",$G61),"&lt;host&gt;",$O61),"&lt;path&gt;",$P61)</f>
        <v>curl -X PUT http://172.20.148.160:8001/services/svc-v810-bes_cre_im009_notification_processor/routes/route-v804-v810-bes_cre_im009_notification_processor -H "Content-Type: application/json" -d '{"protocols":["http"],"hosts":["172.20.149.151"],"paths":["/trust810/bes_cre_im009_notification_processor"]}'</v>
      </c>
      <c r="U61" t="str">
        <f t="shared" si="1"/>
        <v>curl -X POST http://172.20.148.160:8001/upstreams/ups-v810-bes_cre_im009_notification_processor/targets -d 'target=172.20.148.195:31309'</v>
      </c>
      <c r="V61" t="str">
        <f t="shared" si="2"/>
        <v>curl -X POST http://172.20.148.160:8001/upstreams/ups-v810-bes_cre_im009_notification_processor/targets -d 'target=172.20.148.196:31309'</v>
      </c>
      <c r="W61" t="str">
        <f t="shared" si="3"/>
        <v>curl -X POST http://172.20.148.160:8001/upstreams/ups-v810-bes_cre_im009_notification_processor/targets -d 'target=172.20.148.197:31309'</v>
      </c>
      <c r="X61" t="str">
        <f t="shared" si="4"/>
        <v>curl -X POST http://172.20.148.160:8001/upstreams/ups-v810-bes_cre_im009_notification_processor/targets -d 'target=172.20.148.198:31309'</v>
      </c>
      <c r="Y61" t="str">
        <f t="shared" si="5"/>
        <v>curl -X POST http://172.20.148.160:8001/upstreams/ups-v810-bes_cre_im009_notification_processor/targets -d 'target=172.20.148.199:31309'</v>
      </c>
      <c r="Z61" t="str">
        <f t="shared" si="6"/>
        <v>curl -X POST http://172.20.148.160:8001/upstreams/ups-v810-bes_cre_im009_notification_processor/targets -d 'target=172.20.148.200:31309'</v>
      </c>
    </row>
    <row r="62" spans="1:26">
      <c r="A62">
        <f>IF(ISNUMBER(SEARCH("rest_api",svc!R61)),1,0)</f>
        <v>1</v>
      </c>
      <c r="C62" t="str">
        <f>svc!D61</f>
        <v>trust</v>
      </c>
      <c r="D62" t="str">
        <f>svc!$B61</f>
        <v>v510</v>
      </c>
      <c r="E62">
        <f>svc!G61</f>
        <v>31310</v>
      </c>
      <c r="F62" t="str">
        <f>CONCATENATE("ups-",svc!$B61,"-",svc!I61)</f>
        <v>ups-v510-bes_cre_im010_shortlink</v>
      </c>
      <c r="G62" t="str">
        <f>CONCATENATE("svc-",svc!$B61,"-",svc!I61)</f>
        <v>svc-v510-bes_cre_im010_shortlink</v>
      </c>
      <c r="H62" t="str">
        <f>CONCATENATE("route-",VLOOKUP($D62,kong_p2_var!$B$10:$D$16,2,FALSE),"-",svc!$B61,"-",svc!I61)</f>
        <v>route-v504-v510-bes_cre_im010_shortlink</v>
      </c>
      <c r="I62" t="str">
        <f>CONCATENATE(VLOOKUP($D62,kong_p2_var!$B$20:$H$26,SUBSTITUTE(I$1,"target_","") + 1,FALSE),":",$E62)</f>
        <v>172.20.148.131:31310</v>
      </c>
      <c r="J62" t="str">
        <f>CONCATENATE(VLOOKUP($D62,kong_p2_var!$B$20:$H$26,SUBSTITUTE(J$1,"target_","") + 1,FALSE),":",$E62)</f>
        <v>172.20.148.132:31310</v>
      </c>
      <c r="K62" t="str">
        <f>CONCATENATE(VLOOKUP($D62,kong_p2_var!$B$20:$H$26,SUBSTITUTE(K$1,"target_","") + 1,FALSE),":",$E62)</f>
        <v>172.20.148.133:31310</v>
      </c>
      <c r="L62" t="str">
        <f>IF($C62="dmz","",CONCATENATE(VLOOKUP($D62,kong_p2_var!$B$20:$H$26,SUBSTITUTE(L$1,"target_","") + 1,FALSE),":",$E62))</f>
        <v>172.20.148.134:31310</v>
      </c>
      <c r="M62" t="str">
        <f>IF($C62="dmz","",CONCATENATE(VLOOKUP($D62,kong_p2_var!$B$20:$H$26,SUBSTITUTE(M$1,"target_","") + 1,FALSE),":",$E62))</f>
        <v>172.20.148.135:31310</v>
      </c>
      <c r="N62" t="str">
        <f>IF($C62="dmz","",CONCATENATE(VLOOKUP($D62,kong_p2_var!$B$20:$H$26,SUBSTITUTE(N$1,"target_","") + 1,FALSE),":",$E62))</f>
        <v>172.20.148.136:31310</v>
      </c>
      <c r="O62" t="str">
        <f>VLOOKUP($D62,kong_p2_var!$B$10:$D$16,3,FALSE)</f>
        <v>172.20.149.183</v>
      </c>
      <c r="P62" t="str">
        <f>CONCATENATE("/",C62,MID(D62,2,15),"/",svc!$I61)</f>
        <v>/trust510/bes_cre_im010_shortlink</v>
      </c>
      <c r="Q62" t="str">
        <f>VLOOKUP(C62,kong_p2_var!$B$6:$C$7,2,FALSE)</f>
        <v>http://172.20.148.160:8001</v>
      </c>
      <c r="R62" t="str">
        <f>SUBSTITUTE(SUBSTITUTE(kong_p2_var!$J$1,"&lt;upstream_name&gt;",$F62),"&lt;kong_api_url&gt;",$Q62)</f>
        <v>curl -X PUT http://172.20.148.160:8001/upstreams/ups-v510-bes_cre_im010_shortlink</v>
      </c>
      <c r="S62" t="str">
        <f>SUBSTITUTE(SUBSTITUTE(SUBSTITUTE(SUBSTITUTE(kong_p2_var!$J$2,"&lt;kong_api_url&gt;",$Q62),"&lt;upstream_name&gt;",$F62),"&lt;port&gt;",$E62),"&lt;service_name&gt;",$G62)</f>
        <v>curl -X PUT http://172.20.148.160:8001/services/svc-v510-bes_cre_im010_shortlink -H "Content-Type: application/json" -d '{"protocol":"http","host":"ups-v510-bes_cre_im010_shortlink","port":31310}'</v>
      </c>
      <c r="T62" t="str">
        <f>SUBSTITUTE(SUBSTITUTE(SUBSTITUTE(SUBSTITUTE(SUBSTITUTE(kong_p2_var!$J$3,"&lt;kong_api_url&gt;",$Q62),"&lt;route_name&gt;",$H62),"&lt;service_name&gt;",$G62),"&lt;host&gt;",$O62),"&lt;path&gt;",$P62)</f>
        <v>curl -X PUT http://172.20.148.160:8001/services/svc-v510-bes_cre_im010_shortlink/routes/route-v504-v510-bes_cre_im010_shortlink -H "Content-Type: application/json" -d '{"protocols":["http"],"hosts":["172.20.149.183"],"paths":["/trust510/bes_cre_im010_shortlink"]}'</v>
      </c>
      <c r="U62" t="str">
        <f t="shared" si="1"/>
        <v>curl -X POST http://172.20.148.160:8001/upstreams/ups-v510-bes_cre_im010_shortlink/targets -d 'target=172.20.148.131:31310'</v>
      </c>
      <c r="V62" t="str">
        <f t="shared" si="2"/>
        <v>curl -X POST http://172.20.148.160:8001/upstreams/ups-v510-bes_cre_im010_shortlink/targets -d 'target=172.20.148.132:31310'</v>
      </c>
      <c r="W62" t="str">
        <f t="shared" si="3"/>
        <v>curl -X POST http://172.20.148.160:8001/upstreams/ups-v510-bes_cre_im010_shortlink/targets -d 'target=172.20.148.133:31310'</v>
      </c>
      <c r="X62" t="str">
        <f t="shared" si="4"/>
        <v>curl -X POST http://172.20.148.160:8001/upstreams/ups-v510-bes_cre_im010_shortlink/targets -d 'target=172.20.148.134:31310'</v>
      </c>
      <c r="Y62" t="str">
        <f t="shared" si="5"/>
        <v>curl -X POST http://172.20.148.160:8001/upstreams/ups-v510-bes_cre_im010_shortlink/targets -d 'target=172.20.148.135:31310'</v>
      </c>
      <c r="Z62" t="str">
        <f t="shared" si="6"/>
        <v>curl -X POST http://172.20.148.160:8001/upstreams/ups-v510-bes_cre_im010_shortlink/targets -d 'target=172.20.148.136:31310'</v>
      </c>
    </row>
    <row r="63" spans="1:26">
      <c r="A63">
        <f>IF(ISNUMBER(SEARCH("rest_api",svc!R62)),1,0)</f>
        <v>1</v>
      </c>
      <c r="C63" t="str">
        <f>svc!D62</f>
        <v>trust</v>
      </c>
      <c r="D63" t="str">
        <f>svc!$B62</f>
        <v>v810</v>
      </c>
      <c r="E63">
        <f>svc!G62</f>
        <v>31310</v>
      </c>
      <c r="F63" t="str">
        <f>CONCATENATE("ups-",svc!$B62,"-",svc!I62)</f>
        <v>ups-v810-bes_cre_im010_shortlink</v>
      </c>
      <c r="G63" t="str">
        <f>CONCATENATE("svc-",svc!$B62,"-",svc!I62)</f>
        <v>svc-v810-bes_cre_im010_shortlink</v>
      </c>
      <c r="H63" t="str">
        <f>CONCATENATE("route-",VLOOKUP($D63,kong_p2_var!$B$10:$D$16,2,FALSE),"-",svc!$B62,"-",svc!I62)</f>
        <v>route-v804-v810-bes_cre_im010_shortlink</v>
      </c>
      <c r="I63" t="str">
        <f>CONCATENATE(VLOOKUP($D63,kong_p2_var!$B$20:$H$26,SUBSTITUTE(I$1,"target_","") + 1,FALSE),":",$E63)</f>
        <v>172.20.148.195:31310</v>
      </c>
      <c r="J63" t="str">
        <f>CONCATENATE(VLOOKUP($D63,kong_p2_var!$B$20:$H$26,SUBSTITUTE(J$1,"target_","") + 1,FALSE),":",$E63)</f>
        <v>172.20.148.196:31310</v>
      </c>
      <c r="K63" t="str">
        <f>CONCATENATE(VLOOKUP($D63,kong_p2_var!$B$20:$H$26,SUBSTITUTE(K$1,"target_","") + 1,FALSE),":",$E63)</f>
        <v>172.20.148.197:31310</v>
      </c>
      <c r="L63" t="str">
        <f>IF($C63="dmz","",CONCATENATE(VLOOKUP($D63,kong_p2_var!$B$20:$H$26,SUBSTITUTE(L$1,"target_","") + 1,FALSE),":",$E63))</f>
        <v>172.20.148.198:31310</v>
      </c>
      <c r="M63" t="str">
        <f>IF($C63="dmz","",CONCATENATE(VLOOKUP($D63,kong_p2_var!$B$20:$H$26,SUBSTITUTE(M$1,"target_","") + 1,FALSE),":",$E63))</f>
        <v>172.20.148.199:31310</v>
      </c>
      <c r="N63" t="str">
        <f>IF($C63="dmz","",CONCATENATE(VLOOKUP($D63,kong_p2_var!$B$20:$H$26,SUBSTITUTE(N$1,"target_","") + 1,FALSE),":",$E63))</f>
        <v>172.20.148.200:31310</v>
      </c>
      <c r="O63" t="str">
        <f>VLOOKUP($D63,kong_p2_var!$B$10:$D$16,3,FALSE)</f>
        <v>172.20.149.151</v>
      </c>
      <c r="P63" t="str">
        <f>CONCATENATE("/",C63,MID(D63,2,15),"/",svc!$I62)</f>
        <v>/trust810/bes_cre_im010_shortlink</v>
      </c>
      <c r="Q63" t="str">
        <f>VLOOKUP(C63,kong_p2_var!$B$6:$C$7,2,FALSE)</f>
        <v>http://172.20.148.160:8001</v>
      </c>
      <c r="R63" t="str">
        <f>SUBSTITUTE(SUBSTITUTE(kong_p2_var!$J$1,"&lt;upstream_name&gt;",$F63),"&lt;kong_api_url&gt;",$Q63)</f>
        <v>curl -X PUT http://172.20.148.160:8001/upstreams/ups-v810-bes_cre_im010_shortlink</v>
      </c>
      <c r="S63" t="str">
        <f>SUBSTITUTE(SUBSTITUTE(SUBSTITUTE(SUBSTITUTE(kong_p2_var!$J$2,"&lt;kong_api_url&gt;",$Q63),"&lt;upstream_name&gt;",$F63),"&lt;port&gt;",$E63),"&lt;service_name&gt;",$G63)</f>
        <v>curl -X PUT http://172.20.148.160:8001/services/svc-v810-bes_cre_im010_shortlink -H "Content-Type: application/json" -d '{"protocol":"http","host":"ups-v810-bes_cre_im010_shortlink","port":31310}'</v>
      </c>
      <c r="T63" t="str">
        <f>SUBSTITUTE(SUBSTITUTE(SUBSTITUTE(SUBSTITUTE(SUBSTITUTE(kong_p2_var!$J$3,"&lt;kong_api_url&gt;",$Q63),"&lt;route_name&gt;",$H63),"&lt;service_name&gt;",$G63),"&lt;host&gt;",$O63),"&lt;path&gt;",$P63)</f>
        <v>curl -X PUT http://172.20.148.160:8001/services/svc-v810-bes_cre_im010_shortlink/routes/route-v804-v810-bes_cre_im010_shortlink -H "Content-Type: application/json" -d '{"protocols":["http"],"hosts":["172.20.149.151"],"paths":["/trust810/bes_cre_im010_shortlink"]}'</v>
      </c>
      <c r="U63" t="str">
        <f t="shared" si="1"/>
        <v>curl -X POST http://172.20.148.160:8001/upstreams/ups-v810-bes_cre_im010_shortlink/targets -d 'target=172.20.148.195:31310'</v>
      </c>
      <c r="V63" t="str">
        <f t="shared" si="2"/>
        <v>curl -X POST http://172.20.148.160:8001/upstreams/ups-v810-bes_cre_im010_shortlink/targets -d 'target=172.20.148.196:31310'</v>
      </c>
      <c r="W63" t="str">
        <f t="shared" si="3"/>
        <v>curl -X POST http://172.20.148.160:8001/upstreams/ups-v810-bes_cre_im010_shortlink/targets -d 'target=172.20.148.197:31310'</v>
      </c>
      <c r="X63" t="str">
        <f t="shared" si="4"/>
        <v>curl -X POST http://172.20.148.160:8001/upstreams/ups-v810-bes_cre_im010_shortlink/targets -d 'target=172.20.148.198:31310'</v>
      </c>
      <c r="Y63" t="str">
        <f t="shared" si="5"/>
        <v>curl -X POST http://172.20.148.160:8001/upstreams/ups-v810-bes_cre_im010_shortlink/targets -d 'target=172.20.148.199:31310'</v>
      </c>
      <c r="Z63" t="str">
        <f t="shared" si="6"/>
        <v>curl -X POST http://172.20.148.160:8001/upstreams/ups-v810-bes_cre_im010_shortlink/targets -d 'target=172.20.148.200:31310'</v>
      </c>
    </row>
    <row r="64" spans="1:26" hidden="1">
      <c r="A64">
        <f>IF(ISNUMBER(SEARCH("rest_api",svc!R63)),1,0)</f>
        <v>0</v>
      </c>
      <c r="C64" t="str">
        <f>svc!D63</f>
        <v>trust</v>
      </c>
      <c r="D64" t="str">
        <f>svc!$B63</f>
        <v>v510</v>
      </c>
      <c r="E64" t="str">
        <f>svc!G63</f>
        <v>N/A</v>
      </c>
      <c r="F64" t="str">
        <f>CONCATENATE("ups-",svc!$B63,"-",svc!I63)</f>
        <v>ups-v510-bes_notification_pulsar_consumer_services</v>
      </c>
      <c r="G64" t="str">
        <f>CONCATENATE("svc-",svc!$B63,"-",svc!I63)</f>
        <v>svc-v510-bes_notification_pulsar_consumer_services</v>
      </c>
      <c r="H64" t="str">
        <f>CONCATENATE("route-",VLOOKUP($D64,kong_p2_var!$B$10:$D$16,2,FALSE),"-",svc!$B63,"-",svc!I63)</f>
        <v>route-v504-v510-bes_notification_pulsar_consumer_services</v>
      </c>
      <c r="I64" t="str">
        <f>CONCATENATE(VLOOKUP($D64,kong_p2_var!$B$20:$H$26,SUBSTITUTE(I$1,"target_","") + 1,FALSE),":",$E64)</f>
        <v>172.20.148.131:N/A</v>
      </c>
      <c r="J64" t="str">
        <f>CONCATENATE(VLOOKUP($D64,kong_p2_var!$B$20:$H$26,SUBSTITUTE(J$1,"target_","") + 1,FALSE),":",$E64)</f>
        <v>172.20.148.132:N/A</v>
      </c>
      <c r="K64" t="str">
        <f>CONCATENATE(VLOOKUP($D64,kong_p2_var!$B$20:$H$26,SUBSTITUTE(K$1,"target_","") + 1,FALSE),":",$E64)</f>
        <v>172.20.148.133:N/A</v>
      </c>
      <c r="L64" t="str">
        <f>IF($C64="dmz","",CONCATENATE(VLOOKUP($D64,kong_p2_var!$B$20:$H$26,SUBSTITUTE(L$1,"target_","") + 1,FALSE),":",$E64))</f>
        <v>172.20.148.134:N/A</v>
      </c>
      <c r="M64" t="str">
        <f>IF($C64="dmz","",CONCATENATE(VLOOKUP($D64,kong_p2_var!$B$20:$H$26,SUBSTITUTE(M$1,"target_","") + 1,FALSE),":",$E64))</f>
        <v>172.20.148.135:N/A</v>
      </c>
      <c r="N64" t="str">
        <f>IF($C64="dmz","",CONCATENATE(VLOOKUP($D64,kong_p2_var!$B$20:$H$26,SUBSTITUTE(N$1,"target_","") + 1,FALSE),":",$E64))</f>
        <v>172.20.148.136:N/A</v>
      </c>
      <c r="O64" t="str">
        <f>VLOOKUP($D64,kong_p2_var!$B$10:$D$16,3,FALSE)</f>
        <v>172.20.149.183</v>
      </c>
      <c r="P64" t="str">
        <f>CONCATENATE("/",C64,MID(D64,2,15),"/",svc!$I63)</f>
        <v>/trust510/bes_notification_pulsar_consumer_services</v>
      </c>
      <c r="Q64" t="str">
        <f>VLOOKUP(C64,kong_p2_var!$B$6:$C$7,2,FALSE)</f>
        <v>http://172.20.148.160:8001</v>
      </c>
      <c r="R64" t="str">
        <f>SUBSTITUTE(SUBSTITUTE(kong_p2_var!$J$1,"&lt;upstream_name&gt;",$F64),"&lt;kong_api_url&gt;",$Q64)</f>
        <v>curl -X PUT http://172.20.148.160:8001/upstreams/ups-v510-bes_notification_pulsar_consumer_services</v>
      </c>
      <c r="S64" t="str">
        <f>SUBSTITUTE(SUBSTITUTE(SUBSTITUTE(SUBSTITUTE(kong_p2_var!$J$2,"&lt;kong_api_url&gt;",$Q64),"&lt;upstream_name&gt;",$F64),"&lt;port&gt;",$E64),"&lt;service_name&gt;",$G64)</f>
        <v>curl -X PUT http://172.20.148.160:8001/services/svc-v510-bes_notification_pulsar_consumer_services -H "Content-Type: application/json" -d '{"protocol":"http","host":"ups-v510-bes_notification_pulsar_consumer_services","port":N/A}'</v>
      </c>
      <c r="T64" t="str">
        <f>SUBSTITUTE(SUBSTITUTE(SUBSTITUTE(SUBSTITUTE(SUBSTITUTE(kong_p2_var!$J$3,"&lt;kong_api_url&gt;",$Q64),"&lt;route_name&gt;",$H64),"&lt;service_name&gt;",$G64),"&lt;host&gt;",$O64),"&lt;path&gt;",$P64)</f>
        <v>curl -X PUT http://172.20.148.160:8001/services/svc-v510-bes_notification_pulsar_consumer_services/routes/route-v504-v510-bes_notification_pulsar_consumer_services -H "Content-Type: application/json" -d '{"protocols":["http"],"hosts":["172.20.149.183"],"paths":["/trust510/bes_notification_pulsar_consumer_services"]}'</v>
      </c>
      <c r="U64" t="str">
        <f t="shared" si="1"/>
        <v>curl -X POST http://172.20.148.160:8001/upstreams/ups-v510-bes_notification_pulsar_consumer_services/targets -d 'target=172.20.148.131:N/A'</v>
      </c>
      <c r="V64" t="str">
        <f t="shared" si="2"/>
        <v>curl -X POST http://172.20.148.160:8001/upstreams/ups-v510-bes_notification_pulsar_consumer_services/targets -d 'target=172.20.148.132:N/A'</v>
      </c>
      <c r="W64" t="str">
        <f t="shared" si="3"/>
        <v>curl -X POST http://172.20.148.160:8001/upstreams/ups-v510-bes_notification_pulsar_consumer_services/targets -d 'target=172.20.148.133:N/A'</v>
      </c>
      <c r="X64" t="str">
        <f t="shared" si="4"/>
        <v>curl -X POST http://172.20.148.160:8001/upstreams/ups-v510-bes_notification_pulsar_consumer_services/targets -d 'target=172.20.148.134:N/A'</v>
      </c>
      <c r="Y64" t="str">
        <f t="shared" si="5"/>
        <v>curl -X POST http://172.20.148.160:8001/upstreams/ups-v510-bes_notification_pulsar_consumer_services/targets -d 'target=172.20.148.135:N/A'</v>
      </c>
      <c r="Z64" t="str">
        <f t="shared" si="6"/>
        <v>curl -X POST http://172.20.148.160:8001/upstreams/ups-v510-bes_notification_pulsar_consumer_services/targets -d 'target=172.20.148.136:N/A'</v>
      </c>
    </row>
    <row r="65" spans="1:26" hidden="1">
      <c r="A65">
        <f>IF(ISNUMBER(SEARCH("rest_api",svc!R64)),1,0)</f>
        <v>0</v>
      </c>
      <c r="C65" t="str">
        <f>svc!D64</f>
        <v>trust</v>
      </c>
      <c r="D65" t="str">
        <f>svc!$B64</f>
        <v>v510</v>
      </c>
      <c r="E65" t="str">
        <f>svc!G64</f>
        <v>N/A</v>
      </c>
      <c r="F65" t="str">
        <f>CONCATENATE("ups-",svc!$B64,"-",svc!I64)</f>
        <v>ups-v510-bes_notification_push_app_services</v>
      </c>
      <c r="G65" t="str">
        <f>CONCATENATE("svc-",svc!$B64,"-",svc!I64)</f>
        <v>svc-v510-bes_notification_push_app_services</v>
      </c>
      <c r="H65" t="str">
        <f>CONCATENATE("route-",VLOOKUP($D65,kong_p2_var!$B$10:$D$16,2,FALSE),"-",svc!$B64,"-",svc!I64)</f>
        <v>route-v504-v510-bes_notification_push_app_services</v>
      </c>
      <c r="I65" t="str">
        <f>CONCATENATE(VLOOKUP($D65,kong_p2_var!$B$20:$H$26,SUBSTITUTE(I$1,"target_","") + 1,FALSE),":",$E65)</f>
        <v>172.20.148.131:N/A</v>
      </c>
      <c r="J65" t="str">
        <f>CONCATENATE(VLOOKUP($D65,kong_p2_var!$B$20:$H$26,SUBSTITUTE(J$1,"target_","") + 1,FALSE),":",$E65)</f>
        <v>172.20.148.132:N/A</v>
      </c>
      <c r="K65" t="str">
        <f>CONCATENATE(VLOOKUP($D65,kong_p2_var!$B$20:$H$26,SUBSTITUTE(K$1,"target_","") + 1,FALSE),":",$E65)</f>
        <v>172.20.148.133:N/A</v>
      </c>
      <c r="L65" t="str">
        <f>IF($C65="dmz","",CONCATENATE(VLOOKUP($D65,kong_p2_var!$B$20:$H$26,SUBSTITUTE(L$1,"target_","") + 1,FALSE),":",$E65))</f>
        <v>172.20.148.134:N/A</v>
      </c>
      <c r="M65" t="str">
        <f>IF($C65="dmz","",CONCATENATE(VLOOKUP($D65,kong_p2_var!$B$20:$H$26,SUBSTITUTE(M$1,"target_","") + 1,FALSE),":",$E65))</f>
        <v>172.20.148.135:N/A</v>
      </c>
      <c r="N65" t="str">
        <f>IF($C65="dmz","",CONCATENATE(VLOOKUP($D65,kong_p2_var!$B$20:$H$26,SUBSTITUTE(N$1,"target_","") + 1,FALSE),":",$E65))</f>
        <v>172.20.148.136:N/A</v>
      </c>
      <c r="O65" t="str">
        <f>VLOOKUP($D65,kong_p2_var!$B$10:$D$16,3,FALSE)</f>
        <v>172.20.149.183</v>
      </c>
      <c r="P65" t="str">
        <f>CONCATENATE("/",C65,MID(D65,2,15),"/",svc!$I64)</f>
        <v>/trust510/bes_notification_push_app_services</v>
      </c>
      <c r="Q65" t="str">
        <f>VLOOKUP(C65,kong_p2_var!$B$6:$C$7,2,FALSE)</f>
        <v>http://172.20.148.160:8001</v>
      </c>
      <c r="R65" t="str">
        <f>SUBSTITUTE(SUBSTITUTE(kong_p2_var!$J$1,"&lt;upstream_name&gt;",$F65),"&lt;kong_api_url&gt;",$Q65)</f>
        <v>curl -X PUT http://172.20.148.160:8001/upstreams/ups-v510-bes_notification_push_app_services</v>
      </c>
      <c r="S65" t="str">
        <f>SUBSTITUTE(SUBSTITUTE(SUBSTITUTE(SUBSTITUTE(kong_p2_var!$J$2,"&lt;kong_api_url&gt;",$Q65),"&lt;upstream_name&gt;",$F65),"&lt;port&gt;",$E65),"&lt;service_name&gt;",$G65)</f>
        <v>curl -X PUT http://172.20.148.160:8001/services/svc-v510-bes_notification_push_app_services -H "Content-Type: application/json" -d '{"protocol":"http","host":"ups-v510-bes_notification_push_app_services","port":N/A}'</v>
      </c>
      <c r="T65" t="str">
        <f>SUBSTITUTE(SUBSTITUTE(SUBSTITUTE(SUBSTITUTE(SUBSTITUTE(kong_p2_var!$J$3,"&lt;kong_api_url&gt;",$Q65),"&lt;route_name&gt;",$H65),"&lt;service_name&gt;",$G65),"&lt;host&gt;",$O65),"&lt;path&gt;",$P65)</f>
        <v>curl -X PUT http://172.20.148.160:8001/services/svc-v510-bes_notification_push_app_services/routes/route-v504-v510-bes_notification_push_app_services -H "Content-Type: application/json" -d '{"protocols":["http"],"hosts":["172.20.149.183"],"paths":["/trust510/bes_notification_push_app_services"]}'</v>
      </c>
      <c r="U65" t="str">
        <f t="shared" si="1"/>
        <v>curl -X POST http://172.20.148.160:8001/upstreams/ups-v510-bes_notification_push_app_services/targets -d 'target=172.20.148.131:N/A'</v>
      </c>
      <c r="V65" t="str">
        <f t="shared" si="2"/>
        <v>curl -X POST http://172.20.148.160:8001/upstreams/ups-v510-bes_notification_push_app_services/targets -d 'target=172.20.148.132:N/A'</v>
      </c>
      <c r="W65" t="str">
        <f t="shared" si="3"/>
        <v>curl -X POST http://172.20.148.160:8001/upstreams/ups-v510-bes_notification_push_app_services/targets -d 'target=172.20.148.133:N/A'</v>
      </c>
      <c r="X65" t="str">
        <f t="shared" si="4"/>
        <v>curl -X POST http://172.20.148.160:8001/upstreams/ups-v510-bes_notification_push_app_services/targets -d 'target=172.20.148.134:N/A'</v>
      </c>
      <c r="Y65" t="str">
        <f t="shared" si="5"/>
        <v>curl -X POST http://172.20.148.160:8001/upstreams/ups-v510-bes_notification_push_app_services/targets -d 'target=172.20.148.135:N/A'</v>
      </c>
      <c r="Z65" t="str">
        <f t="shared" si="6"/>
        <v>curl -X POST http://172.20.148.160:8001/upstreams/ups-v510-bes_notification_push_app_services/targets -d 'target=172.20.148.136:N/A'</v>
      </c>
    </row>
    <row r="66" spans="1:26" hidden="1">
      <c r="A66">
        <f>IF(ISNUMBER(SEARCH("rest_api",svc!R65)),1,0)</f>
        <v>0</v>
      </c>
      <c r="C66" t="str">
        <f>svc!D65</f>
        <v>trust</v>
      </c>
      <c r="D66" t="str">
        <f>svc!$B65</f>
        <v>v510</v>
      </c>
      <c r="E66" t="str">
        <f>svc!G65</f>
        <v>N/A</v>
      </c>
      <c r="F66" t="str">
        <f>CONCATENATE("ups-",svc!$B65,"-",svc!I65)</f>
        <v>ups-v510-bes_notification_push_email_services</v>
      </c>
      <c r="G66" t="str">
        <f>CONCATENATE("svc-",svc!$B65,"-",svc!I65)</f>
        <v>svc-v510-bes_notification_push_email_services</v>
      </c>
      <c r="H66" t="str">
        <f>CONCATENATE("route-",VLOOKUP($D66,kong_p2_var!$B$10:$D$16,2,FALSE),"-",svc!$B65,"-",svc!I65)</f>
        <v>route-v504-v510-bes_notification_push_email_services</v>
      </c>
      <c r="I66" t="str">
        <f>CONCATENATE(VLOOKUP($D66,kong_p2_var!$B$20:$H$26,SUBSTITUTE(I$1,"target_","") + 1,FALSE),":",$E66)</f>
        <v>172.20.148.131:N/A</v>
      </c>
      <c r="J66" t="str">
        <f>CONCATENATE(VLOOKUP($D66,kong_p2_var!$B$20:$H$26,SUBSTITUTE(J$1,"target_","") + 1,FALSE),":",$E66)</f>
        <v>172.20.148.132:N/A</v>
      </c>
      <c r="K66" t="str">
        <f>CONCATENATE(VLOOKUP($D66,kong_p2_var!$B$20:$H$26,SUBSTITUTE(K$1,"target_","") + 1,FALSE),":",$E66)</f>
        <v>172.20.148.133:N/A</v>
      </c>
      <c r="L66" t="str">
        <f>IF($C66="dmz","",CONCATENATE(VLOOKUP($D66,kong_p2_var!$B$20:$H$26,SUBSTITUTE(L$1,"target_","") + 1,FALSE),":",$E66))</f>
        <v>172.20.148.134:N/A</v>
      </c>
      <c r="M66" t="str">
        <f>IF($C66="dmz","",CONCATENATE(VLOOKUP($D66,kong_p2_var!$B$20:$H$26,SUBSTITUTE(M$1,"target_","") + 1,FALSE),":",$E66))</f>
        <v>172.20.148.135:N/A</v>
      </c>
      <c r="N66" t="str">
        <f>IF($C66="dmz","",CONCATENATE(VLOOKUP($D66,kong_p2_var!$B$20:$H$26,SUBSTITUTE(N$1,"target_","") + 1,FALSE),":",$E66))</f>
        <v>172.20.148.136:N/A</v>
      </c>
      <c r="O66" t="str">
        <f>VLOOKUP($D66,kong_p2_var!$B$10:$D$16,3,FALSE)</f>
        <v>172.20.149.183</v>
      </c>
      <c r="P66" t="str">
        <f>CONCATENATE("/",C66,MID(D66,2,15),"/",svc!$I65)</f>
        <v>/trust510/bes_notification_push_email_services</v>
      </c>
      <c r="Q66" t="str">
        <f>VLOOKUP(C66,kong_p2_var!$B$6:$C$7,2,FALSE)</f>
        <v>http://172.20.148.160:8001</v>
      </c>
      <c r="R66" t="str">
        <f>SUBSTITUTE(SUBSTITUTE(kong_p2_var!$J$1,"&lt;upstream_name&gt;",$F66),"&lt;kong_api_url&gt;",$Q66)</f>
        <v>curl -X PUT http://172.20.148.160:8001/upstreams/ups-v510-bes_notification_push_email_services</v>
      </c>
      <c r="S66" t="str">
        <f>SUBSTITUTE(SUBSTITUTE(SUBSTITUTE(SUBSTITUTE(kong_p2_var!$J$2,"&lt;kong_api_url&gt;",$Q66),"&lt;upstream_name&gt;",$F66),"&lt;port&gt;",$E66),"&lt;service_name&gt;",$G66)</f>
        <v>curl -X PUT http://172.20.148.160:8001/services/svc-v510-bes_notification_push_email_services -H "Content-Type: application/json" -d '{"protocol":"http","host":"ups-v510-bes_notification_push_email_services","port":N/A}'</v>
      </c>
      <c r="T66" t="str">
        <f>SUBSTITUTE(SUBSTITUTE(SUBSTITUTE(SUBSTITUTE(SUBSTITUTE(kong_p2_var!$J$3,"&lt;kong_api_url&gt;",$Q66),"&lt;route_name&gt;",$H66),"&lt;service_name&gt;",$G66),"&lt;host&gt;",$O66),"&lt;path&gt;",$P66)</f>
        <v>curl -X PUT http://172.20.148.160:8001/services/svc-v510-bes_notification_push_email_services/routes/route-v504-v510-bes_notification_push_email_services -H "Content-Type: application/json" -d '{"protocols":["http"],"hosts":["172.20.149.183"],"paths":["/trust510/bes_notification_push_email_services"]}'</v>
      </c>
      <c r="U66" t="str">
        <f t="shared" si="1"/>
        <v>curl -X POST http://172.20.148.160:8001/upstreams/ups-v510-bes_notification_push_email_services/targets -d 'target=172.20.148.131:N/A'</v>
      </c>
      <c r="V66" t="str">
        <f t="shared" si="2"/>
        <v>curl -X POST http://172.20.148.160:8001/upstreams/ups-v510-bes_notification_push_email_services/targets -d 'target=172.20.148.132:N/A'</v>
      </c>
      <c r="W66" t="str">
        <f t="shared" si="3"/>
        <v>curl -X POST http://172.20.148.160:8001/upstreams/ups-v510-bes_notification_push_email_services/targets -d 'target=172.20.148.133:N/A'</v>
      </c>
      <c r="X66" t="str">
        <f t="shared" si="4"/>
        <v>curl -X POST http://172.20.148.160:8001/upstreams/ups-v510-bes_notification_push_email_services/targets -d 'target=172.20.148.134:N/A'</v>
      </c>
      <c r="Y66" t="str">
        <f t="shared" si="5"/>
        <v>curl -X POST http://172.20.148.160:8001/upstreams/ups-v510-bes_notification_push_email_services/targets -d 'target=172.20.148.135:N/A'</v>
      </c>
      <c r="Z66" t="str">
        <f t="shared" si="6"/>
        <v>curl -X POST http://172.20.148.160:8001/upstreams/ups-v510-bes_notification_push_email_services/targets -d 'target=172.20.148.136:N/A'</v>
      </c>
    </row>
    <row r="67" spans="1:26" hidden="1">
      <c r="A67">
        <f>IF(ISNUMBER(SEARCH("rest_api",svc!R66)),1,0)</f>
        <v>0</v>
      </c>
      <c r="C67" t="str">
        <f>svc!D66</f>
        <v>trust</v>
      </c>
      <c r="D67" t="str">
        <f>svc!$B66</f>
        <v>v510</v>
      </c>
      <c r="E67" t="str">
        <f>svc!G66</f>
        <v>N/A</v>
      </c>
      <c r="F67" t="str">
        <f>CONCATENATE("ups-",svc!$B66,"-",svc!I66)</f>
        <v>ups-v510-bes_notification_push_sms_services</v>
      </c>
      <c r="G67" t="str">
        <f>CONCATENATE("svc-",svc!$B66,"-",svc!I66)</f>
        <v>svc-v510-bes_notification_push_sms_services</v>
      </c>
      <c r="H67" t="str">
        <f>CONCATENATE("route-",VLOOKUP($D67,kong_p2_var!$B$10:$D$16,2,FALSE),"-",svc!$B66,"-",svc!I66)</f>
        <v>route-v504-v510-bes_notification_push_sms_services</v>
      </c>
      <c r="I67" t="str">
        <f>CONCATENATE(VLOOKUP($D67,kong_p2_var!$B$20:$H$26,SUBSTITUTE(I$1,"target_","") + 1,FALSE),":",$E67)</f>
        <v>172.20.148.131:N/A</v>
      </c>
      <c r="J67" t="str">
        <f>CONCATENATE(VLOOKUP($D67,kong_p2_var!$B$20:$H$26,SUBSTITUTE(J$1,"target_","") + 1,FALSE),":",$E67)</f>
        <v>172.20.148.132:N/A</v>
      </c>
      <c r="K67" t="str">
        <f>CONCATENATE(VLOOKUP($D67,kong_p2_var!$B$20:$H$26,SUBSTITUTE(K$1,"target_","") + 1,FALSE),":",$E67)</f>
        <v>172.20.148.133:N/A</v>
      </c>
      <c r="L67" t="str">
        <f>IF($C67="dmz","",CONCATENATE(VLOOKUP($D67,kong_p2_var!$B$20:$H$26,SUBSTITUTE(L$1,"target_","") + 1,FALSE),":",$E67))</f>
        <v>172.20.148.134:N/A</v>
      </c>
      <c r="M67" t="str">
        <f>IF($C67="dmz","",CONCATENATE(VLOOKUP($D67,kong_p2_var!$B$20:$H$26,SUBSTITUTE(M$1,"target_","") + 1,FALSE),":",$E67))</f>
        <v>172.20.148.135:N/A</v>
      </c>
      <c r="N67" t="str">
        <f>IF($C67="dmz","",CONCATENATE(VLOOKUP($D67,kong_p2_var!$B$20:$H$26,SUBSTITUTE(N$1,"target_","") + 1,FALSE),":",$E67))</f>
        <v>172.20.148.136:N/A</v>
      </c>
      <c r="O67" t="str">
        <f>VLOOKUP($D67,kong_p2_var!$B$10:$D$16,3,FALSE)</f>
        <v>172.20.149.183</v>
      </c>
      <c r="P67" t="str">
        <f>CONCATENATE("/",C67,MID(D67,2,15),"/",svc!$I66)</f>
        <v>/trust510/bes_notification_push_sms_services</v>
      </c>
      <c r="Q67" t="str">
        <f>VLOOKUP(C67,kong_p2_var!$B$6:$C$7,2,FALSE)</f>
        <v>http://172.20.148.160:8001</v>
      </c>
      <c r="R67" t="str">
        <f>SUBSTITUTE(SUBSTITUTE(kong_p2_var!$J$1,"&lt;upstream_name&gt;",$F67),"&lt;kong_api_url&gt;",$Q67)</f>
        <v>curl -X PUT http://172.20.148.160:8001/upstreams/ups-v510-bes_notification_push_sms_services</v>
      </c>
      <c r="S67" t="str">
        <f>SUBSTITUTE(SUBSTITUTE(SUBSTITUTE(SUBSTITUTE(kong_p2_var!$J$2,"&lt;kong_api_url&gt;",$Q67),"&lt;upstream_name&gt;",$F67),"&lt;port&gt;",$E67),"&lt;service_name&gt;",$G67)</f>
        <v>curl -X PUT http://172.20.148.160:8001/services/svc-v510-bes_notification_push_sms_services -H "Content-Type: application/json" -d '{"protocol":"http","host":"ups-v510-bes_notification_push_sms_services","port":N/A}'</v>
      </c>
      <c r="T67" t="str">
        <f>SUBSTITUTE(SUBSTITUTE(SUBSTITUTE(SUBSTITUTE(SUBSTITUTE(kong_p2_var!$J$3,"&lt;kong_api_url&gt;",$Q67),"&lt;route_name&gt;",$H67),"&lt;service_name&gt;",$G67),"&lt;host&gt;",$O67),"&lt;path&gt;",$P67)</f>
        <v>curl -X PUT http://172.20.148.160:8001/services/svc-v510-bes_notification_push_sms_services/routes/route-v504-v510-bes_notification_push_sms_services -H "Content-Type: application/json" -d '{"protocols":["http"],"hosts":["172.20.149.183"],"paths":["/trust510/bes_notification_push_sms_services"]}'</v>
      </c>
      <c r="U67" t="str">
        <f t="shared" ref="U67:U108" si="7">IF(I67="","","curl -X POST " &amp; $Q67 &amp; "/upstreams/"&amp; $F67 &amp;"/targets -d 'target="&amp; I67 &amp; "'")</f>
        <v>curl -X POST http://172.20.148.160:8001/upstreams/ups-v510-bes_notification_push_sms_services/targets -d 'target=172.20.148.131:N/A'</v>
      </c>
      <c r="V67" t="str">
        <f t="shared" ref="V67:V108" si="8">IF(J67="","","curl -X POST " &amp; $Q67 &amp; "/upstreams/"&amp; $F67 &amp;"/targets -d 'target="&amp; J67 &amp; "'")</f>
        <v>curl -X POST http://172.20.148.160:8001/upstreams/ups-v510-bes_notification_push_sms_services/targets -d 'target=172.20.148.132:N/A'</v>
      </c>
      <c r="W67" t="str">
        <f t="shared" ref="W67:W108" si="9">IF(K67="","","curl -X POST " &amp; $Q67 &amp; "/upstreams/"&amp; $F67 &amp;"/targets -d 'target="&amp; K67 &amp; "'")</f>
        <v>curl -X POST http://172.20.148.160:8001/upstreams/ups-v510-bes_notification_push_sms_services/targets -d 'target=172.20.148.133:N/A'</v>
      </c>
      <c r="X67" t="str">
        <f t="shared" ref="X67:X108" si="10">IF(L67="","","curl -X POST " &amp; $Q67 &amp; "/upstreams/"&amp; $F67 &amp;"/targets -d 'target="&amp; L67 &amp; "'")</f>
        <v>curl -X POST http://172.20.148.160:8001/upstreams/ups-v510-bes_notification_push_sms_services/targets -d 'target=172.20.148.134:N/A'</v>
      </c>
      <c r="Y67" t="str">
        <f t="shared" ref="Y67:Y108" si="11">IF(M67="","","curl -X POST " &amp; $Q67 &amp; "/upstreams/"&amp; $F67 &amp;"/targets -d 'target="&amp; M67 &amp; "'")</f>
        <v>curl -X POST http://172.20.148.160:8001/upstreams/ups-v510-bes_notification_push_sms_services/targets -d 'target=172.20.148.135:N/A'</v>
      </c>
      <c r="Z67" t="str">
        <f t="shared" ref="Z67:Z108" si="12">IF(N67="","","curl -X POST " &amp; $Q67 &amp; "/upstreams/"&amp; $F67 &amp;"/targets -d 'target="&amp; N67 &amp; "'")</f>
        <v>curl -X POST http://172.20.148.160:8001/upstreams/ups-v510-bes_notification_push_sms_services/targets -d 'target=172.20.148.136:N/A'</v>
      </c>
    </row>
    <row r="68" spans="1:26" hidden="1">
      <c r="A68">
        <f>IF(ISNUMBER(SEARCH("rest_api",svc!R67)),1,0)</f>
        <v>0</v>
      </c>
      <c r="C68" t="str">
        <f>svc!D67</f>
        <v>trust</v>
      </c>
      <c r="D68" t="str">
        <f>svc!$B67</f>
        <v>v510</v>
      </c>
      <c r="E68" t="str">
        <f>svc!G67</f>
        <v>N/A</v>
      </c>
      <c r="F68" t="str">
        <f>CONCATENATE("ups-",svc!$B67,"-",svc!I67)</f>
        <v>ups-v510-bes_send_schedule_notification_services</v>
      </c>
      <c r="G68" t="str">
        <f>CONCATENATE("svc-",svc!$B67,"-",svc!I67)</f>
        <v>svc-v510-bes_send_schedule_notification_services</v>
      </c>
      <c r="H68" t="str">
        <f>CONCATENATE("route-",VLOOKUP($D68,kong_p2_var!$B$10:$D$16,2,FALSE),"-",svc!$B67,"-",svc!I67)</f>
        <v>route-v504-v510-bes_send_schedule_notification_services</v>
      </c>
      <c r="I68" t="str">
        <f>CONCATENATE(VLOOKUP($D68,kong_p2_var!$B$20:$H$26,SUBSTITUTE(I$1,"target_","") + 1,FALSE),":",$E68)</f>
        <v>172.20.148.131:N/A</v>
      </c>
      <c r="J68" t="str">
        <f>CONCATENATE(VLOOKUP($D68,kong_p2_var!$B$20:$H$26,SUBSTITUTE(J$1,"target_","") + 1,FALSE),":",$E68)</f>
        <v>172.20.148.132:N/A</v>
      </c>
      <c r="K68" t="str">
        <f>CONCATENATE(VLOOKUP($D68,kong_p2_var!$B$20:$H$26,SUBSTITUTE(K$1,"target_","") + 1,FALSE),":",$E68)</f>
        <v>172.20.148.133:N/A</v>
      </c>
      <c r="L68" t="str">
        <f>IF($C68="dmz","",CONCATENATE(VLOOKUP($D68,kong_p2_var!$B$20:$H$26,SUBSTITUTE(L$1,"target_","") + 1,FALSE),":",$E68))</f>
        <v>172.20.148.134:N/A</v>
      </c>
      <c r="M68" t="str">
        <f>IF($C68="dmz","",CONCATENATE(VLOOKUP($D68,kong_p2_var!$B$20:$H$26,SUBSTITUTE(M$1,"target_","") + 1,FALSE),":",$E68))</f>
        <v>172.20.148.135:N/A</v>
      </c>
      <c r="N68" t="str">
        <f>IF($C68="dmz","",CONCATENATE(VLOOKUP($D68,kong_p2_var!$B$20:$H$26,SUBSTITUTE(N$1,"target_","") + 1,FALSE),":",$E68))</f>
        <v>172.20.148.136:N/A</v>
      </c>
      <c r="O68" t="str">
        <f>VLOOKUP($D68,kong_p2_var!$B$10:$D$16,3,FALSE)</f>
        <v>172.20.149.183</v>
      </c>
      <c r="P68" t="str">
        <f>CONCATENATE("/",C68,MID(D68,2,15),"/",svc!$I67)</f>
        <v>/trust510/bes_send_schedule_notification_services</v>
      </c>
      <c r="Q68" t="str">
        <f>VLOOKUP(C68,kong_p2_var!$B$6:$C$7,2,FALSE)</f>
        <v>http://172.20.148.160:8001</v>
      </c>
      <c r="R68" t="str">
        <f>SUBSTITUTE(SUBSTITUTE(kong_p2_var!$J$1,"&lt;upstream_name&gt;",$F68),"&lt;kong_api_url&gt;",$Q68)</f>
        <v>curl -X PUT http://172.20.148.160:8001/upstreams/ups-v510-bes_send_schedule_notification_services</v>
      </c>
      <c r="S68" t="str">
        <f>SUBSTITUTE(SUBSTITUTE(SUBSTITUTE(SUBSTITUTE(kong_p2_var!$J$2,"&lt;kong_api_url&gt;",$Q68),"&lt;upstream_name&gt;",$F68),"&lt;port&gt;",$E68),"&lt;service_name&gt;",$G68)</f>
        <v>curl -X PUT http://172.20.148.160:8001/services/svc-v510-bes_send_schedule_notification_services -H "Content-Type: application/json" -d '{"protocol":"http","host":"ups-v510-bes_send_schedule_notification_services","port":N/A}'</v>
      </c>
      <c r="T68" t="str">
        <f>SUBSTITUTE(SUBSTITUTE(SUBSTITUTE(SUBSTITUTE(SUBSTITUTE(kong_p2_var!$J$3,"&lt;kong_api_url&gt;",$Q68),"&lt;route_name&gt;",$H68),"&lt;service_name&gt;",$G68),"&lt;host&gt;",$O68),"&lt;path&gt;",$P68)</f>
        <v>curl -X PUT http://172.20.148.160:8001/services/svc-v510-bes_send_schedule_notification_services/routes/route-v504-v510-bes_send_schedule_notification_services -H "Content-Type: application/json" -d '{"protocols":["http"],"hosts":["172.20.149.183"],"paths":["/trust510/bes_send_schedule_notification_services"]}'</v>
      </c>
      <c r="U68" t="str">
        <f t="shared" si="7"/>
        <v>curl -X POST http://172.20.148.160:8001/upstreams/ups-v510-bes_send_schedule_notification_services/targets -d 'target=172.20.148.131:N/A'</v>
      </c>
      <c r="V68" t="str">
        <f t="shared" si="8"/>
        <v>curl -X POST http://172.20.148.160:8001/upstreams/ups-v510-bes_send_schedule_notification_services/targets -d 'target=172.20.148.132:N/A'</v>
      </c>
      <c r="W68" t="str">
        <f t="shared" si="9"/>
        <v>curl -X POST http://172.20.148.160:8001/upstreams/ups-v510-bes_send_schedule_notification_services/targets -d 'target=172.20.148.133:N/A'</v>
      </c>
      <c r="X68" t="str">
        <f t="shared" si="10"/>
        <v>curl -X POST http://172.20.148.160:8001/upstreams/ups-v510-bes_send_schedule_notification_services/targets -d 'target=172.20.148.134:N/A'</v>
      </c>
      <c r="Y68" t="str">
        <f t="shared" si="11"/>
        <v>curl -X POST http://172.20.148.160:8001/upstreams/ups-v510-bes_send_schedule_notification_services/targets -d 'target=172.20.148.135:N/A'</v>
      </c>
      <c r="Z68" t="str">
        <f t="shared" si="12"/>
        <v>curl -X POST http://172.20.148.160:8001/upstreams/ups-v510-bes_send_schedule_notification_services/targets -d 'target=172.20.148.136:N/A'</v>
      </c>
    </row>
    <row r="69" spans="1:26">
      <c r="A69">
        <f>IF(ISNUMBER(SEARCH("rest_api",svc!R68)),1,0)</f>
        <v>1</v>
      </c>
      <c r="C69" t="str">
        <f>svc!D68</f>
        <v>trust</v>
      </c>
      <c r="D69" t="str">
        <f>svc!$B68</f>
        <v>v510</v>
      </c>
      <c r="E69">
        <f>svc!G68</f>
        <v>31312</v>
      </c>
      <c r="F69" t="str">
        <f>CONCATENATE("ups-",svc!$B68,"-",svc!I68)</f>
        <v>ups-v510-bes_das_im001_general</v>
      </c>
      <c r="G69" t="str">
        <f>CONCATENATE("svc-",svc!$B68,"-",svc!I68)</f>
        <v>svc-v510-bes_das_im001_general</v>
      </c>
      <c r="H69" t="str">
        <f>CONCATENATE("route-",VLOOKUP($D69,kong_p2_var!$B$10:$D$16,2,FALSE),"-",svc!$B68,"-",svc!I68)</f>
        <v>route-v504-v510-bes_das_im001_general</v>
      </c>
      <c r="I69" t="str">
        <f>CONCATENATE(VLOOKUP($D69,kong_p2_var!$B$20:$H$26,SUBSTITUTE(I$1,"target_","") + 1,FALSE),":",$E69)</f>
        <v>172.20.148.131:31312</v>
      </c>
      <c r="J69" t="str">
        <f>CONCATENATE(VLOOKUP($D69,kong_p2_var!$B$20:$H$26,SUBSTITUTE(J$1,"target_","") + 1,FALSE),":",$E69)</f>
        <v>172.20.148.132:31312</v>
      </c>
      <c r="K69" t="str">
        <f>CONCATENATE(VLOOKUP($D69,kong_p2_var!$B$20:$H$26,SUBSTITUTE(K$1,"target_","") + 1,FALSE),":",$E69)</f>
        <v>172.20.148.133:31312</v>
      </c>
      <c r="L69" t="str">
        <f>IF($C69="dmz","",CONCATENATE(VLOOKUP($D69,kong_p2_var!$B$20:$H$26,SUBSTITUTE(L$1,"target_","") + 1,FALSE),":",$E69))</f>
        <v>172.20.148.134:31312</v>
      </c>
      <c r="M69" t="str">
        <f>IF($C69="dmz","",CONCATENATE(VLOOKUP($D69,kong_p2_var!$B$20:$H$26,SUBSTITUTE(M$1,"target_","") + 1,FALSE),":",$E69))</f>
        <v>172.20.148.135:31312</v>
      </c>
      <c r="N69" t="str">
        <f>IF($C69="dmz","",CONCATENATE(VLOOKUP($D69,kong_p2_var!$B$20:$H$26,SUBSTITUTE(N$1,"target_","") + 1,FALSE),":",$E69))</f>
        <v>172.20.148.136:31312</v>
      </c>
      <c r="O69" t="str">
        <f>VLOOKUP($D69,kong_p2_var!$B$10:$D$16,3,FALSE)</f>
        <v>172.20.149.183</v>
      </c>
      <c r="P69" t="str">
        <f>CONCATENATE("/",C69,MID(D69,2,15),"/",svc!$I68)</f>
        <v>/trust510/bes_das_im001_general</v>
      </c>
      <c r="Q69" t="str">
        <f>VLOOKUP(C69,kong_p2_var!$B$6:$C$7,2,FALSE)</f>
        <v>http://172.20.148.160:8001</v>
      </c>
      <c r="R69" t="str">
        <f>SUBSTITUTE(SUBSTITUTE(kong_p2_var!$J$1,"&lt;upstream_name&gt;",$F69),"&lt;kong_api_url&gt;",$Q69)</f>
        <v>curl -X PUT http://172.20.148.160:8001/upstreams/ups-v510-bes_das_im001_general</v>
      </c>
      <c r="S69" t="str">
        <f>SUBSTITUTE(SUBSTITUTE(SUBSTITUTE(SUBSTITUTE(kong_p2_var!$J$2,"&lt;kong_api_url&gt;",$Q69),"&lt;upstream_name&gt;",$F69),"&lt;port&gt;",$E69),"&lt;service_name&gt;",$G69)</f>
        <v>curl -X PUT http://172.20.148.160:8001/services/svc-v510-bes_das_im001_general -H "Content-Type: application/json" -d '{"protocol":"http","host":"ups-v510-bes_das_im001_general","port":31312}'</v>
      </c>
      <c r="T69" t="str">
        <f>SUBSTITUTE(SUBSTITUTE(SUBSTITUTE(SUBSTITUTE(SUBSTITUTE(kong_p2_var!$J$3,"&lt;kong_api_url&gt;",$Q69),"&lt;route_name&gt;",$H69),"&lt;service_name&gt;",$G69),"&lt;host&gt;",$O69),"&lt;path&gt;",$P69)</f>
        <v>curl -X PUT http://172.20.148.160:8001/services/svc-v510-bes_das_im001_general/routes/route-v504-v510-bes_das_im001_general -H "Content-Type: application/json" -d '{"protocols":["http"],"hosts":["172.20.149.183"],"paths":["/trust510/bes_das_im001_general"]}'</v>
      </c>
      <c r="U69" t="str">
        <f t="shared" si="7"/>
        <v>curl -X POST http://172.20.148.160:8001/upstreams/ups-v510-bes_das_im001_general/targets -d 'target=172.20.148.131:31312'</v>
      </c>
      <c r="V69" t="str">
        <f t="shared" si="8"/>
        <v>curl -X POST http://172.20.148.160:8001/upstreams/ups-v510-bes_das_im001_general/targets -d 'target=172.20.148.132:31312'</v>
      </c>
      <c r="W69" t="str">
        <f t="shared" si="9"/>
        <v>curl -X POST http://172.20.148.160:8001/upstreams/ups-v510-bes_das_im001_general/targets -d 'target=172.20.148.133:31312'</v>
      </c>
      <c r="X69" t="str">
        <f t="shared" si="10"/>
        <v>curl -X POST http://172.20.148.160:8001/upstreams/ups-v510-bes_das_im001_general/targets -d 'target=172.20.148.134:31312'</v>
      </c>
      <c r="Y69" t="str">
        <f t="shared" si="11"/>
        <v>curl -X POST http://172.20.148.160:8001/upstreams/ups-v510-bes_das_im001_general/targets -d 'target=172.20.148.135:31312'</v>
      </c>
      <c r="Z69" t="str">
        <f t="shared" si="12"/>
        <v>curl -X POST http://172.20.148.160:8001/upstreams/ups-v510-bes_das_im001_general/targets -d 'target=172.20.148.136:31312'</v>
      </c>
    </row>
    <row r="70" spans="1:26">
      <c r="A70">
        <f>IF(ISNUMBER(SEARCH("rest_api",svc!R69)),1,0)</f>
        <v>1</v>
      </c>
      <c r="C70" t="str">
        <f>svc!D69</f>
        <v>trust</v>
      </c>
      <c r="D70" t="str">
        <f>svc!$B69</f>
        <v>v510</v>
      </c>
      <c r="E70">
        <f>svc!G69</f>
        <v>31313</v>
      </c>
      <c r="F70" t="str">
        <f>CONCATENATE("ups-",svc!$B69,"-",svc!I69)</f>
        <v>ups-v510-bes_tsp_misc</v>
      </c>
      <c r="G70" t="str">
        <f>CONCATENATE("svc-",svc!$B69,"-",svc!I69)</f>
        <v>svc-v510-bes_tsp_misc</v>
      </c>
      <c r="H70" t="str">
        <f>CONCATENATE("route-",VLOOKUP($D70,kong_p2_var!$B$10:$D$16,2,FALSE),"-",svc!$B69,"-",svc!I69)</f>
        <v>route-v504-v510-bes_tsp_misc</v>
      </c>
      <c r="I70" t="str">
        <f>CONCATENATE(VLOOKUP($D70,kong_p2_var!$B$20:$H$26,SUBSTITUTE(I$1,"target_","") + 1,FALSE),":",$E70)</f>
        <v>172.20.148.131:31313</v>
      </c>
      <c r="J70" t="str">
        <f>CONCATENATE(VLOOKUP($D70,kong_p2_var!$B$20:$H$26,SUBSTITUTE(J$1,"target_","") + 1,FALSE),":",$E70)</f>
        <v>172.20.148.132:31313</v>
      </c>
      <c r="K70" t="str">
        <f>CONCATENATE(VLOOKUP($D70,kong_p2_var!$B$20:$H$26,SUBSTITUTE(K$1,"target_","") + 1,FALSE),":",$E70)</f>
        <v>172.20.148.133:31313</v>
      </c>
      <c r="L70" t="str">
        <f>IF($C70="dmz","",CONCATENATE(VLOOKUP($D70,kong_p2_var!$B$20:$H$26,SUBSTITUTE(L$1,"target_","") + 1,FALSE),":",$E70))</f>
        <v>172.20.148.134:31313</v>
      </c>
      <c r="M70" t="str">
        <f>IF($C70="dmz","",CONCATENATE(VLOOKUP($D70,kong_p2_var!$B$20:$H$26,SUBSTITUTE(M$1,"target_","") + 1,FALSE),":",$E70))</f>
        <v>172.20.148.135:31313</v>
      </c>
      <c r="N70" t="str">
        <f>IF($C70="dmz","",CONCATENATE(VLOOKUP($D70,kong_p2_var!$B$20:$H$26,SUBSTITUTE(N$1,"target_","") + 1,FALSE),":",$E70))</f>
        <v>172.20.148.136:31313</v>
      </c>
      <c r="O70" t="str">
        <f>VLOOKUP($D70,kong_p2_var!$B$10:$D$16,3,FALSE)</f>
        <v>172.20.149.183</v>
      </c>
      <c r="P70" t="str">
        <f>CONCATENATE("/",C70,MID(D70,2,15),"/",svc!$I69)</f>
        <v>/trust510/bes_tsp_misc</v>
      </c>
      <c r="Q70" t="str">
        <f>VLOOKUP(C70,kong_p2_var!$B$6:$C$7,2,FALSE)</f>
        <v>http://172.20.148.160:8001</v>
      </c>
      <c r="R70" t="str">
        <f>SUBSTITUTE(SUBSTITUTE(kong_p2_var!$J$1,"&lt;upstream_name&gt;",$F70),"&lt;kong_api_url&gt;",$Q70)</f>
        <v>curl -X PUT http://172.20.148.160:8001/upstreams/ups-v510-bes_tsp_misc</v>
      </c>
      <c r="S70" t="str">
        <f>SUBSTITUTE(SUBSTITUTE(SUBSTITUTE(SUBSTITUTE(kong_p2_var!$J$2,"&lt;kong_api_url&gt;",$Q70),"&lt;upstream_name&gt;",$F70),"&lt;port&gt;",$E70),"&lt;service_name&gt;",$G70)</f>
        <v>curl -X PUT http://172.20.148.160:8001/services/svc-v510-bes_tsp_misc -H "Content-Type: application/json" -d '{"protocol":"http","host":"ups-v510-bes_tsp_misc","port":31313}'</v>
      </c>
      <c r="T70" t="str">
        <f>SUBSTITUTE(SUBSTITUTE(SUBSTITUTE(SUBSTITUTE(SUBSTITUTE(kong_p2_var!$J$3,"&lt;kong_api_url&gt;",$Q70),"&lt;route_name&gt;",$H70),"&lt;service_name&gt;",$G70),"&lt;host&gt;",$O70),"&lt;path&gt;",$P70)</f>
        <v>curl -X PUT http://172.20.148.160:8001/services/svc-v510-bes_tsp_misc/routes/route-v504-v510-bes_tsp_misc -H "Content-Type: application/json" -d '{"protocols":["http"],"hosts":["172.20.149.183"],"paths":["/trust510/bes_tsp_misc"]}'</v>
      </c>
      <c r="U70" t="str">
        <f t="shared" si="7"/>
        <v>curl -X POST http://172.20.148.160:8001/upstreams/ups-v510-bes_tsp_misc/targets -d 'target=172.20.148.131:31313'</v>
      </c>
      <c r="V70" t="str">
        <f t="shared" si="8"/>
        <v>curl -X POST http://172.20.148.160:8001/upstreams/ups-v510-bes_tsp_misc/targets -d 'target=172.20.148.132:31313'</v>
      </c>
      <c r="W70" t="str">
        <f t="shared" si="9"/>
        <v>curl -X POST http://172.20.148.160:8001/upstreams/ups-v510-bes_tsp_misc/targets -d 'target=172.20.148.133:31313'</v>
      </c>
      <c r="X70" t="str">
        <f t="shared" si="10"/>
        <v>curl -X POST http://172.20.148.160:8001/upstreams/ups-v510-bes_tsp_misc/targets -d 'target=172.20.148.134:31313'</v>
      </c>
      <c r="Y70" t="str">
        <f t="shared" si="11"/>
        <v>curl -X POST http://172.20.148.160:8001/upstreams/ups-v510-bes_tsp_misc/targets -d 'target=172.20.148.135:31313'</v>
      </c>
      <c r="Z70" t="str">
        <f t="shared" si="12"/>
        <v>curl -X POST http://172.20.148.160:8001/upstreams/ups-v510-bes_tsp_misc/targets -d 'target=172.20.148.136:31313'</v>
      </c>
    </row>
    <row r="71" spans="1:26">
      <c r="A71">
        <f>IF(ISNUMBER(SEARCH("rest_api",svc!R70)),1,0)</f>
        <v>1</v>
      </c>
      <c r="C71" t="str">
        <f>svc!D70</f>
        <v>trust</v>
      </c>
      <c r="D71" t="str">
        <f>svc!$B70</f>
        <v>v510</v>
      </c>
      <c r="E71">
        <f>svc!G70</f>
        <v>31315</v>
      </c>
      <c r="F71" t="str">
        <f>CONCATENATE("ups-",svc!$B70,"-",svc!I70)</f>
        <v>ups-v510-bes_validv</v>
      </c>
      <c r="G71" t="str">
        <f>CONCATENATE("svc-",svc!$B70,"-",svc!I70)</f>
        <v>svc-v510-bes_validv</v>
      </c>
      <c r="H71" t="str">
        <f>CONCATENATE("route-",VLOOKUP($D71,kong_p2_var!$B$10:$D$16,2,FALSE),"-",svc!$B70,"-",svc!I70)</f>
        <v>route-v504-v510-bes_validv</v>
      </c>
      <c r="I71" t="str">
        <f>CONCATENATE(VLOOKUP($D71,kong_p2_var!$B$20:$H$26,SUBSTITUTE(I$1,"target_","") + 1,FALSE),":",$E71)</f>
        <v>172.20.148.131:31315</v>
      </c>
      <c r="J71" t="str">
        <f>CONCATENATE(VLOOKUP($D71,kong_p2_var!$B$20:$H$26,SUBSTITUTE(J$1,"target_","") + 1,FALSE),":",$E71)</f>
        <v>172.20.148.132:31315</v>
      </c>
      <c r="K71" t="str">
        <f>CONCATENATE(VLOOKUP($D71,kong_p2_var!$B$20:$H$26,SUBSTITUTE(K$1,"target_","") + 1,FALSE),":",$E71)</f>
        <v>172.20.148.133:31315</v>
      </c>
      <c r="L71" t="str">
        <f>IF($C71="dmz","",CONCATENATE(VLOOKUP($D71,kong_p2_var!$B$20:$H$26,SUBSTITUTE(L$1,"target_","") + 1,FALSE),":",$E71))</f>
        <v>172.20.148.134:31315</v>
      </c>
      <c r="M71" t="str">
        <f>IF($C71="dmz","",CONCATENATE(VLOOKUP($D71,kong_p2_var!$B$20:$H$26,SUBSTITUTE(M$1,"target_","") + 1,FALSE),":",$E71))</f>
        <v>172.20.148.135:31315</v>
      </c>
      <c r="N71" t="str">
        <f>IF($C71="dmz","",CONCATENATE(VLOOKUP($D71,kong_p2_var!$B$20:$H$26,SUBSTITUTE(N$1,"target_","") + 1,FALSE),":",$E71))</f>
        <v>172.20.148.136:31315</v>
      </c>
      <c r="O71" t="str">
        <f>VLOOKUP($D71,kong_p2_var!$B$10:$D$16,3,FALSE)</f>
        <v>172.20.149.183</v>
      </c>
      <c r="P71" t="str">
        <f>CONCATENATE("/",C71,MID(D71,2,15),"/",svc!$I70)</f>
        <v>/trust510/bes_validv</v>
      </c>
      <c r="Q71" t="str">
        <f>VLOOKUP(C71,kong_p2_var!$B$6:$C$7,2,FALSE)</f>
        <v>http://172.20.148.160:8001</v>
      </c>
      <c r="R71" t="str">
        <f>SUBSTITUTE(SUBSTITUTE(kong_p2_var!$J$1,"&lt;upstream_name&gt;",$F71),"&lt;kong_api_url&gt;",$Q71)</f>
        <v>curl -X PUT http://172.20.148.160:8001/upstreams/ups-v510-bes_validv</v>
      </c>
      <c r="S71" t="str">
        <f>SUBSTITUTE(SUBSTITUTE(SUBSTITUTE(SUBSTITUTE(kong_p2_var!$J$2,"&lt;kong_api_url&gt;",$Q71),"&lt;upstream_name&gt;",$F71),"&lt;port&gt;",$E71),"&lt;service_name&gt;",$G71)</f>
        <v>curl -X PUT http://172.20.148.160:8001/services/svc-v510-bes_validv -H "Content-Type: application/json" -d '{"protocol":"http","host":"ups-v510-bes_validv","port":31315}'</v>
      </c>
      <c r="T71" t="str">
        <f>SUBSTITUTE(SUBSTITUTE(SUBSTITUTE(SUBSTITUTE(SUBSTITUTE(kong_p2_var!$J$3,"&lt;kong_api_url&gt;",$Q71),"&lt;route_name&gt;",$H71),"&lt;service_name&gt;",$G71),"&lt;host&gt;",$O71),"&lt;path&gt;",$P71)</f>
        <v>curl -X PUT http://172.20.148.160:8001/services/svc-v510-bes_validv/routes/route-v504-v510-bes_validv -H "Content-Type: application/json" -d '{"protocols":["http"],"hosts":["172.20.149.183"],"paths":["/trust510/bes_validv"]}'</v>
      </c>
      <c r="U71" t="str">
        <f t="shared" si="7"/>
        <v>curl -X POST http://172.20.148.160:8001/upstreams/ups-v510-bes_validv/targets -d 'target=172.20.148.131:31315'</v>
      </c>
      <c r="V71" t="str">
        <f t="shared" si="8"/>
        <v>curl -X POST http://172.20.148.160:8001/upstreams/ups-v510-bes_validv/targets -d 'target=172.20.148.132:31315'</v>
      </c>
      <c r="W71" t="str">
        <f t="shared" si="9"/>
        <v>curl -X POST http://172.20.148.160:8001/upstreams/ups-v510-bes_validv/targets -d 'target=172.20.148.133:31315'</v>
      </c>
      <c r="X71" t="str">
        <f t="shared" si="10"/>
        <v>curl -X POST http://172.20.148.160:8001/upstreams/ups-v510-bes_validv/targets -d 'target=172.20.148.134:31315'</v>
      </c>
      <c r="Y71" t="str">
        <f t="shared" si="11"/>
        <v>curl -X POST http://172.20.148.160:8001/upstreams/ups-v510-bes_validv/targets -d 'target=172.20.148.135:31315'</v>
      </c>
      <c r="Z71" t="str">
        <f t="shared" si="12"/>
        <v>curl -X POST http://172.20.148.160:8001/upstreams/ups-v510-bes_validv/targets -d 'target=172.20.148.136:31315'</v>
      </c>
    </row>
    <row r="72" spans="1:26">
      <c r="A72">
        <f>IF(ISNUMBER(SEARCH("rest_api",svc!R71)),1,0)</f>
        <v>1</v>
      </c>
      <c r="C72" t="str">
        <f>svc!D71</f>
        <v>trust</v>
      </c>
      <c r="D72" t="str">
        <f>svc!$B71</f>
        <v>v510</v>
      </c>
      <c r="E72">
        <f>svc!G71</f>
        <v>31316</v>
      </c>
      <c r="F72" t="str">
        <f>CONCATENATE("ups-",svc!$B71,"-",svc!I71)</f>
        <v>ups-v510-bes_vssd</v>
      </c>
      <c r="G72" t="str">
        <f>CONCATENATE("svc-",svc!$B71,"-",svc!I71)</f>
        <v>svc-v510-bes_vssd</v>
      </c>
      <c r="H72" t="str">
        <f>CONCATENATE("route-",VLOOKUP($D72,kong_p2_var!$B$10:$D$16,2,FALSE),"-",svc!$B71,"-",svc!I71)</f>
        <v>route-v504-v510-bes_vssd</v>
      </c>
      <c r="I72" t="str">
        <f>CONCATENATE(VLOOKUP($D72,kong_p2_var!$B$20:$H$26,SUBSTITUTE(I$1,"target_","") + 1,FALSE),":",$E72)</f>
        <v>172.20.148.131:31316</v>
      </c>
      <c r="J72" t="str">
        <f>CONCATENATE(VLOOKUP($D72,kong_p2_var!$B$20:$H$26,SUBSTITUTE(J$1,"target_","") + 1,FALSE),":",$E72)</f>
        <v>172.20.148.132:31316</v>
      </c>
      <c r="K72" t="str">
        <f>CONCATENATE(VLOOKUP($D72,kong_p2_var!$B$20:$H$26,SUBSTITUTE(K$1,"target_","") + 1,FALSE),":",$E72)</f>
        <v>172.20.148.133:31316</v>
      </c>
      <c r="L72" t="str">
        <f>IF($C72="dmz","",CONCATENATE(VLOOKUP($D72,kong_p2_var!$B$20:$H$26,SUBSTITUTE(L$1,"target_","") + 1,FALSE),":",$E72))</f>
        <v>172.20.148.134:31316</v>
      </c>
      <c r="M72" t="str">
        <f>IF($C72="dmz","",CONCATENATE(VLOOKUP($D72,kong_p2_var!$B$20:$H$26,SUBSTITUTE(M$1,"target_","") + 1,FALSE),":",$E72))</f>
        <v>172.20.148.135:31316</v>
      </c>
      <c r="N72" t="str">
        <f>IF($C72="dmz","",CONCATENATE(VLOOKUP($D72,kong_p2_var!$B$20:$H$26,SUBSTITUTE(N$1,"target_","") + 1,FALSE),":",$E72))</f>
        <v>172.20.148.136:31316</v>
      </c>
      <c r="O72" t="str">
        <f>VLOOKUP($D72,kong_p2_var!$B$10:$D$16,3,FALSE)</f>
        <v>172.20.149.183</v>
      </c>
      <c r="P72" t="str">
        <f>CONCATENATE("/",C72,MID(D72,2,15),"/",svc!$I71)</f>
        <v>/trust510/bes_vssd</v>
      </c>
      <c r="Q72" t="str">
        <f>VLOOKUP(C72,kong_p2_var!$B$6:$C$7,2,FALSE)</f>
        <v>http://172.20.148.160:8001</v>
      </c>
      <c r="R72" t="str">
        <f>SUBSTITUTE(SUBSTITUTE(kong_p2_var!$J$1,"&lt;upstream_name&gt;",$F72),"&lt;kong_api_url&gt;",$Q72)</f>
        <v>curl -X PUT http://172.20.148.160:8001/upstreams/ups-v510-bes_vssd</v>
      </c>
      <c r="S72" t="str">
        <f>SUBSTITUTE(SUBSTITUTE(SUBSTITUTE(SUBSTITUTE(kong_p2_var!$J$2,"&lt;kong_api_url&gt;",$Q72),"&lt;upstream_name&gt;",$F72),"&lt;port&gt;",$E72),"&lt;service_name&gt;",$G72)</f>
        <v>curl -X PUT http://172.20.148.160:8001/services/svc-v510-bes_vssd -H "Content-Type: application/json" -d '{"protocol":"http","host":"ups-v510-bes_vssd","port":31316}'</v>
      </c>
      <c r="T72" t="str">
        <f>SUBSTITUTE(SUBSTITUTE(SUBSTITUTE(SUBSTITUTE(SUBSTITUTE(kong_p2_var!$J$3,"&lt;kong_api_url&gt;",$Q72),"&lt;route_name&gt;",$H72),"&lt;service_name&gt;",$G72),"&lt;host&gt;",$O72),"&lt;path&gt;",$P72)</f>
        <v>curl -X PUT http://172.20.148.160:8001/services/svc-v510-bes_vssd/routes/route-v504-v510-bes_vssd -H "Content-Type: application/json" -d '{"protocols":["http"],"hosts":["172.20.149.183"],"paths":["/trust510/bes_vssd"]}'</v>
      </c>
      <c r="U72" t="str">
        <f t="shared" si="7"/>
        <v>curl -X POST http://172.20.148.160:8001/upstreams/ups-v510-bes_vssd/targets -d 'target=172.20.148.131:31316'</v>
      </c>
      <c r="V72" t="str">
        <f t="shared" si="8"/>
        <v>curl -X POST http://172.20.148.160:8001/upstreams/ups-v510-bes_vssd/targets -d 'target=172.20.148.132:31316'</v>
      </c>
      <c r="W72" t="str">
        <f t="shared" si="9"/>
        <v>curl -X POST http://172.20.148.160:8001/upstreams/ups-v510-bes_vssd/targets -d 'target=172.20.148.133:31316'</v>
      </c>
      <c r="X72" t="str">
        <f t="shared" si="10"/>
        <v>curl -X POST http://172.20.148.160:8001/upstreams/ups-v510-bes_vssd/targets -d 'target=172.20.148.134:31316'</v>
      </c>
      <c r="Y72" t="str">
        <f t="shared" si="11"/>
        <v>curl -X POST http://172.20.148.160:8001/upstreams/ups-v510-bes_vssd/targets -d 'target=172.20.148.135:31316'</v>
      </c>
      <c r="Z72" t="str">
        <f t="shared" si="12"/>
        <v>curl -X POST http://172.20.148.160:8001/upstreams/ups-v510-bes_vssd/targets -d 'target=172.20.148.136:31316'</v>
      </c>
    </row>
    <row r="73" spans="1:26">
      <c r="A73">
        <f>IF(ISNUMBER(SEARCH("rest_api",svc!R72)),1,0)</f>
        <v>1</v>
      </c>
      <c r="C73" t="str">
        <f>svc!D72</f>
        <v>trust</v>
      </c>
      <c r="D73" t="str">
        <f>svc!$B72</f>
        <v>v510</v>
      </c>
      <c r="E73">
        <f>svc!G72</f>
        <v>31027</v>
      </c>
      <c r="F73" t="str">
        <f>CONCATENATE("ups-",svc!$B72,"-",svc!I72)</f>
        <v>ups-v510-ccms_api</v>
      </c>
      <c r="G73" t="str">
        <f>CONCATENATE("svc-",svc!$B72,"-",svc!I72)</f>
        <v>svc-v510-ccms_api</v>
      </c>
      <c r="H73" t="str">
        <f>CONCATENATE("route-",VLOOKUP($D73,kong_p2_var!$B$10:$D$16,2,FALSE),"-",svc!$B72,"-",svc!I72)</f>
        <v>route-v504-v510-ccms_api</v>
      </c>
      <c r="I73" t="str">
        <f>CONCATENATE(VLOOKUP($D73,kong_p2_var!$B$20:$H$26,SUBSTITUTE(I$1,"target_","") + 1,FALSE),":",$E73)</f>
        <v>172.20.148.131:31027</v>
      </c>
      <c r="J73" t="str">
        <f>CONCATENATE(VLOOKUP($D73,kong_p2_var!$B$20:$H$26,SUBSTITUTE(J$1,"target_","") + 1,FALSE),":",$E73)</f>
        <v>172.20.148.132:31027</v>
      </c>
      <c r="K73" t="str">
        <f>CONCATENATE(VLOOKUP($D73,kong_p2_var!$B$20:$H$26,SUBSTITUTE(K$1,"target_","") + 1,FALSE),":",$E73)</f>
        <v>172.20.148.133:31027</v>
      </c>
      <c r="L73" t="str">
        <f>IF($C73="dmz","",CONCATENATE(VLOOKUP($D73,kong_p2_var!$B$20:$H$26,SUBSTITUTE(L$1,"target_","") + 1,FALSE),":",$E73))</f>
        <v>172.20.148.134:31027</v>
      </c>
      <c r="M73" t="str">
        <f>IF($C73="dmz","",CONCATENATE(VLOOKUP($D73,kong_p2_var!$B$20:$H$26,SUBSTITUTE(M$1,"target_","") + 1,FALSE),":",$E73))</f>
        <v>172.20.148.135:31027</v>
      </c>
      <c r="N73" t="str">
        <f>IF($C73="dmz","",CONCATENATE(VLOOKUP($D73,kong_p2_var!$B$20:$H$26,SUBSTITUTE(N$1,"target_","") + 1,FALSE),":",$E73))</f>
        <v>172.20.148.136:31027</v>
      </c>
      <c r="O73" t="str">
        <f>VLOOKUP($D73,kong_p2_var!$B$10:$D$16,3,FALSE)</f>
        <v>172.20.149.183</v>
      </c>
      <c r="P73" t="str">
        <f>CONCATENATE("/",C73,MID(D73,2,15),"/",svc!$I72)</f>
        <v>/trust510/ccms_api</v>
      </c>
      <c r="Q73" t="str">
        <f>VLOOKUP(C73,kong_p2_var!$B$6:$C$7,2,FALSE)</f>
        <v>http://172.20.148.160:8001</v>
      </c>
      <c r="R73" t="str">
        <f>SUBSTITUTE(SUBSTITUTE(kong_p2_var!$J$1,"&lt;upstream_name&gt;",$F73),"&lt;kong_api_url&gt;",$Q73)</f>
        <v>curl -X PUT http://172.20.148.160:8001/upstreams/ups-v510-ccms_api</v>
      </c>
      <c r="S73" t="str">
        <f>SUBSTITUTE(SUBSTITUTE(SUBSTITUTE(SUBSTITUTE(kong_p2_var!$J$2,"&lt;kong_api_url&gt;",$Q73),"&lt;upstream_name&gt;",$F73),"&lt;port&gt;",$E73),"&lt;service_name&gt;",$G73)</f>
        <v>curl -X PUT http://172.20.148.160:8001/services/svc-v510-ccms_api -H "Content-Type: application/json" -d '{"protocol":"http","host":"ups-v510-ccms_api","port":31027}'</v>
      </c>
      <c r="T73" t="str">
        <f>SUBSTITUTE(SUBSTITUTE(SUBSTITUTE(SUBSTITUTE(SUBSTITUTE(kong_p2_var!$J$3,"&lt;kong_api_url&gt;",$Q73),"&lt;route_name&gt;",$H73),"&lt;service_name&gt;",$G73),"&lt;host&gt;",$O73),"&lt;path&gt;",$P73)</f>
        <v>curl -X PUT http://172.20.148.160:8001/services/svc-v510-ccms_api/routes/route-v504-v510-ccms_api -H "Content-Type: application/json" -d '{"protocols":["http"],"hosts":["172.20.149.183"],"paths":["/trust510/ccms_api"]}'</v>
      </c>
      <c r="U73" t="str">
        <f t="shared" si="7"/>
        <v>curl -X POST http://172.20.148.160:8001/upstreams/ups-v510-ccms_api/targets -d 'target=172.20.148.131:31027'</v>
      </c>
      <c r="V73" t="str">
        <f t="shared" si="8"/>
        <v>curl -X POST http://172.20.148.160:8001/upstreams/ups-v510-ccms_api/targets -d 'target=172.20.148.132:31027'</v>
      </c>
      <c r="W73" t="str">
        <f t="shared" si="9"/>
        <v>curl -X POST http://172.20.148.160:8001/upstreams/ups-v510-ccms_api/targets -d 'target=172.20.148.133:31027'</v>
      </c>
      <c r="X73" t="str">
        <f t="shared" si="10"/>
        <v>curl -X POST http://172.20.148.160:8001/upstreams/ups-v510-ccms_api/targets -d 'target=172.20.148.134:31027'</v>
      </c>
      <c r="Y73" t="str">
        <f t="shared" si="11"/>
        <v>curl -X POST http://172.20.148.160:8001/upstreams/ups-v510-ccms_api/targets -d 'target=172.20.148.135:31027'</v>
      </c>
      <c r="Z73" t="str">
        <f t="shared" si="12"/>
        <v>curl -X POST http://172.20.148.160:8001/upstreams/ups-v510-ccms_api/targets -d 'target=172.20.148.136:31027'</v>
      </c>
    </row>
    <row r="74" spans="1:26">
      <c r="A74">
        <f>IF(ISNUMBER(SEARCH("rest_api",svc!R73)),1,0)</f>
        <v>1</v>
      </c>
      <c r="C74" t="str">
        <f>svc!D73</f>
        <v>trust</v>
      </c>
      <c r="D74" t="str">
        <f>svc!$B73</f>
        <v>v510</v>
      </c>
      <c r="E74">
        <f>svc!G73</f>
        <v>31015</v>
      </c>
      <c r="F74" t="str">
        <f>CONCATENATE("ups-",svc!$B73,"-",svc!I73)</f>
        <v>ups-v510-central_db_services_accmgt</v>
      </c>
      <c r="G74" t="str">
        <f>CONCATENATE("svc-",svc!$B73,"-",svc!I73)</f>
        <v>svc-v510-central_db_services_accmgt</v>
      </c>
      <c r="H74" t="str">
        <f>CONCATENATE("route-",VLOOKUP($D74,kong_p2_var!$B$10:$D$16,2,FALSE),"-",svc!$B73,"-",svc!I73)</f>
        <v>route-v504-v510-central_db_services_accmgt</v>
      </c>
      <c r="I74" t="str">
        <f>CONCATENATE(VLOOKUP($D74,kong_p2_var!$B$20:$H$26,SUBSTITUTE(I$1,"target_","") + 1,FALSE),":",$E74)</f>
        <v>172.20.148.131:31015</v>
      </c>
      <c r="J74" t="str">
        <f>CONCATENATE(VLOOKUP($D74,kong_p2_var!$B$20:$H$26,SUBSTITUTE(J$1,"target_","") + 1,FALSE),":",$E74)</f>
        <v>172.20.148.132:31015</v>
      </c>
      <c r="K74" t="str">
        <f>CONCATENATE(VLOOKUP($D74,kong_p2_var!$B$20:$H$26,SUBSTITUTE(K$1,"target_","") + 1,FALSE),":",$E74)</f>
        <v>172.20.148.133:31015</v>
      </c>
      <c r="L74" t="str">
        <f>IF($C74="dmz","",CONCATENATE(VLOOKUP($D74,kong_p2_var!$B$20:$H$26,SUBSTITUTE(L$1,"target_","") + 1,FALSE),":",$E74))</f>
        <v>172.20.148.134:31015</v>
      </c>
      <c r="M74" t="str">
        <f>IF($C74="dmz","",CONCATENATE(VLOOKUP($D74,kong_p2_var!$B$20:$H$26,SUBSTITUTE(M$1,"target_","") + 1,FALSE),":",$E74))</f>
        <v>172.20.148.135:31015</v>
      </c>
      <c r="N74" t="str">
        <f>IF($C74="dmz","",CONCATENATE(VLOOKUP($D74,kong_p2_var!$B$20:$H$26,SUBSTITUTE(N$1,"target_","") + 1,FALSE),":",$E74))</f>
        <v>172.20.148.136:31015</v>
      </c>
      <c r="O74" t="str">
        <f>VLOOKUP($D74,kong_p2_var!$B$10:$D$16,3,FALSE)</f>
        <v>172.20.149.183</v>
      </c>
      <c r="P74" t="str">
        <f>CONCATENATE("/",C74,MID(D74,2,15),"/",svc!$I73)</f>
        <v>/trust510/central_db_services_accmgt</v>
      </c>
      <c r="Q74" t="str">
        <f>VLOOKUP(C74,kong_p2_var!$B$6:$C$7,2,FALSE)</f>
        <v>http://172.20.148.160:8001</v>
      </c>
      <c r="R74" t="str">
        <f>SUBSTITUTE(SUBSTITUTE(kong_p2_var!$J$1,"&lt;upstream_name&gt;",$F74),"&lt;kong_api_url&gt;",$Q74)</f>
        <v>curl -X PUT http://172.20.148.160:8001/upstreams/ups-v510-central_db_services_accmgt</v>
      </c>
      <c r="S74" t="str">
        <f>SUBSTITUTE(SUBSTITUTE(SUBSTITUTE(SUBSTITUTE(kong_p2_var!$J$2,"&lt;kong_api_url&gt;",$Q74),"&lt;upstream_name&gt;",$F74),"&lt;port&gt;",$E74),"&lt;service_name&gt;",$G74)</f>
        <v>curl -X PUT http://172.20.148.160:8001/services/svc-v510-central_db_services_accmgt -H "Content-Type: application/json" -d '{"protocol":"http","host":"ups-v510-central_db_services_accmgt","port":31015}'</v>
      </c>
      <c r="T74" t="str">
        <f>SUBSTITUTE(SUBSTITUTE(SUBSTITUTE(SUBSTITUTE(SUBSTITUTE(kong_p2_var!$J$3,"&lt;kong_api_url&gt;",$Q74),"&lt;route_name&gt;",$H74),"&lt;service_name&gt;",$G74),"&lt;host&gt;",$O74),"&lt;path&gt;",$P74)</f>
        <v>curl -X PUT http://172.20.148.160:8001/services/svc-v510-central_db_services_accmgt/routes/route-v504-v510-central_db_services_accmgt -H "Content-Type: application/json" -d '{"protocols":["http"],"hosts":["172.20.149.183"],"paths":["/trust510/central_db_services_accmgt"]}'</v>
      </c>
      <c r="U74" t="str">
        <f t="shared" si="7"/>
        <v>curl -X POST http://172.20.148.160:8001/upstreams/ups-v510-central_db_services_accmgt/targets -d 'target=172.20.148.131:31015'</v>
      </c>
      <c r="V74" t="str">
        <f t="shared" si="8"/>
        <v>curl -X POST http://172.20.148.160:8001/upstreams/ups-v510-central_db_services_accmgt/targets -d 'target=172.20.148.132:31015'</v>
      </c>
      <c r="W74" t="str">
        <f t="shared" si="9"/>
        <v>curl -X POST http://172.20.148.160:8001/upstreams/ups-v510-central_db_services_accmgt/targets -d 'target=172.20.148.133:31015'</v>
      </c>
      <c r="X74" t="str">
        <f t="shared" si="10"/>
        <v>curl -X POST http://172.20.148.160:8001/upstreams/ups-v510-central_db_services_accmgt/targets -d 'target=172.20.148.134:31015'</v>
      </c>
      <c r="Y74" t="str">
        <f t="shared" si="11"/>
        <v>curl -X POST http://172.20.148.160:8001/upstreams/ups-v510-central_db_services_accmgt/targets -d 'target=172.20.148.135:31015'</v>
      </c>
      <c r="Z74" t="str">
        <f t="shared" si="12"/>
        <v>curl -X POST http://172.20.148.160:8001/upstreams/ups-v510-central_db_services_accmgt/targets -d 'target=172.20.148.136:31015'</v>
      </c>
    </row>
    <row r="75" spans="1:26">
      <c r="A75">
        <f>IF(ISNUMBER(SEARCH("rest_api",svc!R74)),1,0)</f>
        <v>1</v>
      </c>
      <c r="C75" t="str">
        <f>svc!D74</f>
        <v>trust</v>
      </c>
      <c r="D75" t="str">
        <f>svc!$B74</f>
        <v>v510</v>
      </c>
      <c r="E75">
        <f>svc!G74</f>
        <v>31017</v>
      </c>
      <c r="F75" t="str">
        <f>CONCATENATE("ups-",svc!$B74,"-",svc!I74)</f>
        <v>ups-v510-central_db_services_ccms</v>
      </c>
      <c r="G75" t="str">
        <f>CONCATENATE("svc-",svc!$B74,"-",svc!I74)</f>
        <v>svc-v510-central_db_services_ccms</v>
      </c>
      <c r="H75" t="str">
        <f>CONCATENATE("route-",VLOOKUP($D75,kong_p2_var!$B$10:$D$16,2,FALSE),"-",svc!$B74,"-",svc!I74)</f>
        <v>route-v504-v510-central_db_services_ccms</v>
      </c>
      <c r="I75" t="str">
        <f>CONCATENATE(VLOOKUP($D75,kong_p2_var!$B$20:$H$26,SUBSTITUTE(I$1,"target_","") + 1,FALSE),":",$E75)</f>
        <v>172.20.148.131:31017</v>
      </c>
      <c r="J75" t="str">
        <f>CONCATENATE(VLOOKUP($D75,kong_p2_var!$B$20:$H$26,SUBSTITUTE(J$1,"target_","") + 1,FALSE),":",$E75)</f>
        <v>172.20.148.132:31017</v>
      </c>
      <c r="K75" t="str">
        <f>CONCATENATE(VLOOKUP($D75,kong_p2_var!$B$20:$H$26,SUBSTITUTE(K$1,"target_","") + 1,FALSE),":",$E75)</f>
        <v>172.20.148.133:31017</v>
      </c>
      <c r="L75" t="str">
        <f>IF($C75="dmz","",CONCATENATE(VLOOKUP($D75,kong_p2_var!$B$20:$H$26,SUBSTITUTE(L$1,"target_","") + 1,FALSE),":",$E75))</f>
        <v>172.20.148.134:31017</v>
      </c>
      <c r="M75" t="str">
        <f>IF($C75="dmz","",CONCATENATE(VLOOKUP($D75,kong_p2_var!$B$20:$H$26,SUBSTITUTE(M$1,"target_","") + 1,FALSE),":",$E75))</f>
        <v>172.20.148.135:31017</v>
      </c>
      <c r="N75" t="str">
        <f>IF($C75="dmz","",CONCATENATE(VLOOKUP($D75,kong_p2_var!$B$20:$H$26,SUBSTITUTE(N$1,"target_","") + 1,FALSE),":",$E75))</f>
        <v>172.20.148.136:31017</v>
      </c>
      <c r="O75" t="str">
        <f>VLOOKUP($D75,kong_p2_var!$B$10:$D$16,3,FALSE)</f>
        <v>172.20.149.183</v>
      </c>
      <c r="P75" t="str">
        <f>CONCATENATE("/",C75,MID(D75,2,15),"/",svc!$I74)</f>
        <v>/trust510/central_db_services_ccms</v>
      </c>
      <c r="Q75" t="str">
        <f>VLOOKUP(C75,kong_p2_var!$B$6:$C$7,2,FALSE)</f>
        <v>http://172.20.148.160:8001</v>
      </c>
      <c r="R75" t="str">
        <f>SUBSTITUTE(SUBSTITUTE(kong_p2_var!$J$1,"&lt;upstream_name&gt;",$F75),"&lt;kong_api_url&gt;",$Q75)</f>
        <v>curl -X PUT http://172.20.148.160:8001/upstreams/ups-v510-central_db_services_ccms</v>
      </c>
      <c r="S75" t="str">
        <f>SUBSTITUTE(SUBSTITUTE(SUBSTITUTE(SUBSTITUTE(kong_p2_var!$J$2,"&lt;kong_api_url&gt;",$Q75),"&lt;upstream_name&gt;",$F75),"&lt;port&gt;",$E75),"&lt;service_name&gt;",$G75)</f>
        <v>curl -X PUT http://172.20.148.160:8001/services/svc-v510-central_db_services_ccms -H "Content-Type: application/json" -d '{"protocol":"http","host":"ups-v510-central_db_services_ccms","port":31017}'</v>
      </c>
      <c r="T75" t="str">
        <f>SUBSTITUTE(SUBSTITUTE(SUBSTITUTE(SUBSTITUTE(SUBSTITUTE(kong_p2_var!$J$3,"&lt;kong_api_url&gt;",$Q75),"&lt;route_name&gt;",$H75),"&lt;service_name&gt;",$G75),"&lt;host&gt;",$O75),"&lt;path&gt;",$P75)</f>
        <v>curl -X PUT http://172.20.148.160:8001/services/svc-v510-central_db_services_ccms/routes/route-v504-v510-central_db_services_ccms -H "Content-Type: application/json" -d '{"protocols":["http"],"hosts":["172.20.149.183"],"paths":["/trust510/central_db_services_ccms"]}'</v>
      </c>
      <c r="U75" t="str">
        <f t="shared" si="7"/>
        <v>curl -X POST http://172.20.148.160:8001/upstreams/ups-v510-central_db_services_ccms/targets -d 'target=172.20.148.131:31017'</v>
      </c>
      <c r="V75" t="str">
        <f t="shared" si="8"/>
        <v>curl -X POST http://172.20.148.160:8001/upstreams/ups-v510-central_db_services_ccms/targets -d 'target=172.20.148.132:31017'</v>
      </c>
      <c r="W75" t="str">
        <f t="shared" si="9"/>
        <v>curl -X POST http://172.20.148.160:8001/upstreams/ups-v510-central_db_services_ccms/targets -d 'target=172.20.148.133:31017'</v>
      </c>
      <c r="X75" t="str">
        <f t="shared" si="10"/>
        <v>curl -X POST http://172.20.148.160:8001/upstreams/ups-v510-central_db_services_ccms/targets -d 'target=172.20.148.134:31017'</v>
      </c>
      <c r="Y75" t="str">
        <f t="shared" si="11"/>
        <v>curl -X POST http://172.20.148.160:8001/upstreams/ups-v510-central_db_services_ccms/targets -d 'target=172.20.148.135:31017'</v>
      </c>
      <c r="Z75" t="str">
        <f t="shared" si="12"/>
        <v>curl -X POST http://172.20.148.160:8001/upstreams/ups-v510-central_db_services_ccms/targets -d 'target=172.20.148.136:31017'</v>
      </c>
    </row>
    <row r="76" spans="1:26">
      <c r="A76">
        <f>IF(ISNUMBER(SEARCH("rest_api",svc!R75)),1,0)</f>
        <v>1</v>
      </c>
      <c r="C76" t="str">
        <f>svc!D75</f>
        <v>trust</v>
      </c>
      <c r="D76" t="str">
        <f>svc!$B75</f>
        <v>v510</v>
      </c>
      <c r="E76">
        <f>svc!G75</f>
        <v>31016</v>
      </c>
      <c r="F76" t="str">
        <f>CONCATENATE("ups-",svc!$B75,"-",svc!I75)</f>
        <v>ups-v510-central_db_services_core</v>
      </c>
      <c r="G76" t="str">
        <f>CONCATENATE("svc-",svc!$B75,"-",svc!I75)</f>
        <v>svc-v510-central_db_services_core</v>
      </c>
      <c r="H76" t="str">
        <f>CONCATENATE("route-",VLOOKUP($D76,kong_p2_var!$B$10:$D$16,2,FALSE),"-",svc!$B75,"-",svc!I75)</f>
        <v>route-v504-v510-central_db_services_core</v>
      </c>
      <c r="I76" t="str">
        <f>CONCATENATE(VLOOKUP($D76,kong_p2_var!$B$20:$H$26,SUBSTITUTE(I$1,"target_","") + 1,FALSE),":",$E76)</f>
        <v>172.20.148.131:31016</v>
      </c>
      <c r="J76" t="str">
        <f>CONCATENATE(VLOOKUP($D76,kong_p2_var!$B$20:$H$26,SUBSTITUTE(J$1,"target_","") + 1,FALSE),":",$E76)</f>
        <v>172.20.148.132:31016</v>
      </c>
      <c r="K76" t="str">
        <f>CONCATENATE(VLOOKUP($D76,kong_p2_var!$B$20:$H$26,SUBSTITUTE(K$1,"target_","") + 1,FALSE),":",$E76)</f>
        <v>172.20.148.133:31016</v>
      </c>
      <c r="L76" t="str">
        <f>IF($C76="dmz","",CONCATENATE(VLOOKUP($D76,kong_p2_var!$B$20:$H$26,SUBSTITUTE(L$1,"target_","") + 1,FALSE),":",$E76))</f>
        <v>172.20.148.134:31016</v>
      </c>
      <c r="M76" t="str">
        <f>IF($C76="dmz","",CONCATENATE(VLOOKUP($D76,kong_p2_var!$B$20:$H$26,SUBSTITUTE(M$1,"target_","") + 1,FALSE),":",$E76))</f>
        <v>172.20.148.135:31016</v>
      </c>
      <c r="N76" t="str">
        <f>IF($C76="dmz","",CONCATENATE(VLOOKUP($D76,kong_p2_var!$B$20:$H$26,SUBSTITUTE(N$1,"target_","") + 1,FALSE),":",$E76))</f>
        <v>172.20.148.136:31016</v>
      </c>
      <c r="O76" t="str">
        <f>VLOOKUP($D76,kong_p2_var!$B$10:$D$16,3,FALSE)</f>
        <v>172.20.149.183</v>
      </c>
      <c r="P76" t="str">
        <f>CONCATENATE("/",C76,MID(D76,2,15),"/",svc!$I75)</f>
        <v>/trust510/central_db_services_core</v>
      </c>
      <c r="Q76" t="str">
        <f>VLOOKUP(C76,kong_p2_var!$B$6:$C$7,2,FALSE)</f>
        <v>http://172.20.148.160:8001</v>
      </c>
      <c r="R76" t="str">
        <f>SUBSTITUTE(SUBSTITUTE(kong_p2_var!$J$1,"&lt;upstream_name&gt;",$F76),"&lt;kong_api_url&gt;",$Q76)</f>
        <v>curl -X PUT http://172.20.148.160:8001/upstreams/ups-v510-central_db_services_core</v>
      </c>
      <c r="S76" t="str">
        <f>SUBSTITUTE(SUBSTITUTE(SUBSTITUTE(SUBSTITUTE(kong_p2_var!$J$2,"&lt;kong_api_url&gt;",$Q76),"&lt;upstream_name&gt;",$F76),"&lt;port&gt;",$E76),"&lt;service_name&gt;",$G76)</f>
        <v>curl -X PUT http://172.20.148.160:8001/services/svc-v510-central_db_services_core -H "Content-Type: application/json" -d '{"protocol":"http","host":"ups-v510-central_db_services_core","port":31016}'</v>
      </c>
      <c r="T76" t="str">
        <f>SUBSTITUTE(SUBSTITUTE(SUBSTITUTE(SUBSTITUTE(SUBSTITUTE(kong_p2_var!$J$3,"&lt;kong_api_url&gt;",$Q76),"&lt;route_name&gt;",$H76),"&lt;service_name&gt;",$G76),"&lt;host&gt;",$O76),"&lt;path&gt;",$P76)</f>
        <v>curl -X PUT http://172.20.148.160:8001/services/svc-v510-central_db_services_core/routes/route-v504-v510-central_db_services_core -H "Content-Type: application/json" -d '{"protocols":["http"],"hosts":["172.20.149.183"],"paths":["/trust510/central_db_services_core"]}'</v>
      </c>
      <c r="U76" t="str">
        <f t="shared" si="7"/>
        <v>curl -X POST http://172.20.148.160:8001/upstreams/ups-v510-central_db_services_core/targets -d 'target=172.20.148.131:31016'</v>
      </c>
      <c r="V76" t="str">
        <f t="shared" si="8"/>
        <v>curl -X POST http://172.20.148.160:8001/upstreams/ups-v510-central_db_services_core/targets -d 'target=172.20.148.132:31016'</v>
      </c>
      <c r="W76" t="str">
        <f t="shared" si="9"/>
        <v>curl -X POST http://172.20.148.160:8001/upstreams/ups-v510-central_db_services_core/targets -d 'target=172.20.148.133:31016'</v>
      </c>
      <c r="X76" t="str">
        <f t="shared" si="10"/>
        <v>curl -X POST http://172.20.148.160:8001/upstreams/ups-v510-central_db_services_core/targets -d 'target=172.20.148.134:31016'</v>
      </c>
      <c r="Y76" t="str">
        <f t="shared" si="11"/>
        <v>curl -X POST http://172.20.148.160:8001/upstreams/ups-v510-central_db_services_core/targets -d 'target=172.20.148.135:31016'</v>
      </c>
      <c r="Z76" t="str">
        <f t="shared" si="12"/>
        <v>curl -X POST http://172.20.148.160:8001/upstreams/ups-v510-central_db_services_core/targets -d 'target=172.20.148.136:31016'</v>
      </c>
    </row>
    <row r="77" spans="1:26">
      <c r="A77">
        <f>IF(ISNUMBER(SEARCH("rest_api",svc!R76)),1,0)</f>
        <v>1</v>
      </c>
      <c r="C77" t="str">
        <f>svc!D76</f>
        <v>trust</v>
      </c>
      <c r="D77" t="str">
        <f>svc!$B76</f>
        <v>v810</v>
      </c>
      <c r="E77">
        <f>svc!G76</f>
        <v>31016</v>
      </c>
      <c r="F77" t="str">
        <f>CONCATENATE("ups-",svc!$B76,"-",svc!I76)</f>
        <v>ups-v810-central_db_services_core</v>
      </c>
      <c r="G77" t="str">
        <f>CONCATENATE("svc-",svc!$B76,"-",svc!I76)</f>
        <v>svc-v810-central_db_services_core</v>
      </c>
      <c r="H77" t="str">
        <f>CONCATENATE("route-",VLOOKUP($D77,kong_p2_var!$B$10:$D$16,2,FALSE),"-",svc!$B76,"-",svc!I76)</f>
        <v>route-v804-v810-central_db_services_core</v>
      </c>
      <c r="I77" t="str">
        <f>CONCATENATE(VLOOKUP($D77,kong_p2_var!$B$20:$H$26,SUBSTITUTE(I$1,"target_","") + 1,FALSE),":",$E77)</f>
        <v>172.20.148.195:31016</v>
      </c>
      <c r="J77" t="str">
        <f>CONCATENATE(VLOOKUP($D77,kong_p2_var!$B$20:$H$26,SUBSTITUTE(J$1,"target_","") + 1,FALSE),":",$E77)</f>
        <v>172.20.148.196:31016</v>
      </c>
      <c r="K77" t="str">
        <f>CONCATENATE(VLOOKUP($D77,kong_p2_var!$B$20:$H$26,SUBSTITUTE(K$1,"target_","") + 1,FALSE),":",$E77)</f>
        <v>172.20.148.197:31016</v>
      </c>
      <c r="L77" t="str">
        <f>IF($C77="dmz","",CONCATENATE(VLOOKUP($D77,kong_p2_var!$B$20:$H$26,SUBSTITUTE(L$1,"target_","") + 1,FALSE),":",$E77))</f>
        <v>172.20.148.198:31016</v>
      </c>
      <c r="M77" t="str">
        <f>IF($C77="dmz","",CONCATENATE(VLOOKUP($D77,kong_p2_var!$B$20:$H$26,SUBSTITUTE(M$1,"target_","") + 1,FALSE),":",$E77))</f>
        <v>172.20.148.199:31016</v>
      </c>
      <c r="N77" t="str">
        <f>IF($C77="dmz","",CONCATENATE(VLOOKUP($D77,kong_p2_var!$B$20:$H$26,SUBSTITUTE(N$1,"target_","") + 1,FALSE),":",$E77))</f>
        <v>172.20.148.200:31016</v>
      </c>
      <c r="O77" t="str">
        <f>VLOOKUP($D77,kong_p2_var!$B$10:$D$16,3,FALSE)</f>
        <v>172.20.149.151</v>
      </c>
      <c r="P77" t="str">
        <f>CONCATENATE("/",C77,MID(D77,2,15),"/",svc!$I76)</f>
        <v>/trust810/central_db_services_core</v>
      </c>
      <c r="Q77" t="str">
        <f>VLOOKUP(C77,kong_p2_var!$B$6:$C$7,2,FALSE)</f>
        <v>http://172.20.148.160:8001</v>
      </c>
      <c r="R77" t="str">
        <f>SUBSTITUTE(SUBSTITUTE(kong_p2_var!$J$1,"&lt;upstream_name&gt;",$F77),"&lt;kong_api_url&gt;",$Q77)</f>
        <v>curl -X PUT http://172.20.148.160:8001/upstreams/ups-v810-central_db_services_core</v>
      </c>
      <c r="S77" t="str">
        <f>SUBSTITUTE(SUBSTITUTE(SUBSTITUTE(SUBSTITUTE(kong_p2_var!$J$2,"&lt;kong_api_url&gt;",$Q77),"&lt;upstream_name&gt;",$F77),"&lt;port&gt;",$E77),"&lt;service_name&gt;",$G77)</f>
        <v>curl -X PUT http://172.20.148.160:8001/services/svc-v810-central_db_services_core -H "Content-Type: application/json" -d '{"protocol":"http","host":"ups-v810-central_db_services_core","port":31016}'</v>
      </c>
      <c r="T77" t="str">
        <f>SUBSTITUTE(SUBSTITUTE(SUBSTITUTE(SUBSTITUTE(SUBSTITUTE(kong_p2_var!$J$3,"&lt;kong_api_url&gt;",$Q77),"&lt;route_name&gt;",$H77),"&lt;service_name&gt;",$G77),"&lt;host&gt;",$O77),"&lt;path&gt;",$P77)</f>
        <v>curl -X PUT http://172.20.148.160:8001/services/svc-v810-central_db_services_core/routes/route-v804-v810-central_db_services_core -H "Content-Type: application/json" -d '{"protocols":["http"],"hosts":["172.20.149.151"],"paths":["/trust810/central_db_services_core"]}'</v>
      </c>
      <c r="U77" t="str">
        <f t="shared" si="7"/>
        <v>curl -X POST http://172.20.148.160:8001/upstreams/ups-v810-central_db_services_core/targets -d 'target=172.20.148.195:31016'</v>
      </c>
      <c r="V77" t="str">
        <f t="shared" si="8"/>
        <v>curl -X POST http://172.20.148.160:8001/upstreams/ups-v810-central_db_services_core/targets -d 'target=172.20.148.196:31016'</v>
      </c>
      <c r="W77" t="str">
        <f t="shared" si="9"/>
        <v>curl -X POST http://172.20.148.160:8001/upstreams/ups-v810-central_db_services_core/targets -d 'target=172.20.148.197:31016'</v>
      </c>
      <c r="X77" t="str">
        <f t="shared" si="10"/>
        <v>curl -X POST http://172.20.148.160:8001/upstreams/ups-v810-central_db_services_core/targets -d 'target=172.20.148.198:31016'</v>
      </c>
      <c r="Y77" t="str">
        <f t="shared" si="11"/>
        <v>curl -X POST http://172.20.148.160:8001/upstreams/ups-v810-central_db_services_core/targets -d 'target=172.20.148.199:31016'</v>
      </c>
      <c r="Z77" t="str">
        <f t="shared" si="12"/>
        <v>curl -X POST http://172.20.148.160:8001/upstreams/ups-v810-central_db_services_core/targets -d 'target=172.20.148.200:31016'</v>
      </c>
    </row>
    <row r="78" spans="1:26">
      <c r="A78">
        <f>IF(ISNUMBER(SEARCH("rest_api",svc!R77)),1,0)</f>
        <v>1</v>
      </c>
      <c r="C78" t="str">
        <f>svc!D77</f>
        <v>trust</v>
      </c>
      <c r="D78" t="str">
        <f>svc!$B77</f>
        <v>v510</v>
      </c>
      <c r="E78">
        <f>svc!G77</f>
        <v>31018</v>
      </c>
      <c r="F78" t="str">
        <f>CONCATENATE("ups-",svc!$B77,"-",svc!I77)</f>
        <v>ups-v510-central_db_services_ecms</v>
      </c>
      <c r="G78" t="str">
        <f>CONCATENATE("svc-",svc!$B77,"-",svc!I77)</f>
        <v>svc-v510-central_db_services_ecms</v>
      </c>
      <c r="H78" t="str">
        <f>CONCATENATE("route-",VLOOKUP($D78,kong_p2_var!$B$10:$D$16,2,FALSE),"-",svc!$B77,"-",svc!I77)</f>
        <v>route-v504-v510-central_db_services_ecms</v>
      </c>
      <c r="I78" t="str">
        <f>CONCATENATE(VLOOKUP($D78,kong_p2_var!$B$20:$H$26,SUBSTITUTE(I$1,"target_","") + 1,FALSE),":",$E78)</f>
        <v>172.20.148.131:31018</v>
      </c>
      <c r="J78" t="str">
        <f>CONCATENATE(VLOOKUP($D78,kong_p2_var!$B$20:$H$26,SUBSTITUTE(J$1,"target_","") + 1,FALSE),":",$E78)</f>
        <v>172.20.148.132:31018</v>
      </c>
      <c r="K78" t="str">
        <f>CONCATENATE(VLOOKUP($D78,kong_p2_var!$B$20:$H$26,SUBSTITUTE(K$1,"target_","") + 1,FALSE),":",$E78)</f>
        <v>172.20.148.133:31018</v>
      </c>
      <c r="L78" t="str">
        <f>IF($C78="dmz","",CONCATENATE(VLOOKUP($D78,kong_p2_var!$B$20:$H$26,SUBSTITUTE(L$1,"target_","") + 1,FALSE),":",$E78))</f>
        <v>172.20.148.134:31018</v>
      </c>
      <c r="M78" t="str">
        <f>IF($C78="dmz","",CONCATENATE(VLOOKUP($D78,kong_p2_var!$B$20:$H$26,SUBSTITUTE(M$1,"target_","") + 1,FALSE),":",$E78))</f>
        <v>172.20.148.135:31018</v>
      </c>
      <c r="N78" t="str">
        <f>IF($C78="dmz","",CONCATENATE(VLOOKUP($D78,kong_p2_var!$B$20:$H$26,SUBSTITUTE(N$1,"target_","") + 1,FALSE),":",$E78))</f>
        <v>172.20.148.136:31018</v>
      </c>
      <c r="O78" t="str">
        <f>VLOOKUP($D78,kong_p2_var!$B$10:$D$16,3,FALSE)</f>
        <v>172.20.149.183</v>
      </c>
      <c r="P78" t="str">
        <f>CONCATENATE("/",C78,MID(D78,2,15),"/",svc!$I77)</f>
        <v>/trust510/central_db_services_ecms</v>
      </c>
      <c r="Q78" t="str">
        <f>VLOOKUP(C78,kong_p2_var!$B$6:$C$7,2,FALSE)</f>
        <v>http://172.20.148.160:8001</v>
      </c>
      <c r="R78" t="str">
        <f>SUBSTITUTE(SUBSTITUTE(kong_p2_var!$J$1,"&lt;upstream_name&gt;",$F78),"&lt;kong_api_url&gt;",$Q78)</f>
        <v>curl -X PUT http://172.20.148.160:8001/upstreams/ups-v510-central_db_services_ecms</v>
      </c>
      <c r="S78" t="str">
        <f>SUBSTITUTE(SUBSTITUTE(SUBSTITUTE(SUBSTITUTE(kong_p2_var!$J$2,"&lt;kong_api_url&gt;",$Q78),"&lt;upstream_name&gt;",$F78),"&lt;port&gt;",$E78),"&lt;service_name&gt;",$G78)</f>
        <v>curl -X PUT http://172.20.148.160:8001/services/svc-v510-central_db_services_ecms -H "Content-Type: application/json" -d '{"protocol":"http","host":"ups-v510-central_db_services_ecms","port":31018}'</v>
      </c>
      <c r="T78" t="str">
        <f>SUBSTITUTE(SUBSTITUTE(SUBSTITUTE(SUBSTITUTE(SUBSTITUTE(kong_p2_var!$J$3,"&lt;kong_api_url&gt;",$Q78),"&lt;route_name&gt;",$H78),"&lt;service_name&gt;",$G78),"&lt;host&gt;",$O78),"&lt;path&gt;",$P78)</f>
        <v>curl -X PUT http://172.20.148.160:8001/services/svc-v510-central_db_services_ecms/routes/route-v504-v510-central_db_services_ecms -H "Content-Type: application/json" -d '{"protocols":["http"],"hosts":["172.20.149.183"],"paths":["/trust510/central_db_services_ecms"]}'</v>
      </c>
      <c r="U78" t="str">
        <f t="shared" si="7"/>
        <v>curl -X POST http://172.20.148.160:8001/upstreams/ups-v510-central_db_services_ecms/targets -d 'target=172.20.148.131:31018'</v>
      </c>
      <c r="V78" t="str">
        <f t="shared" si="8"/>
        <v>curl -X POST http://172.20.148.160:8001/upstreams/ups-v510-central_db_services_ecms/targets -d 'target=172.20.148.132:31018'</v>
      </c>
      <c r="W78" t="str">
        <f t="shared" si="9"/>
        <v>curl -X POST http://172.20.148.160:8001/upstreams/ups-v510-central_db_services_ecms/targets -d 'target=172.20.148.133:31018'</v>
      </c>
      <c r="X78" t="str">
        <f t="shared" si="10"/>
        <v>curl -X POST http://172.20.148.160:8001/upstreams/ups-v510-central_db_services_ecms/targets -d 'target=172.20.148.134:31018'</v>
      </c>
      <c r="Y78" t="str">
        <f t="shared" si="11"/>
        <v>curl -X POST http://172.20.148.160:8001/upstreams/ups-v510-central_db_services_ecms/targets -d 'target=172.20.148.135:31018'</v>
      </c>
      <c r="Z78" t="str">
        <f t="shared" si="12"/>
        <v>curl -X POST http://172.20.148.160:8001/upstreams/ups-v510-central_db_services_ecms/targets -d 'target=172.20.148.136:31018'</v>
      </c>
    </row>
    <row r="79" spans="1:26">
      <c r="A79">
        <f>IF(ISNUMBER(SEARCH("rest_api",svc!R78)),1,0)</f>
        <v>1</v>
      </c>
      <c r="C79" t="str">
        <f>svc!D78</f>
        <v>trust</v>
      </c>
      <c r="D79" t="str">
        <f>svc!$B78</f>
        <v>v510</v>
      </c>
      <c r="E79">
        <f>svc!G78</f>
        <v>31219</v>
      </c>
      <c r="F79" t="str">
        <f>CONCATENATE("ups-",svc!$B78,"-",svc!I78)</f>
        <v>ups-v510-central_db_services_das</v>
      </c>
      <c r="G79" t="str">
        <f>CONCATENATE("svc-",svc!$B78,"-",svc!I78)</f>
        <v>svc-v510-central_db_services_das</v>
      </c>
      <c r="H79" t="str">
        <f>CONCATENATE("route-",VLOOKUP($D79,kong_p2_var!$B$10:$D$16,2,FALSE),"-",svc!$B78,"-",svc!I78)</f>
        <v>route-v504-v510-central_db_services_das</v>
      </c>
      <c r="I79" t="str">
        <f>CONCATENATE(VLOOKUP($D79,kong_p2_var!$B$20:$H$26,SUBSTITUTE(I$1,"target_","") + 1,FALSE),":",$E79)</f>
        <v>172.20.148.131:31219</v>
      </c>
      <c r="J79" t="str">
        <f>CONCATENATE(VLOOKUP($D79,kong_p2_var!$B$20:$H$26,SUBSTITUTE(J$1,"target_","") + 1,FALSE),":",$E79)</f>
        <v>172.20.148.132:31219</v>
      </c>
      <c r="K79" t="str">
        <f>CONCATENATE(VLOOKUP($D79,kong_p2_var!$B$20:$H$26,SUBSTITUTE(K$1,"target_","") + 1,FALSE),":",$E79)</f>
        <v>172.20.148.133:31219</v>
      </c>
      <c r="L79" t="str">
        <f>IF($C79="dmz","",CONCATENATE(VLOOKUP($D79,kong_p2_var!$B$20:$H$26,SUBSTITUTE(L$1,"target_","") + 1,FALSE),":",$E79))</f>
        <v>172.20.148.134:31219</v>
      </c>
      <c r="M79" t="str">
        <f>IF($C79="dmz","",CONCATENATE(VLOOKUP($D79,kong_p2_var!$B$20:$H$26,SUBSTITUTE(M$1,"target_","") + 1,FALSE),":",$E79))</f>
        <v>172.20.148.135:31219</v>
      </c>
      <c r="N79" t="str">
        <f>IF($C79="dmz","",CONCATENATE(VLOOKUP($D79,kong_p2_var!$B$20:$H$26,SUBSTITUTE(N$1,"target_","") + 1,FALSE),":",$E79))</f>
        <v>172.20.148.136:31219</v>
      </c>
      <c r="O79" t="str">
        <f>VLOOKUP($D79,kong_p2_var!$B$10:$D$16,3,FALSE)</f>
        <v>172.20.149.183</v>
      </c>
      <c r="P79" t="str">
        <f>CONCATENATE("/",C79,MID(D79,2,15),"/",svc!$I78)</f>
        <v>/trust510/central_db_services_das</v>
      </c>
      <c r="Q79" t="str">
        <f>VLOOKUP(C79,kong_p2_var!$B$6:$C$7,2,FALSE)</f>
        <v>http://172.20.148.160:8001</v>
      </c>
      <c r="R79" t="str">
        <f>SUBSTITUTE(SUBSTITUTE(kong_p2_var!$J$1,"&lt;upstream_name&gt;",$F79),"&lt;kong_api_url&gt;",$Q79)</f>
        <v>curl -X PUT http://172.20.148.160:8001/upstreams/ups-v510-central_db_services_das</v>
      </c>
      <c r="S79" t="str">
        <f>SUBSTITUTE(SUBSTITUTE(SUBSTITUTE(SUBSTITUTE(kong_p2_var!$J$2,"&lt;kong_api_url&gt;",$Q79),"&lt;upstream_name&gt;",$F79),"&lt;port&gt;",$E79),"&lt;service_name&gt;",$G79)</f>
        <v>curl -X PUT http://172.20.148.160:8001/services/svc-v510-central_db_services_das -H "Content-Type: application/json" -d '{"protocol":"http","host":"ups-v510-central_db_services_das","port":31219}'</v>
      </c>
      <c r="T79" t="str">
        <f>SUBSTITUTE(SUBSTITUTE(SUBSTITUTE(SUBSTITUTE(SUBSTITUTE(kong_p2_var!$J$3,"&lt;kong_api_url&gt;",$Q79),"&lt;route_name&gt;",$H79),"&lt;service_name&gt;",$G79),"&lt;host&gt;",$O79),"&lt;path&gt;",$P79)</f>
        <v>curl -X PUT http://172.20.148.160:8001/services/svc-v510-central_db_services_das/routes/route-v504-v510-central_db_services_das -H "Content-Type: application/json" -d '{"protocols":["http"],"hosts":["172.20.149.183"],"paths":["/trust510/central_db_services_das"]}'</v>
      </c>
      <c r="U79" t="str">
        <f t="shared" si="7"/>
        <v>curl -X POST http://172.20.148.160:8001/upstreams/ups-v510-central_db_services_das/targets -d 'target=172.20.148.131:31219'</v>
      </c>
      <c r="V79" t="str">
        <f t="shared" si="8"/>
        <v>curl -X POST http://172.20.148.160:8001/upstreams/ups-v510-central_db_services_das/targets -d 'target=172.20.148.132:31219'</v>
      </c>
      <c r="W79" t="str">
        <f t="shared" si="9"/>
        <v>curl -X POST http://172.20.148.160:8001/upstreams/ups-v510-central_db_services_das/targets -d 'target=172.20.148.133:31219'</v>
      </c>
      <c r="X79" t="str">
        <f t="shared" si="10"/>
        <v>curl -X POST http://172.20.148.160:8001/upstreams/ups-v510-central_db_services_das/targets -d 'target=172.20.148.134:31219'</v>
      </c>
      <c r="Y79" t="str">
        <f t="shared" si="11"/>
        <v>curl -X POST http://172.20.148.160:8001/upstreams/ups-v510-central_db_services_das/targets -d 'target=172.20.148.135:31219'</v>
      </c>
      <c r="Z79" t="str">
        <f t="shared" si="12"/>
        <v>curl -X POST http://172.20.148.160:8001/upstreams/ups-v510-central_db_services_das/targets -d 'target=172.20.148.136:31219'</v>
      </c>
    </row>
    <row r="80" spans="1:26">
      <c r="A80">
        <f>IF(ISNUMBER(SEARCH("rest_api",svc!R79)),1,0)</f>
        <v>1</v>
      </c>
      <c r="C80" t="str">
        <f>svc!D79</f>
        <v>trust</v>
      </c>
      <c r="D80" t="str">
        <f>svc!$B79</f>
        <v>v510</v>
      </c>
      <c r="E80">
        <f>svc!G79</f>
        <v>31317</v>
      </c>
      <c r="F80" t="str">
        <f>CONCATENATE("ups-",svc!$B79,"-",svc!I79)</f>
        <v>ups-v510-conf_setting</v>
      </c>
      <c r="G80" t="str">
        <f>CONCATENATE("svc-",svc!$B79,"-",svc!I79)</f>
        <v>svc-v510-conf_setting</v>
      </c>
      <c r="H80" t="str">
        <f>CONCATENATE("route-",VLOOKUP($D80,kong_p2_var!$B$10:$D$16,2,FALSE),"-",svc!$B79,"-",svc!I79)</f>
        <v>route-v504-v510-conf_setting</v>
      </c>
      <c r="I80" t="str">
        <f>CONCATENATE(VLOOKUP($D80,kong_p2_var!$B$20:$H$26,SUBSTITUTE(I$1,"target_","") + 1,FALSE),":",$E80)</f>
        <v>172.20.148.131:31317</v>
      </c>
      <c r="J80" t="str">
        <f>CONCATENATE(VLOOKUP($D80,kong_p2_var!$B$20:$H$26,SUBSTITUTE(J$1,"target_","") + 1,FALSE),":",$E80)</f>
        <v>172.20.148.132:31317</v>
      </c>
      <c r="K80" t="str">
        <f>CONCATENATE(VLOOKUP($D80,kong_p2_var!$B$20:$H$26,SUBSTITUTE(K$1,"target_","") + 1,FALSE),":",$E80)</f>
        <v>172.20.148.133:31317</v>
      </c>
      <c r="L80" t="str">
        <f>IF($C80="dmz","",CONCATENATE(VLOOKUP($D80,kong_p2_var!$B$20:$H$26,SUBSTITUTE(L$1,"target_","") + 1,FALSE),":",$E80))</f>
        <v>172.20.148.134:31317</v>
      </c>
      <c r="M80" t="str">
        <f>IF($C80="dmz","",CONCATENATE(VLOOKUP($D80,kong_p2_var!$B$20:$H$26,SUBSTITUTE(M$1,"target_","") + 1,FALSE),":",$E80))</f>
        <v>172.20.148.135:31317</v>
      </c>
      <c r="N80" t="str">
        <f>IF($C80="dmz","",CONCATENATE(VLOOKUP($D80,kong_p2_var!$B$20:$H$26,SUBSTITUTE(N$1,"target_","") + 1,FALSE),":",$E80))</f>
        <v>172.20.148.136:31317</v>
      </c>
      <c r="O80" t="str">
        <f>VLOOKUP($D80,kong_p2_var!$B$10:$D$16,3,FALSE)</f>
        <v>172.20.149.183</v>
      </c>
      <c r="P80" t="str">
        <f>CONCATENATE("/",C80,MID(D80,2,15),"/",svc!$I79)</f>
        <v>/trust510/conf_setting</v>
      </c>
      <c r="Q80" t="str">
        <f>VLOOKUP(C80,kong_p2_var!$B$6:$C$7,2,FALSE)</f>
        <v>http://172.20.148.160:8001</v>
      </c>
      <c r="R80" t="str">
        <f>SUBSTITUTE(SUBSTITUTE(kong_p2_var!$J$1,"&lt;upstream_name&gt;",$F80),"&lt;kong_api_url&gt;",$Q80)</f>
        <v>curl -X PUT http://172.20.148.160:8001/upstreams/ups-v510-conf_setting</v>
      </c>
      <c r="S80" t="str">
        <f>SUBSTITUTE(SUBSTITUTE(SUBSTITUTE(SUBSTITUTE(kong_p2_var!$J$2,"&lt;kong_api_url&gt;",$Q80),"&lt;upstream_name&gt;",$F80),"&lt;port&gt;",$E80),"&lt;service_name&gt;",$G80)</f>
        <v>curl -X PUT http://172.20.148.160:8001/services/svc-v510-conf_setting -H "Content-Type: application/json" -d '{"protocol":"http","host":"ups-v510-conf_setting","port":31317}'</v>
      </c>
      <c r="T80" t="str">
        <f>SUBSTITUTE(SUBSTITUTE(SUBSTITUTE(SUBSTITUTE(SUBSTITUTE(kong_p2_var!$J$3,"&lt;kong_api_url&gt;",$Q80),"&lt;route_name&gt;",$H80),"&lt;service_name&gt;",$G80),"&lt;host&gt;",$O80),"&lt;path&gt;",$P80)</f>
        <v>curl -X PUT http://172.20.148.160:8001/services/svc-v510-conf_setting/routes/route-v504-v510-conf_setting -H "Content-Type: application/json" -d '{"protocols":["http"],"hosts":["172.20.149.183"],"paths":["/trust510/conf_setting"]}'</v>
      </c>
      <c r="U80" t="str">
        <f t="shared" si="7"/>
        <v>curl -X POST http://172.20.148.160:8001/upstreams/ups-v510-conf_setting/targets -d 'target=172.20.148.131:31317'</v>
      </c>
      <c r="V80" t="str">
        <f t="shared" si="8"/>
        <v>curl -X POST http://172.20.148.160:8001/upstreams/ups-v510-conf_setting/targets -d 'target=172.20.148.132:31317'</v>
      </c>
      <c r="W80" t="str">
        <f t="shared" si="9"/>
        <v>curl -X POST http://172.20.148.160:8001/upstreams/ups-v510-conf_setting/targets -d 'target=172.20.148.133:31317'</v>
      </c>
      <c r="X80" t="str">
        <f t="shared" si="10"/>
        <v>curl -X POST http://172.20.148.160:8001/upstreams/ups-v510-conf_setting/targets -d 'target=172.20.148.134:31317'</v>
      </c>
      <c r="Y80" t="str">
        <f t="shared" si="11"/>
        <v>curl -X POST http://172.20.148.160:8001/upstreams/ups-v510-conf_setting/targets -d 'target=172.20.148.135:31317'</v>
      </c>
      <c r="Z80" t="str">
        <f t="shared" si="12"/>
        <v>curl -X POST http://172.20.148.160:8001/upstreams/ups-v510-conf_setting/targets -d 'target=172.20.148.136:31317'</v>
      </c>
    </row>
    <row r="81" spans="1:26" hidden="1">
      <c r="A81">
        <f>IF(ISNUMBER(SEARCH("rest_api",svc!R80)),1,0)</f>
        <v>0</v>
      </c>
      <c r="C81" t="str">
        <f>svc!D80</f>
        <v>trust</v>
      </c>
      <c r="D81" t="str">
        <f>svc!$B80</f>
        <v>v510</v>
      </c>
      <c r="E81" t="str">
        <f>svc!G80</f>
        <v>N/A</v>
      </c>
      <c r="F81" t="str">
        <f>CONCATENATE("ups-",svc!$B80,"-",svc!I80)</f>
        <v>ups-v510-das_data_consumer</v>
      </c>
      <c r="G81" t="str">
        <f>CONCATENATE("svc-",svc!$B80,"-",svc!I80)</f>
        <v>svc-v510-das_data_consumer</v>
      </c>
      <c r="H81" t="str">
        <f>CONCATENATE("route-",VLOOKUP($D81,kong_p2_var!$B$10:$D$16,2,FALSE),"-",svc!$B80,"-",svc!I80)</f>
        <v>route-v504-v510-das_data_consumer</v>
      </c>
      <c r="I81" t="str">
        <f>CONCATENATE(VLOOKUP($D81,kong_p2_var!$B$20:$H$26,SUBSTITUTE(I$1,"target_","") + 1,FALSE),":",$E81)</f>
        <v>172.20.148.131:N/A</v>
      </c>
      <c r="J81" t="str">
        <f>CONCATENATE(VLOOKUP($D81,kong_p2_var!$B$20:$H$26,SUBSTITUTE(J$1,"target_","") + 1,FALSE),":",$E81)</f>
        <v>172.20.148.132:N/A</v>
      </c>
      <c r="K81" t="str">
        <f>CONCATENATE(VLOOKUP($D81,kong_p2_var!$B$20:$H$26,SUBSTITUTE(K$1,"target_","") + 1,FALSE),":",$E81)</f>
        <v>172.20.148.133:N/A</v>
      </c>
      <c r="L81" t="str">
        <f>IF($C81="dmz","",CONCATENATE(VLOOKUP($D81,kong_p2_var!$B$20:$H$26,SUBSTITUTE(L$1,"target_","") + 1,FALSE),":",$E81))</f>
        <v>172.20.148.134:N/A</v>
      </c>
      <c r="M81" t="str">
        <f>IF($C81="dmz","",CONCATENATE(VLOOKUP($D81,kong_p2_var!$B$20:$H$26,SUBSTITUTE(M$1,"target_","") + 1,FALSE),":",$E81))</f>
        <v>172.20.148.135:N/A</v>
      </c>
      <c r="N81" t="str">
        <f>IF($C81="dmz","",CONCATENATE(VLOOKUP($D81,kong_p2_var!$B$20:$H$26,SUBSTITUTE(N$1,"target_","") + 1,FALSE),":",$E81))</f>
        <v>172.20.148.136:N/A</v>
      </c>
      <c r="O81" t="str">
        <f>VLOOKUP($D81,kong_p2_var!$B$10:$D$16,3,FALSE)</f>
        <v>172.20.149.183</v>
      </c>
      <c r="P81" t="str">
        <f>CONCATENATE("/",C81,MID(D81,2,15),"/",svc!$I80)</f>
        <v>/trust510/das_data_consumer</v>
      </c>
      <c r="Q81" t="str">
        <f>VLOOKUP(C81,kong_p2_var!$B$6:$C$7,2,FALSE)</f>
        <v>http://172.20.148.160:8001</v>
      </c>
      <c r="R81" t="str">
        <f>SUBSTITUTE(SUBSTITUTE(kong_p2_var!$J$1,"&lt;upstream_name&gt;",$F81),"&lt;kong_api_url&gt;",$Q81)</f>
        <v>curl -X PUT http://172.20.148.160:8001/upstreams/ups-v510-das_data_consumer</v>
      </c>
      <c r="S81" t="str">
        <f>SUBSTITUTE(SUBSTITUTE(SUBSTITUTE(SUBSTITUTE(kong_p2_var!$J$2,"&lt;kong_api_url&gt;",$Q81),"&lt;upstream_name&gt;",$F81),"&lt;port&gt;",$E81),"&lt;service_name&gt;",$G81)</f>
        <v>curl -X PUT http://172.20.148.160:8001/services/svc-v510-das_data_consumer -H "Content-Type: application/json" -d '{"protocol":"http","host":"ups-v510-das_data_consumer","port":N/A}'</v>
      </c>
      <c r="T81" t="str">
        <f>SUBSTITUTE(SUBSTITUTE(SUBSTITUTE(SUBSTITUTE(SUBSTITUTE(kong_p2_var!$J$3,"&lt;kong_api_url&gt;",$Q81),"&lt;route_name&gt;",$H81),"&lt;service_name&gt;",$G81),"&lt;host&gt;",$O81),"&lt;path&gt;",$P81)</f>
        <v>curl -X PUT http://172.20.148.160:8001/services/svc-v510-das_data_consumer/routes/route-v504-v510-das_data_consumer -H "Content-Type: application/json" -d '{"protocols":["http"],"hosts":["172.20.149.183"],"paths":["/trust510/das_data_consumer"]}'</v>
      </c>
      <c r="U81" t="str">
        <f t="shared" si="7"/>
        <v>curl -X POST http://172.20.148.160:8001/upstreams/ups-v510-das_data_consumer/targets -d 'target=172.20.148.131:N/A'</v>
      </c>
      <c r="V81" t="str">
        <f t="shared" si="8"/>
        <v>curl -X POST http://172.20.148.160:8001/upstreams/ups-v510-das_data_consumer/targets -d 'target=172.20.148.132:N/A'</v>
      </c>
      <c r="W81" t="str">
        <f t="shared" si="9"/>
        <v>curl -X POST http://172.20.148.160:8001/upstreams/ups-v510-das_data_consumer/targets -d 'target=172.20.148.133:N/A'</v>
      </c>
      <c r="X81" t="str">
        <f t="shared" si="10"/>
        <v>curl -X POST http://172.20.148.160:8001/upstreams/ups-v510-das_data_consumer/targets -d 'target=172.20.148.134:N/A'</v>
      </c>
      <c r="Y81" t="str">
        <f t="shared" si="11"/>
        <v>curl -X POST http://172.20.148.160:8001/upstreams/ups-v510-das_data_consumer/targets -d 'target=172.20.148.135:N/A'</v>
      </c>
      <c r="Z81" t="str">
        <f t="shared" si="12"/>
        <v>curl -X POST http://172.20.148.160:8001/upstreams/ups-v510-das_data_consumer/targets -d 'target=172.20.148.136:N/A'</v>
      </c>
    </row>
    <row r="82" spans="1:26" hidden="1">
      <c r="A82">
        <f>IF(ISNUMBER(SEARCH("rest_api",svc!R81)),1,0)</f>
        <v>0</v>
      </c>
      <c r="C82" t="str">
        <f>svc!D81</f>
        <v>trust</v>
      </c>
      <c r="D82" t="str">
        <f>svc!$B81</f>
        <v>v510</v>
      </c>
      <c r="E82" t="str">
        <f>svc!G81</f>
        <v>N/A</v>
      </c>
      <c r="F82" t="str">
        <f>CONCATENATE("ups-",svc!$B81,"-",svc!I81)</f>
        <v>ups-v510-das_evidence_record_consumer</v>
      </c>
      <c r="G82" t="str">
        <f>CONCATENATE("svc-",svc!$B81,"-",svc!I81)</f>
        <v>svc-v510-das_evidence_record_consumer</v>
      </c>
      <c r="H82" t="str">
        <f>CONCATENATE("route-",VLOOKUP($D82,kong_p2_var!$B$10:$D$16,2,FALSE),"-",svc!$B81,"-",svc!I81)</f>
        <v>route-v504-v510-das_evidence_record_consumer</v>
      </c>
      <c r="I82" t="str">
        <f>CONCATENATE(VLOOKUP($D82,kong_p2_var!$B$20:$H$26,SUBSTITUTE(I$1,"target_","") + 1,FALSE),":",$E82)</f>
        <v>172.20.148.131:N/A</v>
      </c>
      <c r="J82" t="str">
        <f>CONCATENATE(VLOOKUP($D82,kong_p2_var!$B$20:$H$26,SUBSTITUTE(J$1,"target_","") + 1,FALSE),":",$E82)</f>
        <v>172.20.148.132:N/A</v>
      </c>
      <c r="K82" t="str">
        <f>CONCATENATE(VLOOKUP($D82,kong_p2_var!$B$20:$H$26,SUBSTITUTE(K$1,"target_","") + 1,FALSE),":",$E82)</f>
        <v>172.20.148.133:N/A</v>
      </c>
      <c r="L82" t="str">
        <f>IF($C82="dmz","",CONCATENATE(VLOOKUP($D82,kong_p2_var!$B$20:$H$26,SUBSTITUTE(L$1,"target_","") + 1,FALSE),":",$E82))</f>
        <v>172.20.148.134:N/A</v>
      </c>
      <c r="M82" t="str">
        <f>IF($C82="dmz","",CONCATENATE(VLOOKUP($D82,kong_p2_var!$B$20:$H$26,SUBSTITUTE(M$1,"target_","") + 1,FALSE),":",$E82))</f>
        <v>172.20.148.135:N/A</v>
      </c>
      <c r="N82" t="str">
        <f>IF($C82="dmz","",CONCATENATE(VLOOKUP($D82,kong_p2_var!$B$20:$H$26,SUBSTITUTE(N$1,"target_","") + 1,FALSE),":",$E82))</f>
        <v>172.20.148.136:N/A</v>
      </c>
      <c r="O82" t="str">
        <f>VLOOKUP($D82,kong_p2_var!$B$10:$D$16,3,FALSE)</f>
        <v>172.20.149.183</v>
      </c>
      <c r="P82" t="str">
        <f>CONCATENATE("/",C82,MID(D82,2,15),"/",svc!$I81)</f>
        <v>/trust510/das_evidence_record_consumer</v>
      </c>
      <c r="Q82" t="str">
        <f>VLOOKUP(C82,kong_p2_var!$B$6:$C$7,2,FALSE)</f>
        <v>http://172.20.148.160:8001</v>
      </c>
      <c r="R82" t="str">
        <f>SUBSTITUTE(SUBSTITUTE(kong_p2_var!$J$1,"&lt;upstream_name&gt;",$F82),"&lt;kong_api_url&gt;",$Q82)</f>
        <v>curl -X PUT http://172.20.148.160:8001/upstreams/ups-v510-das_evidence_record_consumer</v>
      </c>
      <c r="S82" t="str">
        <f>SUBSTITUTE(SUBSTITUTE(SUBSTITUTE(SUBSTITUTE(kong_p2_var!$J$2,"&lt;kong_api_url&gt;",$Q82),"&lt;upstream_name&gt;",$F82),"&lt;port&gt;",$E82),"&lt;service_name&gt;",$G82)</f>
        <v>curl -X PUT http://172.20.148.160:8001/services/svc-v510-das_evidence_record_consumer -H "Content-Type: application/json" -d '{"protocol":"http","host":"ups-v510-das_evidence_record_consumer","port":N/A}'</v>
      </c>
      <c r="T82" t="str">
        <f>SUBSTITUTE(SUBSTITUTE(SUBSTITUTE(SUBSTITUTE(SUBSTITUTE(kong_p2_var!$J$3,"&lt;kong_api_url&gt;",$Q82),"&lt;route_name&gt;",$H82),"&lt;service_name&gt;",$G82),"&lt;host&gt;",$O82),"&lt;path&gt;",$P82)</f>
        <v>curl -X PUT http://172.20.148.160:8001/services/svc-v510-das_evidence_record_consumer/routes/route-v504-v510-das_evidence_record_consumer -H "Content-Type: application/json" -d '{"protocols":["http"],"hosts":["172.20.149.183"],"paths":["/trust510/das_evidence_record_consumer"]}'</v>
      </c>
      <c r="U82" t="str">
        <f t="shared" si="7"/>
        <v>curl -X POST http://172.20.148.160:8001/upstreams/ups-v510-das_evidence_record_consumer/targets -d 'target=172.20.148.131:N/A'</v>
      </c>
      <c r="V82" t="str">
        <f t="shared" si="8"/>
        <v>curl -X POST http://172.20.148.160:8001/upstreams/ups-v510-das_evidence_record_consumer/targets -d 'target=172.20.148.132:N/A'</v>
      </c>
      <c r="W82" t="str">
        <f t="shared" si="9"/>
        <v>curl -X POST http://172.20.148.160:8001/upstreams/ups-v510-das_evidence_record_consumer/targets -d 'target=172.20.148.133:N/A'</v>
      </c>
      <c r="X82" t="str">
        <f t="shared" si="10"/>
        <v>curl -X POST http://172.20.148.160:8001/upstreams/ups-v510-das_evidence_record_consumer/targets -d 'target=172.20.148.134:N/A'</v>
      </c>
      <c r="Y82" t="str">
        <f t="shared" si="11"/>
        <v>curl -X POST http://172.20.148.160:8001/upstreams/ups-v510-das_evidence_record_consumer/targets -d 'target=172.20.148.135:N/A'</v>
      </c>
      <c r="Z82" t="str">
        <f t="shared" si="12"/>
        <v>curl -X POST http://172.20.148.160:8001/upstreams/ups-v510-das_evidence_record_consumer/targets -d 'target=172.20.148.136:N/A'</v>
      </c>
    </row>
    <row r="83" spans="1:26" hidden="1">
      <c r="A83">
        <f>IF(ISNUMBER(SEARCH("rest_api",svc!R82)),1,0)</f>
        <v>0</v>
      </c>
      <c r="C83" t="str">
        <f>svc!D82</f>
        <v>trust</v>
      </c>
      <c r="D83" t="str">
        <f>svc!$B82</f>
        <v>v510</v>
      </c>
      <c r="E83" t="str">
        <f>svc!G82</f>
        <v>N/A</v>
      </c>
      <c r="F83" t="str">
        <f>CONCATENATE("ups-",svc!$B82,"-",svc!I82)</f>
        <v>ups-v510-das_transaction_record_consumer</v>
      </c>
      <c r="G83" t="str">
        <f>CONCATENATE("svc-",svc!$B82,"-",svc!I82)</f>
        <v>svc-v510-das_transaction_record_consumer</v>
      </c>
      <c r="H83" t="str">
        <f>CONCATENATE("route-",VLOOKUP($D83,kong_p2_var!$B$10:$D$16,2,FALSE),"-",svc!$B82,"-",svc!I82)</f>
        <v>route-v504-v510-das_transaction_record_consumer</v>
      </c>
      <c r="I83" t="str">
        <f>CONCATENATE(VLOOKUP($D83,kong_p2_var!$B$20:$H$26,SUBSTITUTE(I$1,"target_","") + 1,FALSE),":",$E83)</f>
        <v>172.20.148.131:N/A</v>
      </c>
      <c r="J83" t="str">
        <f>CONCATENATE(VLOOKUP($D83,kong_p2_var!$B$20:$H$26,SUBSTITUTE(J$1,"target_","") + 1,FALSE),":",$E83)</f>
        <v>172.20.148.132:N/A</v>
      </c>
      <c r="K83" t="str">
        <f>CONCATENATE(VLOOKUP($D83,kong_p2_var!$B$20:$H$26,SUBSTITUTE(K$1,"target_","") + 1,FALSE),":",$E83)</f>
        <v>172.20.148.133:N/A</v>
      </c>
      <c r="L83" t="str">
        <f>IF($C83="dmz","",CONCATENATE(VLOOKUP($D83,kong_p2_var!$B$20:$H$26,SUBSTITUTE(L$1,"target_","") + 1,FALSE),":",$E83))</f>
        <v>172.20.148.134:N/A</v>
      </c>
      <c r="M83" t="str">
        <f>IF($C83="dmz","",CONCATENATE(VLOOKUP($D83,kong_p2_var!$B$20:$H$26,SUBSTITUTE(M$1,"target_","") + 1,FALSE),":",$E83))</f>
        <v>172.20.148.135:N/A</v>
      </c>
      <c r="N83" t="str">
        <f>IF($C83="dmz","",CONCATENATE(VLOOKUP($D83,kong_p2_var!$B$20:$H$26,SUBSTITUTE(N$1,"target_","") + 1,FALSE),":",$E83))</f>
        <v>172.20.148.136:N/A</v>
      </c>
      <c r="O83" t="str">
        <f>VLOOKUP($D83,kong_p2_var!$B$10:$D$16,3,FALSE)</f>
        <v>172.20.149.183</v>
      </c>
      <c r="P83" t="str">
        <f>CONCATENATE("/",C83,MID(D83,2,15),"/",svc!$I82)</f>
        <v>/trust510/das_transaction_record_consumer</v>
      </c>
      <c r="Q83" t="str">
        <f>VLOOKUP(C83,kong_p2_var!$B$6:$C$7,2,FALSE)</f>
        <v>http://172.20.148.160:8001</v>
      </c>
      <c r="R83" t="str">
        <f>SUBSTITUTE(SUBSTITUTE(kong_p2_var!$J$1,"&lt;upstream_name&gt;",$F83),"&lt;kong_api_url&gt;",$Q83)</f>
        <v>curl -X PUT http://172.20.148.160:8001/upstreams/ups-v510-das_transaction_record_consumer</v>
      </c>
      <c r="S83" t="str">
        <f>SUBSTITUTE(SUBSTITUTE(SUBSTITUTE(SUBSTITUTE(kong_p2_var!$J$2,"&lt;kong_api_url&gt;",$Q83),"&lt;upstream_name&gt;",$F83),"&lt;port&gt;",$E83),"&lt;service_name&gt;",$G83)</f>
        <v>curl -X PUT http://172.20.148.160:8001/services/svc-v510-das_transaction_record_consumer -H "Content-Type: application/json" -d '{"protocol":"http","host":"ups-v510-das_transaction_record_consumer","port":N/A}'</v>
      </c>
      <c r="T83" t="str">
        <f>SUBSTITUTE(SUBSTITUTE(SUBSTITUTE(SUBSTITUTE(SUBSTITUTE(kong_p2_var!$J$3,"&lt;kong_api_url&gt;",$Q83),"&lt;route_name&gt;",$H83),"&lt;service_name&gt;",$G83),"&lt;host&gt;",$O83),"&lt;path&gt;",$P83)</f>
        <v>curl -X PUT http://172.20.148.160:8001/services/svc-v510-das_transaction_record_consumer/routes/route-v504-v510-das_transaction_record_consumer -H "Content-Type: application/json" -d '{"protocols":["http"],"hosts":["172.20.149.183"],"paths":["/trust510/das_transaction_record_consumer"]}'</v>
      </c>
      <c r="U83" t="str">
        <f t="shared" si="7"/>
        <v>curl -X POST http://172.20.148.160:8001/upstreams/ups-v510-das_transaction_record_consumer/targets -d 'target=172.20.148.131:N/A'</v>
      </c>
      <c r="V83" t="str">
        <f t="shared" si="8"/>
        <v>curl -X POST http://172.20.148.160:8001/upstreams/ups-v510-das_transaction_record_consumer/targets -d 'target=172.20.148.132:N/A'</v>
      </c>
      <c r="W83" t="str">
        <f t="shared" si="9"/>
        <v>curl -X POST http://172.20.148.160:8001/upstreams/ups-v510-das_transaction_record_consumer/targets -d 'target=172.20.148.133:N/A'</v>
      </c>
      <c r="X83" t="str">
        <f t="shared" si="10"/>
        <v>curl -X POST http://172.20.148.160:8001/upstreams/ups-v510-das_transaction_record_consumer/targets -d 'target=172.20.148.134:N/A'</v>
      </c>
      <c r="Y83" t="str">
        <f t="shared" si="11"/>
        <v>curl -X POST http://172.20.148.160:8001/upstreams/ups-v510-das_transaction_record_consumer/targets -d 'target=172.20.148.135:N/A'</v>
      </c>
      <c r="Z83" t="str">
        <f t="shared" si="12"/>
        <v>curl -X POST http://172.20.148.160:8001/upstreams/ups-v510-das_transaction_record_consumer/targets -d 'target=172.20.148.136:N/A'</v>
      </c>
    </row>
    <row r="84" spans="1:26">
      <c r="A84">
        <f>IF(ISNUMBER(SEARCH("rest_api",svc!R83)),1,0)</f>
        <v>1</v>
      </c>
      <c r="C84" t="str">
        <f>svc!D83</f>
        <v>trust</v>
      </c>
      <c r="D84" t="str">
        <f>svc!$B83</f>
        <v>v510</v>
      </c>
      <c r="E84">
        <f>svc!G83</f>
        <v>31218</v>
      </c>
      <c r="F84" t="str">
        <f>CONCATENATE("ups-",svc!$B83,"-",svc!I83)</f>
        <v>ups-v510-das_evid_api</v>
      </c>
      <c r="G84" t="str">
        <f>CONCATENATE("svc-",svc!$B83,"-",svc!I83)</f>
        <v>svc-v510-das_evid_api</v>
      </c>
      <c r="H84" t="str">
        <f>CONCATENATE("route-",VLOOKUP($D84,kong_p2_var!$B$10:$D$16,2,FALSE),"-",svc!$B83,"-",svc!I83)</f>
        <v>route-v504-v510-das_evid_api</v>
      </c>
      <c r="I84" t="str">
        <f>CONCATENATE(VLOOKUP($D84,kong_p2_var!$B$20:$H$26,SUBSTITUTE(I$1,"target_","") + 1,FALSE),":",$E84)</f>
        <v>172.20.148.131:31218</v>
      </c>
      <c r="J84" t="str">
        <f>CONCATENATE(VLOOKUP($D84,kong_p2_var!$B$20:$H$26,SUBSTITUTE(J$1,"target_","") + 1,FALSE),":",$E84)</f>
        <v>172.20.148.132:31218</v>
      </c>
      <c r="K84" t="str">
        <f>CONCATENATE(VLOOKUP($D84,kong_p2_var!$B$20:$H$26,SUBSTITUTE(K$1,"target_","") + 1,FALSE),":",$E84)</f>
        <v>172.20.148.133:31218</v>
      </c>
      <c r="L84" t="str">
        <f>IF($C84="dmz","",CONCATENATE(VLOOKUP($D84,kong_p2_var!$B$20:$H$26,SUBSTITUTE(L$1,"target_","") + 1,FALSE),":",$E84))</f>
        <v>172.20.148.134:31218</v>
      </c>
      <c r="M84" t="str">
        <f>IF($C84="dmz","",CONCATENATE(VLOOKUP($D84,kong_p2_var!$B$20:$H$26,SUBSTITUTE(M$1,"target_","") + 1,FALSE),":",$E84))</f>
        <v>172.20.148.135:31218</v>
      </c>
      <c r="N84" t="str">
        <f>IF($C84="dmz","",CONCATENATE(VLOOKUP($D84,kong_p2_var!$B$20:$H$26,SUBSTITUTE(N$1,"target_","") + 1,FALSE),":",$E84))</f>
        <v>172.20.148.136:31218</v>
      </c>
      <c r="O84" t="str">
        <f>VLOOKUP($D84,kong_p2_var!$B$10:$D$16,3,FALSE)</f>
        <v>172.20.149.183</v>
      </c>
      <c r="P84" t="str">
        <f>CONCATENATE("/",C84,MID(D84,2,15),"/",svc!$I83)</f>
        <v>/trust510/das_evid_api</v>
      </c>
      <c r="Q84" t="str">
        <f>VLOOKUP(C84,kong_p2_var!$B$6:$C$7,2,FALSE)</f>
        <v>http://172.20.148.160:8001</v>
      </c>
      <c r="R84" t="str">
        <f>SUBSTITUTE(SUBSTITUTE(kong_p2_var!$J$1,"&lt;upstream_name&gt;",$F84),"&lt;kong_api_url&gt;",$Q84)</f>
        <v>curl -X PUT http://172.20.148.160:8001/upstreams/ups-v510-das_evid_api</v>
      </c>
      <c r="S84" t="str">
        <f>SUBSTITUTE(SUBSTITUTE(SUBSTITUTE(SUBSTITUTE(kong_p2_var!$J$2,"&lt;kong_api_url&gt;",$Q84),"&lt;upstream_name&gt;",$F84),"&lt;port&gt;",$E84),"&lt;service_name&gt;",$G84)</f>
        <v>curl -X PUT http://172.20.148.160:8001/services/svc-v510-das_evid_api -H "Content-Type: application/json" -d '{"protocol":"http","host":"ups-v510-das_evid_api","port":31218}'</v>
      </c>
      <c r="T84" t="str">
        <f>SUBSTITUTE(SUBSTITUTE(SUBSTITUTE(SUBSTITUTE(SUBSTITUTE(kong_p2_var!$J$3,"&lt;kong_api_url&gt;",$Q84),"&lt;route_name&gt;",$H84),"&lt;service_name&gt;",$G84),"&lt;host&gt;",$O84),"&lt;path&gt;",$P84)</f>
        <v>curl -X PUT http://172.20.148.160:8001/services/svc-v510-das_evid_api/routes/route-v504-v510-das_evid_api -H "Content-Type: application/json" -d '{"protocols":["http"],"hosts":["172.20.149.183"],"paths":["/trust510/das_evid_api"]}'</v>
      </c>
      <c r="U84" t="str">
        <f t="shared" si="7"/>
        <v>curl -X POST http://172.20.148.160:8001/upstreams/ups-v510-das_evid_api/targets -d 'target=172.20.148.131:31218'</v>
      </c>
      <c r="V84" t="str">
        <f t="shared" si="8"/>
        <v>curl -X POST http://172.20.148.160:8001/upstreams/ups-v510-das_evid_api/targets -d 'target=172.20.148.132:31218'</v>
      </c>
      <c r="W84" t="str">
        <f t="shared" si="9"/>
        <v>curl -X POST http://172.20.148.160:8001/upstreams/ups-v510-das_evid_api/targets -d 'target=172.20.148.133:31218'</v>
      </c>
      <c r="X84" t="str">
        <f t="shared" si="10"/>
        <v>curl -X POST http://172.20.148.160:8001/upstreams/ups-v510-das_evid_api/targets -d 'target=172.20.148.134:31218'</v>
      </c>
      <c r="Y84" t="str">
        <f t="shared" si="11"/>
        <v>curl -X POST http://172.20.148.160:8001/upstreams/ups-v510-das_evid_api/targets -d 'target=172.20.148.135:31218'</v>
      </c>
      <c r="Z84" t="str">
        <f t="shared" si="12"/>
        <v>curl -X POST http://172.20.148.160:8001/upstreams/ups-v510-das_evid_api/targets -d 'target=172.20.148.136:31218'</v>
      </c>
    </row>
    <row r="85" spans="1:26">
      <c r="A85">
        <f>IF(ISNUMBER(SEARCH("rest_api",svc!R84)),1,0)</f>
        <v>1</v>
      </c>
      <c r="C85" t="str">
        <f>svc!D84</f>
        <v>trust</v>
      </c>
      <c r="D85" t="str">
        <f>svc!$B84</f>
        <v>v510</v>
      </c>
      <c r="E85">
        <f>svc!G84</f>
        <v>31014</v>
      </c>
      <c r="F85" t="str">
        <f>CONCATENATE("ups-",svc!$B84,"-",svc!I84)</f>
        <v>ups-v510-ecms_api</v>
      </c>
      <c r="G85" t="str">
        <f>CONCATENATE("svc-",svc!$B84,"-",svc!I84)</f>
        <v>svc-v510-ecms_api</v>
      </c>
      <c r="H85" t="str">
        <f>CONCATENATE("route-",VLOOKUP($D85,kong_p2_var!$B$10:$D$16,2,FALSE),"-",svc!$B84,"-",svc!I84)</f>
        <v>route-v504-v510-ecms_api</v>
      </c>
      <c r="I85" t="str">
        <f>CONCATENATE(VLOOKUP($D85,kong_p2_var!$B$20:$H$26,SUBSTITUTE(I$1,"target_","") + 1,FALSE),":",$E85)</f>
        <v>172.20.148.131:31014</v>
      </c>
      <c r="J85" t="str">
        <f>CONCATENATE(VLOOKUP($D85,kong_p2_var!$B$20:$H$26,SUBSTITUTE(J$1,"target_","") + 1,FALSE),":",$E85)</f>
        <v>172.20.148.132:31014</v>
      </c>
      <c r="K85" t="str">
        <f>CONCATENATE(VLOOKUP($D85,kong_p2_var!$B$20:$H$26,SUBSTITUTE(K$1,"target_","") + 1,FALSE),":",$E85)</f>
        <v>172.20.148.133:31014</v>
      </c>
      <c r="L85" t="str">
        <f>IF($C85="dmz","",CONCATENATE(VLOOKUP($D85,kong_p2_var!$B$20:$H$26,SUBSTITUTE(L$1,"target_","") + 1,FALSE),":",$E85))</f>
        <v>172.20.148.134:31014</v>
      </c>
      <c r="M85" t="str">
        <f>IF($C85="dmz","",CONCATENATE(VLOOKUP($D85,kong_p2_var!$B$20:$H$26,SUBSTITUTE(M$1,"target_","") + 1,FALSE),":",$E85))</f>
        <v>172.20.148.135:31014</v>
      </c>
      <c r="N85" t="str">
        <f>IF($C85="dmz","",CONCATENATE(VLOOKUP($D85,kong_p2_var!$B$20:$H$26,SUBSTITUTE(N$1,"target_","") + 1,FALSE),":",$E85))</f>
        <v>172.20.148.136:31014</v>
      </c>
      <c r="O85" t="str">
        <f>VLOOKUP($D85,kong_p2_var!$B$10:$D$16,3,FALSE)</f>
        <v>172.20.149.183</v>
      </c>
      <c r="P85" t="str">
        <f>CONCATENATE("/",C85,MID(D85,2,15),"/",svc!$I84)</f>
        <v>/trust510/ecms_api</v>
      </c>
      <c r="Q85" t="str">
        <f>VLOOKUP(C85,kong_p2_var!$B$6:$C$7,2,FALSE)</f>
        <v>http://172.20.148.160:8001</v>
      </c>
      <c r="R85" t="str">
        <f>SUBSTITUTE(SUBSTITUTE(kong_p2_var!$J$1,"&lt;upstream_name&gt;",$F85),"&lt;kong_api_url&gt;",$Q85)</f>
        <v>curl -X PUT http://172.20.148.160:8001/upstreams/ups-v510-ecms_api</v>
      </c>
      <c r="S85" t="str">
        <f>SUBSTITUTE(SUBSTITUTE(SUBSTITUTE(SUBSTITUTE(kong_p2_var!$J$2,"&lt;kong_api_url&gt;",$Q85),"&lt;upstream_name&gt;",$F85),"&lt;port&gt;",$E85),"&lt;service_name&gt;",$G85)</f>
        <v>curl -X PUT http://172.20.148.160:8001/services/svc-v510-ecms_api -H "Content-Type: application/json" -d '{"protocol":"http","host":"ups-v510-ecms_api","port":31014}'</v>
      </c>
      <c r="T85" t="str">
        <f>SUBSTITUTE(SUBSTITUTE(SUBSTITUTE(SUBSTITUTE(SUBSTITUTE(kong_p2_var!$J$3,"&lt;kong_api_url&gt;",$Q85),"&lt;route_name&gt;",$H85),"&lt;service_name&gt;",$G85),"&lt;host&gt;",$O85),"&lt;path&gt;",$P85)</f>
        <v>curl -X PUT http://172.20.148.160:8001/services/svc-v510-ecms_api/routes/route-v504-v510-ecms_api -H "Content-Type: application/json" -d '{"protocols":["http"],"hosts":["172.20.149.183"],"paths":["/trust510/ecms_api"]}'</v>
      </c>
      <c r="U85" t="str">
        <f t="shared" si="7"/>
        <v>curl -X POST http://172.20.148.160:8001/upstreams/ups-v510-ecms_api/targets -d 'target=172.20.148.131:31014'</v>
      </c>
      <c r="V85" t="str">
        <f t="shared" si="8"/>
        <v>curl -X POST http://172.20.148.160:8001/upstreams/ups-v510-ecms_api/targets -d 'target=172.20.148.132:31014'</v>
      </c>
      <c r="W85" t="str">
        <f t="shared" si="9"/>
        <v>curl -X POST http://172.20.148.160:8001/upstreams/ups-v510-ecms_api/targets -d 'target=172.20.148.133:31014'</v>
      </c>
      <c r="X85" t="str">
        <f t="shared" si="10"/>
        <v>curl -X POST http://172.20.148.160:8001/upstreams/ups-v510-ecms_api/targets -d 'target=172.20.148.134:31014'</v>
      </c>
      <c r="Y85" t="str">
        <f t="shared" si="11"/>
        <v>curl -X POST http://172.20.148.160:8001/upstreams/ups-v510-ecms_api/targets -d 'target=172.20.148.135:31014'</v>
      </c>
      <c r="Z85" t="str">
        <f t="shared" si="12"/>
        <v>curl -X POST http://172.20.148.160:8001/upstreams/ups-v510-ecms_api/targets -d 'target=172.20.148.136:31014'</v>
      </c>
    </row>
    <row r="86" spans="1:26">
      <c r="A86">
        <f>IF(ISNUMBER(SEARCH("rest_api",svc!R85)),1,0)</f>
        <v>1</v>
      </c>
      <c r="C86" t="str">
        <f>svc!D85</f>
        <v>trust</v>
      </c>
      <c r="D86" t="str">
        <f>svc!$B85</f>
        <v>v510</v>
      </c>
      <c r="E86">
        <f>svc!G85</f>
        <v>31024</v>
      </c>
      <c r="F86" t="str">
        <f>CONCATENATE("ups-",svc!$B85,"-",svc!I85)</f>
        <v>ups-v510-secondocr_webapi</v>
      </c>
      <c r="G86" t="str">
        <f>CONCATENATE("svc-",svc!$B85,"-",svc!I85)</f>
        <v>svc-v510-secondocr_webapi</v>
      </c>
      <c r="H86" t="str">
        <f>CONCATENATE("route-",VLOOKUP($D86,kong_p2_var!$B$10:$D$16,2,FALSE),"-",svc!$B85,"-",svc!I85)</f>
        <v>route-v504-v510-secondocr_webapi</v>
      </c>
      <c r="I86" t="str">
        <f>CONCATENATE(VLOOKUP($D86,kong_p2_var!$B$20:$H$26,SUBSTITUTE(I$1,"target_","") + 1,FALSE),":",$E86)</f>
        <v>172.20.148.131:31024</v>
      </c>
      <c r="J86" t="str">
        <f>CONCATENATE(VLOOKUP($D86,kong_p2_var!$B$20:$H$26,SUBSTITUTE(J$1,"target_","") + 1,FALSE),":",$E86)</f>
        <v>172.20.148.132:31024</v>
      </c>
      <c r="K86" t="str">
        <f>CONCATENATE(VLOOKUP($D86,kong_p2_var!$B$20:$H$26,SUBSTITUTE(K$1,"target_","") + 1,FALSE),":",$E86)</f>
        <v>172.20.148.133:31024</v>
      </c>
      <c r="L86" t="str">
        <f>IF($C86="dmz","",CONCATENATE(VLOOKUP($D86,kong_p2_var!$B$20:$H$26,SUBSTITUTE(L$1,"target_","") + 1,FALSE),":",$E86))</f>
        <v>172.20.148.134:31024</v>
      </c>
      <c r="M86" t="str">
        <f>IF($C86="dmz","",CONCATENATE(VLOOKUP($D86,kong_p2_var!$B$20:$H$26,SUBSTITUTE(M$1,"target_","") + 1,FALSE),":",$E86))</f>
        <v>172.20.148.135:31024</v>
      </c>
      <c r="N86" t="str">
        <f>IF($C86="dmz","",CONCATENATE(VLOOKUP($D86,kong_p2_var!$B$20:$H$26,SUBSTITUTE(N$1,"target_","") + 1,FALSE),":",$E86))</f>
        <v>172.20.148.136:31024</v>
      </c>
      <c r="O86" t="str">
        <f>VLOOKUP($D86,kong_p2_var!$B$10:$D$16,3,FALSE)</f>
        <v>172.20.149.183</v>
      </c>
      <c r="P86" t="str">
        <f>CONCATENATE("/",C86,MID(D86,2,15),"/",svc!$I85)</f>
        <v>/trust510/secondocr_webapi</v>
      </c>
      <c r="Q86" t="str">
        <f>VLOOKUP(C86,kong_p2_var!$B$6:$C$7,2,FALSE)</f>
        <v>http://172.20.148.160:8001</v>
      </c>
      <c r="R86" t="str">
        <f>SUBSTITUTE(SUBSTITUTE(kong_p2_var!$J$1,"&lt;upstream_name&gt;",$F86),"&lt;kong_api_url&gt;",$Q86)</f>
        <v>curl -X PUT http://172.20.148.160:8001/upstreams/ups-v510-secondocr_webapi</v>
      </c>
      <c r="S86" t="str">
        <f>SUBSTITUTE(SUBSTITUTE(SUBSTITUTE(SUBSTITUTE(kong_p2_var!$J$2,"&lt;kong_api_url&gt;",$Q86),"&lt;upstream_name&gt;",$F86),"&lt;port&gt;",$E86),"&lt;service_name&gt;",$G86)</f>
        <v>curl -X PUT http://172.20.148.160:8001/services/svc-v510-secondocr_webapi -H "Content-Type: application/json" -d '{"protocol":"http","host":"ups-v510-secondocr_webapi","port":31024}'</v>
      </c>
      <c r="T86" t="str">
        <f>SUBSTITUTE(SUBSTITUTE(SUBSTITUTE(SUBSTITUTE(SUBSTITUTE(kong_p2_var!$J$3,"&lt;kong_api_url&gt;",$Q86),"&lt;route_name&gt;",$H86),"&lt;service_name&gt;",$G86),"&lt;host&gt;",$O86),"&lt;path&gt;",$P86)</f>
        <v>curl -X PUT http://172.20.148.160:8001/services/svc-v510-secondocr_webapi/routes/route-v504-v510-secondocr_webapi -H "Content-Type: application/json" -d '{"protocols":["http"],"hosts":["172.20.149.183"],"paths":["/trust510/secondocr_webapi"]}'</v>
      </c>
      <c r="U86" t="str">
        <f t="shared" si="7"/>
        <v>curl -X POST http://172.20.148.160:8001/upstreams/ups-v510-secondocr_webapi/targets -d 'target=172.20.148.131:31024'</v>
      </c>
      <c r="V86" t="str">
        <f t="shared" si="8"/>
        <v>curl -X POST http://172.20.148.160:8001/upstreams/ups-v510-secondocr_webapi/targets -d 'target=172.20.148.132:31024'</v>
      </c>
      <c r="W86" t="str">
        <f t="shared" si="9"/>
        <v>curl -X POST http://172.20.148.160:8001/upstreams/ups-v510-secondocr_webapi/targets -d 'target=172.20.148.133:31024'</v>
      </c>
      <c r="X86" t="str">
        <f t="shared" si="10"/>
        <v>curl -X POST http://172.20.148.160:8001/upstreams/ups-v510-secondocr_webapi/targets -d 'target=172.20.148.134:31024'</v>
      </c>
      <c r="Y86" t="str">
        <f t="shared" si="11"/>
        <v>curl -X POST http://172.20.148.160:8001/upstreams/ups-v510-secondocr_webapi/targets -d 'target=172.20.148.135:31024'</v>
      </c>
      <c r="Z86" t="str">
        <f t="shared" si="12"/>
        <v>curl -X POST http://172.20.148.160:8001/upstreams/ups-v510-secondocr_webapi/targets -d 'target=172.20.148.136:31024'</v>
      </c>
    </row>
    <row r="87" spans="1:26">
      <c r="A87">
        <f>IF(ISNUMBER(SEARCH("rest_api",svc!R86)),1,0)</f>
        <v>1</v>
      </c>
      <c r="C87" t="str">
        <f>svc!D86</f>
        <v>trust</v>
      </c>
      <c r="D87" t="str">
        <f>svc!$B86</f>
        <v>v810</v>
      </c>
      <c r="E87">
        <f>svc!G86</f>
        <v>31318</v>
      </c>
      <c r="F87" t="str">
        <f>CONCATENATE("ups-",svc!$B86,"-",svc!I86)</f>
        <v>ups-v810-statement_api</v>
      </c>
      <c r="G87" t="str">
        <f>CONCATENATE("svc-",svc!$B86,"-",svc!I86)</f>
        <v>svc-v810-statement_api</v>
      </c>
      <c r="H87" t="str">
        <f>CONCATENATE("route-",VLOOKUP($D87,kong_p2_var!$B$10:$D$16,2,FALSE),"-",svc!$B86,"-",svc!I86)</f>
        <v>route-v804-v810-statement_api</v>
      </c>
      <c r="I87" t="str">
        <f>CONCATENATE(VLOOKUP($D87,kong_p2_var!$B$20:$H$26,SUBSTITUTE(I$1,"target_","") + 1,FALSE),":",$E87)</f>
        <v>172.20.148.195:31318</v>
      </c>
      <c r="J87" t="str">
        <f>CONCATENATE(VLOOKUP($D87,kong_p2_var!$B$20:$H$26,SUBSTITUTE(J$1,"target_","") + 1,FALSE),":",$E87)</f>
        <v>172.20.148.196:31318</v>
      </c>
      <c r="K87" t="str">
        <f>CONCATENATE(VLOOKUP($D87,kong_p2_var!$B$20:$H$26,SUBSTITUTE(K$1,"target_","") + 1,FALSE),":",$E87)</f>
        <v>172.20.148.197:31318</v>
      </c>
      <c r="L87" t="str">
        <f>IF($C87="dmz","",CONCATENATE(VLOOKUP($D87,kong_p2_var!$B$20:$H$26,SUBSTITUTE(L$1,"target_","") + 1,FALSE),":",$E87))</f>
        <v>172.20.148.198:31318</v>
      </c>
      <c r="M87" t="str">
        <f>IF($C87="dmz","",CONCATENATE(VLOOKUP($D87,kong_p2_var!$B$20:$H$26,SUBSTITUTE(M$1,"target_","") + 1,FALSE),":",$E87))</f>
        <v>172.20.148.199:31318</v>
      </c>
      <c r="N87" t="str">
        <f>IF($C87="dmz","",CONCATENATE(VLOOKUP($D87,kong_p2_var!$B$20:$H$26,SUBSTITUTE(N$1,"target_","") + 1,FALSE),":",$E87))</f>
        <v>172.20.148.200:31318</v>
      </c>
      <c r="O87" t="str">
        <f>VLOOKUP($D87,kong_p2_var!$B$10:$D$16,3,FALSE)</f>
        <v>172.20.149.151</v>
      </c>
      <c r="P87" t="str">
        <f>CONCATENATE("/",C87,MID(D87,2,15),"/",svc!$I86)</f>
        <v>/trust810/statement_api</v>
      </c>
      <c r="Q87" t="str">
        <f>VLOOKUP(C87,kong_p2_var!$B$6:$C$7,2,FALSE)</f>
        <v>http://172.20.148.160:8001</v>
      </c>
      <c r="R87" t="str">
        <f>SUBSTITUTE(SUBSTITUTE(kong_p2_var!$J$1,"&lt;upstream_name&gt;",$F87),"&lt;kong_api_url&gt;",$Q87)</f>
        <v>curl -X PUT http://172.20.148.160:8001/upstreams/ups-v810-statement_api</v>
      </c>
      <c r="S87" t="str">
        <f>SUBSTITUTE(SUBSTITUTE(SUBSTITUTE(SUBSTITUTE(kong_p2_var!$J$2,"&lt;kong_api_url&gt;",$Q87),"&lt;upstream_name&gt;",$F87),"&lt;port&gt;",$E87),"&lt;service_name&gt;",$G87)</f>
        <v>curl -X PUT http://172.20.148.160:8001/services/svc-v810-statement_api -H "Content-Type: application/json" -d '{"protocol":"http","host":"ups-v810-statement_api","port":31318}'</v>
      </c>
      <c r="T87" t="str">
        <f>SUBSTITUTE(SUBSTITUTE(SUBSTITUTE(SUBSTITUTE(SUBSTITUTE(kong_p2_var!$J$3,"&lt;kong_api_url&gt;",$Q87),"&lt;route_name&gt;",$H87),"&lt;service_name&gt;",$G87),"&lt;host&gt;",$O87),"&lt;path&gt;",$P87)</f>
        <v>curl -X PUT http://172.20.148.160:8001/services/svc-v810-statement_api/routes/route-v804-v810-statement_api -H "Content-Type: application/json" -d '{"protocols":["http"],"hosts":["172.20.149.151"],"paths":["/trust810/statement_api"]}'</v>
      </c>
      <c r="U87" t="str">
        <f t="shared" si="7"/>
        <v>curl -X POST http://172.20.148.160:8001/upstreams/ups-v810-statement_api/targets -d 'target=172.20.148.195:31318'</v>
      </c>
      <c r="V87" t="str">
        <f t="shared" si="8"/>
        <v>curl -X POST http://172.20.148.160:8001/upstreams/ups-v810-statement_api/targets -d 'target=172.20.148.196:31318'</v>
      </c>
      <c r="W87" t="str">
        <f t="shared" si="9"/>
        <v>curl -X POST http://172.20.148.160:8001/upstreams/ups-v810-statement_api/targets -d 'target=172.20.148.197:31318'</v>
      </c>
      <c r="X87" t="str">
        <f t="shared" si="10"/>
        <v>curl -X POST http://172.20.148.160:8001/upstreams/ups-v810-statement_api/targets -d 'target=172.20.148.198:31318'</v>
      </c>
      <c r="Y87" t="str">
        <f t="shared" si="11"/>
        <v>curl -X POST http://172.20.148.160:8001/upstreams/ups-v810-statement_api/targets -d 'target=172.20.148.199:31318'</v>
      </c>
      <c r="Z87" t="str">
        <f t="shared" si="12"/>
        <v>curl -X POST http://172.20.148.160:8001/upstreams/ups-v810-statement_api/targets -d 'target=172.20.148.200:31318'</v>
      </c>
    </row>
    <row r="88" spans="1:26">
      <c r="A88">
        <f>IF(ISNUMBER(SEARCH("rest_api",svc!R87)),1,0)</f>
        <v>1</v>
      </c>
      <c r="C88" t="str">
        <f>svc!D87</f>
        <v>trust</v>
      </c>
      <c r="D88" t="str">
        <f>svc!$B87</f>
        <v>v510</v>
      </c>
      <c r="E88">
        <f>svc!G87</f>
        <v>31319</v>
      </c>
      <c r="F88" t="str">
        <f>CONCATENATE("ups-",svc!$B87,"-",svc!I87)</f>
        <v>ups-v510-toll_cal_setting</v>
      </c>
      <c r="G88" t="str">
        <f>CONCATENATE("svc-",svc!$B87,"-",svc!I87)</f>
        <v>svc-v510-toll_cal_setting</v>
      </c>
      <c r="H88" t="str">
        <f>CONCATENATE("route-",VLOOKUP($D88,kong_p2_var!$B$10:$D$16,2,FALSE),"-",svc!$B87,"-",svc!I87)</f>
        <v>route-v504-v510-toll_cal_setting</v>
      </c>
      <c r="I88" t="str">
        <f>CONCATENATE(VLOOKUP($D88,kong_p2_var!$B$20:$H$26,SUBSTITUTE(I$1,"target_","") + 1,FALSE),":",$E88)</f>
        <v>172.20.148.131:31319</v>
      </c>
      <c r="J88" t="str">
        <f>CONCATENATE(VLOOKUP($D88,kong_p2_var!$B$20:$H$26,SUBSTITUTE(J$1,"target_","") + 1,FALSE),":",$E88)</f>
        <v>172.20.148.132:31319</v>
      </c>
      <c r="K88" t="str">
        <f>CONCATENATE(VLOOKUP($D88,kong_p2_var!$B$20:$H$26,SUBSTITUTE(K$1,"target_","") + 1,FALSE),":",$E88)</f>
        <v>172.20.148.133:31319</v>
      </c>
      <c r="L88" t="str">
        <f>IF($C88="dmz","",CONCATENATE(VLOOKUP($D88,kong_p2_var!$B$20:$H$26,SUBSTITUTE(L$1,"target_","") + 1,FALSE),":",$E88))</f>
        <v>172.20.148.134:31319</v>
      </c>
      <c r="M88" t="str">
        <f>IF($C88="dmz","",CONCATENATE(VLOOKUP($D88,kong_p2_var!$B$20:$H$26,SUBSTITUTE(M$1,"target_","") + 1,FALSE),":",$E88))</f>
        <v>172.20.148.135:31319</v>
      </c>
      <c r="N88" t="str">
        <f>IF($C88="dmz","",CONCATENATE(VLOOKUP($D88,kong_p2_var!$B$20:$H$26,SUBSTITUTE(N$1,"target_","") + 1,FALSE),":",$E88))</f>
        <v>172.20.148.136:31319</v>
      </c>
      <c r="O88" t="str">
        <f>VLOOKUP($D88,kong_p2_var!$B$10:$D$16,3,FALSE)</f>
        <v>172.20.149.183</v>
      </c>
      <c r="P88" t="str">
        <f>CONCATENATE("/",C88,MID(D88,2,15),"/",svc!$I87)</f>
        <v>/trust510/toll_cal_setting</v>
      </c>
      <c r="Q88" t="str">
        <f>VLOOKUP(C88,kong_p2_var!$B$6:$C$7,2,FALSE)</f>
        <v>http://172.20.148.160:8001</v>
      </c>
      <c r="R88" t="str">
        <f>SUBSTITUTE(SUBSTITUTE(kong_p2_var!$J$1,"&lt;upstream_name&gt;",$F88),"&lt;kong_api_url&gt;",$Q88)</f>
        <v>curl -X PUT http://172.20.148.160:8001/upstreams/ups-v510-toll_cal_setting</v>
      </c>
      <c r="S88" t="str">
        <f>SUBSTITUTE(SUBSTITUTE(SUBSTITUTE(SUBSTITUTE(kong_p2_var!$J$2,"&lt;kong_api_url&gt;",$Q88),"&lt;upstream_name&gt;",$F88),"&lt;port&gt;",$E88),"&lt;service_name&gt;",$G88)</f>
        <v>curl -X PUT http://172.20.148.160:8001/services/svc-v510-toll_cal_setting -H "Content-Type: application/json" -d '{"protocol":"http","host":"ups-v510-toll_cal_setting","port":31319}'</v>
      </c>
      <c r="T88" t="str">
        <f>SUBSTITUTE(SUBSTITUTE(SUBSTITUTE(SUBSTITUTE(SUBSTITUTE(kong_p2_var!$J$3,"&lt;kong_api_url&gt;",$Q88),"&lt;route_name&gt;",$H88),"&lt;service_name&gt;",$G88),"&lt;host&gt;",$O88),"&lt;path&gt;",$P88)</f>
        <v>curl -X PUT http://172.20.148.160:8001/services/svc-v510-toll_cal_setting/routes/route-v504-v510-toll_cal_setting -H "Content-Type: application/json" -d '{"protocols":["http"],"hosts":["172.20.149.183"],"paths":["/trust510/toll_cal_setting"]}'</v>
      </c>
      <c r="U88" t="str">
        <f t="shared" si="7"/>
        <v>curl -X POST http://172.20.148.160:8001/upstreams/ups-v510-toll_cal_setting/targets -d 'target=172.20.148.131:31319'</v>
      </c>
      <c r="V88" t="str">
        <f t="shared" si="8"/>
        <v>curl -X POST http://172.20.148.160:8001/upstreams/ups-v510-toll_cal_setting/targets -d 'target=172.20.148.132:31319'</v>
      </c>
      <c r="W88" t="str">
        <f t="shared" si="9"/>
        <v>curl -X POST http://172.20.148.160:8001/upstreams/ups-v510-toll_cal_setting/targets -d 'target=172.20.148.133:31319'</v>
      </c>
      <c r="X88" t="str">
        <f t="shared" si="10"/>
        <v>curl -X POST http://172.20.148.160:8001/upstreams/ups-v510-toll_cal_setting/targets -d 'target=172.20.148.134:31319'</v>
      </c>
      <c r="Y88" t="str">
        <f t="shared" si="11"/>
        <v>curl -X POST http://172.20.148.160:8001/upstreams/ups-v510-toll_cal_setting/targets -d 'target=172.20.148.135:31319'</v>
      </c>
      <c r="Z88" t="str">
        <f t="shared" si="12"/>
        <v>curl -X POST http://172.20.148.160:8001/upstreams/ups-v510-toll_cal_setting/targets -d 'target=172.20.148.136:31319'</v>
      </c>
    </row>
    <row r="89" spans="1:26" hidden="1">
      <c r="A89">
        <f>IF(ISNUMBER(SEARCH("rest_api",svc!R88)),1,0)</f>
        <v>1</v>
      </c>
      <c r="C89" t="str">
        <f>svc!D88</f>
        <v>trust</v>
      </c>
      <c r="D89" t="str">
        <f>svc!$B88</f>
        <v>v511</v>
      </c>
      <c r="E89">
        <f>svc!G88</f>
        <v>31001</v>
      </c>
      <c r="F89" t="str">
        <f>CONCATENATE("ups-",svc!$B88,"-",svc!I88)</f>
        <v>ups-v511-toms_api</v>
      </c>
      <c r="G89" t="str">
        <f>CONCATENATE("svc-",svc!$B88,"-",svc!I88)</f>
        <v>svc-v511-toms_api</v>
      </c>
      <c r="H89" t="e">
        <f>CONCATENATE("route-",VLOOKUP($D89,kong_p2_var!$B$10:$D$16,2,FALSE),"-",svc!$B88,"-",svc!I88)</f>
        <v>#N/A</v>
      </c>
      <c r="I89" t="e">
        <f>CONCATENATE(VLOOKUP($D89,kong_p2_var!$B$20:$H$26,SUBSTITUTE(I$1,"target_","") + 1,FALSE),":",$E89)</f>
        <v>#N/A</v>
      </c>
      <c r="J89" t="e">
        <f>CONCATENATE(VLOOKUP($D89,kong_p2_var!$B$20:$H$26,SUBSTITUTE(J$1,"target_","") + 1,FALSE),":",$E89)</f>
        <v>#N/A</v>
      </c>
      <c r="K89" t="e">
        <f>CONCATENATE(VLOOKUP($D89,kong_p2_var!$B$20:$H$26,SUBSTITUTE(K$1,"target_","") + 1,FALSE),":",$E89)</f>
        <v>#N/A</v>
      </c>
      <c r="L89" t="e">
        <f>IF($C89="dmz","",CONCATENATE(VLOOKUP($D89,kong_p2_var!$B$20:$H$26,SUBSTITUTE(L$1,"target_","") + 1,FALSE),":",$E89))</f>
        <v>#N/A</v>
      </c>
      <c r="M89" t="e">
        <f>IF($C89="dmz","",CONCATENATE(VLOOKUP($D89,kong_p2_var!$B$20:$H$26,SUBSTITUTE(M$1,"target_","") + 1,FALSE),":",$E89))</f>
        <v>#N/A</v>
      </c>
      <c r="N89" t="e">
        <f>IF($C89="dmz","",CONCATENATE(VLOOKUP($D89,kong_p2_var!$B$20:$H$26,SUBSTITUTE(N$1,"target_","") + 1,FALSE),":",$E89))</f>
        <v>#N/A</v>
      </c>
      <c r="O89" t="e">
        <f>VLOOKUP($D89,kong_p2_var!$B$10:$D$16,3,FALSE)</f>
        <v>#N/A</v>
      </c>
      <c r="P89" t="str">
        <f>CONCATENATE("/",C89,MID(D89,2,15),"/",svc!$I88)</f>
        <v>/trust511/toms_api</v>
      </c>
      <c r="Q89" t="str">
        <f>VLOOKUP(C89,kong_p2_var!$B$6:$C$7,2,FALSE)</f>
        <v>http://172.20.148.160:8001</v>
      </c>
      <c r="R89" t="str">
        <f>SUBSTITUTE(SUBSTITUTE(kong_p2_var!$J$1,"&lt;upstream_name&gt;",$F89),"&lt;kong_api_url&gt;",$Q89)</f>
        <v>curl -X PUT http://172.20.148.160:8001/upstreams/ups-v511-toms_api</v>
      </c>
      <c r="S89" t="str">
        <f>SUBSTITUTE(SUBSTITUTE(SUBSTITUTE(SUBSTITUTE(kong_p2_var!$J$2,"&lt;kong_api_url&gt;",$Q89),"&lt;upstream_name&gt;",$F89),"&lt;port&gt;",$E89),"&lt;service_name&gt;",$G89)</f>
        <v>curl -X PUT http://172.20.148.160:8001/services/svc-v511-toms_api -H "Content-Type: application/json" -d '{"protocol":"http","host":"ups-v511-toms_api","port":31001}'</v>
      </c>
      <c r="T89" t="e">
        <f>SUBSTITUTE(SUBSTITUTE(SUBSTITUTE(SUBSTITUTE(SUBSTITUTE(kong_p2_var!$J$3,"&lt;kong_api_url&gt;",$Q89),"&lt;route_name&gt;",$H89),"&lt;service_name&gt;",$G89),"&lt;host&gt;",$O89),"&lt;path&gt;",$P89)</f>
        <v>#N/A</v>
      </c>
      <c r="U89" t="e">
        <f t="shared" si="7"/>
        <v>#N/A</v>
      </c>
      <c r="V89" t="e">
        <f t="shared" si="8"/>
        <v>#N/A</v>
      </c>
      <c r="W89" t="e">
        <f t="shared" si="9"/>
        <v>#N/A</v>
      </c>
      <c r="X89" t="e">
        <f t="shared" si="10"/>
        <v>#N/A</v>
      </c>
      <c r="Y89" t="e">
        <f t="shared" si="11"/>
        <v>#N/A</v>
      </c>
      <c r="Z89" t="e">
        <f t="shared" si="12"/>
        <v>#N/A</v>
      </c>
    </row>
    <row r="90" spans="1:26" hidden="1">
      <c r="A90">
        <f>IF(ISNUMBER(SEARCH("rest_api",svc!R89)),1,0)</f>
        <v>1</v>
      </c>
      <c r="C90" t="str">
        <f>svc!D89</f>
        <v>trust</v>
      </c>
      <c r="D90" t="str">
        <f>svc!$B89</f>
        <v>v511</v>
      </c>
      <c r="E90">
        <f>svc!G89</f>
        <v>31004</v>
      </c>
      <c r="F90" t="str">
        <f>CONCATENATE("ups-",svc!$B89,"-",svc!I89)</f>
        <v>ups-v511-toms_auth_api</v>
      </c>
      <c r="G90" t="str">
        <f>CONCATENATE("svc-",svc!$B89,"-",svc!I89)</f>
        <v>svc-v511-toms_auth_api</v>
      </c>
      <c r="H90" t="e">
        <f>CONCATENATE("route-",VLOOKUP($D90,kong_p2_var!$B$10:$D$16,2,FALSE),"-",svc!$B89,"-",svc!I89)</f>
        <v>#N/A</v>
      </c>
      <c r="I90" t="e">
        <f>CONCATENATE(VLOOKUP($D90,kong_p2_var!$B$20:$H$26,SUBSTITUTE(I$1,"target_","") + 1,FALSE),":",$E90)</f>
        <v>#N/A</v>
      </c>
      <c r="J90" t="e">
        <f>CONCATENATE(VLOOKUP($D90,kong_p2_var!$B$20:$H$26,SUBSTITUTE(J$1,"target_","") + 1,FALSE),":",$E90)</f>
        <v>#N/A</v>
      </c>
      <c r="K90" t="e">
        <f>CONCATENATE(VLOOKUP($D90,kong_p2_var!$B$20:$H$26,SUBSTITUTE(K$1,"target_","") + 1,FALSE),":",$E90)</f>
        <v>#N/A</v>
      </c>
      <c r="L90" t="e">
        <f>IF($C90="dmz","",CONCATENATE(VLOOKUP($D90,kong_p2_var!$B$20:$H$26,SUBSTITUTE(L$1,"target_","") + 1,FALSE),":",$E90))</f>
        <v>#N/A</v>
      </c>
      <c r="M90" t="e">
        <f>IF($C90="dmz","",CONCATENATE(VLOOKUP($D90,kong_p2_var!$B$20:$H$26,SUBSTITUTE(M$1,"target_","") + 1,FALSE),":",$E90))</f>
        <v>#N/A</v>
      </c>
      <c r="N90" t="e">
        <f>IF($C90="dmz","",CONCATENATE(VLOOKUP($D90,kong_p2_var!$B$20:$H$26,SUBSTITUTE(N$1,"target_","") + 1,FALSE),":",$E90))</f>
        <v>#N/A</v>
      </c>
      <c r="O90" t="e">
        <f>VLOOKUP($D90,kong_p2_var!$B$10:$D$16,3,FALSE)</f>
        <v>#N/A</v>
      </c>
      <c r="P90" t="str">
        <f>CONCATENATE("/",C90,MID(D90,2,15),"/",svc!$I89)</f>
        <v>/trust511/toms_auth_api</v>
      </c>
      <c r="Q90" t="str">
        <f>VLOOKUP(C90,kong_p2_var!$B$6:$C$7,2,FALSE)</f>
        <v>http://172.20.148.160:8001</v>
      </c>
      <c r="R90" t="str">
        <f>SUBSTITUTE(SUBSTITUTE(kong_p2_var!$J$1,"&lt;upstream_name&gt;",$F90),"&lt;kong_api_url&gt;",$Q90)</f>
        <v>curl -X PUT http://172.20.148.160:8001/upstreams/ups-v511-toms_auth_api</v>
      </c>
      <c r="S90" t="str">
        <f>SUBSTITUTE(SUBSTITUTE(SUBSTITUTE(SUBSTITUTE(kong_p2_var!$J$2,"&lt;kong_api_url&gt;",$Q90),"&lt;upstream_name&gt;",$F90),"&lt;port&gt;",$E90),"&lt;service_name&gt;",$G90)</f>
        <v>curl -X PUT http://172.20.148.160:8001/services/svc-v511-toms_auth_api -H "Content-Type: application/json" -d '{"protocol":"http","host":"ups-v511-toms_auth_api","port":31004}'</v>
      </c>
      <c r="T90" t="e">
        <f>SUBSTITUTE(SUBSTITUTE(SUBSTITUTE(SUBSTITUTE(SUBSTITUTE(kong_p2_var!$J$3,"&lt;kong_api_url&gt;",$Q90),"&lt;route_name&gt;",$H90),"&lt;service_name&gt;",$G90),"&lt;host&gt;",$O90),"&lt;path&gt;",$P90)</f>
        <v>#N/A</v>
      </c>
      <c r="U90" t="e">
        <f t="shared" si="7"/>
        <v>#N/A</v>
      </c>
      <c r="V90" t="e">
        <f t="shared" si="8"/>
        <v>#N/A</v>
      </c>
      <c r="W90" t="e">
        <f t="shared" si="9"/>
        <v>#N/A</v>
      </c>
      <c r="X90" t="e">
        <f t="shared" si="10"/>
        <v>#N/A</v>
      </c>
      <c r="Y90" t="e">
        <f t="shared" si="11"/>
        <v>#N/A</v>
      </c>
      <c r="Z90" t="e">
        <f t="shared" si="12"/>
        <v>#N/A</v>
      </c>
    </row>
    <row r="91" spans="1:26">
      <c r="A91">
        <f>IF(ISNUMBER(SEARCH("rest_api",svc!R90)),1,0)</f>
        <v>1</v>
      </c>
      <c r="C91" t="str">
        <f>svc!D90</f>
        <v>trust</v>
      </c>
      <c r="D91" t="str">
        <f>svc!$B90</f>
        <v>v510</v>
      </c>
      <c r="E91">
        <f>svc!G90</f>
        <v>31021</v>
      </c>
      <c r="F91" t="str">
        <f>CONCATENATE("ups-",svc!$B90,"-",svc!I90)</f>
        <v>ups-v510-tx_validation</v>
      </c>
      <c r="G91" t="str">
        <f>CONCATENATE("svc-",svc!$B90,"-",svc!I90)</f>
        <v>svc-v510-tx_validation</v>
      </c>
      <c r="H91" t="str">
        <f>CONCATENATE("route-",VLOOKUP($D91,kong_p2_var!$B$10:$D$16,2,FALSE),"-",svc!$B90,"-",svc!I90)</f>
        <v>route-v504-v510-tx_validation</v>
      </c>
      <c r="I91" t="str">
        <f>CONCATENATE(VLOOKUP($D91,kong_p2_var!$B$20:$H$26,SUBSTITUTE(I$1,"target_","") + 1,FALSE),":",$E91)</f>
        <v>172.20.148.131:31021</v>
      </c>
      <c r="J91" t="str">
        <f>CONCATENATE(VLOOKUP($D91,kong_p2_var!$B$20:$H$26,SUBSTITUTE(J$1,"target_","") + 1,FALSE),":",$E91)</f>
        <v>172.20.148.132:31021</v>
      </c>
      <c r="K91" t="str">
        <f>CONCATENATE(VLOOKUP($D91,kong_p2_var!$B$20:$H$26,SUBSTITUTE(K$1,"target_","") + 1,FALSE),":",$E91)</f>
        <v>172.20.148.133:31021</v>
      </c>
      <c r="L91" t="str">
        <f>IF($C91="dmz","",CONCATENATE(VLOOKUP($D91,kong_p2_var!$B$20:$H$26,SUBSTITUTE(L$1,"target_","") + 1,FALSE),":",$E91))</f>
        <v>172.20.148.134:31021</v>
      </c>
      <c r="M91" t="str">
        <f>IF($C91="dmz","",CONCATENATE(VLOOKUP($D91,kong_p2_var!$B$20:$H$26,SUBSTITUTE(M$1,"target_","") + 1,FALSE),":",$E91))</f>
        <v>172.20.148.135:31021</v>
      </c>
      <c r="N91" t="str">
        <f>IF($C91="dmz","",CONCATENATE(VLOOKUP($D91,kong_p2_var!$B$20:$H$26,SUBSTITUTE(N$1,"target_","") + 1,FALSE),":",$E91))</f>
        <v>172.20.148.136:31021</v>
      </c>
      <c r="O91" t="str">
        <f>VLOOKUP($D91,kong_p2_var!$B$10:$D$16,3,FALSE)</f>
        <v>172.20.149.183</v>
      </c>
      <c r="P91" t="str">
        <f>CONCATENATE("/",C91,MID(D91,2,15),"/",svc!$I90)</f>
        <v>/trust510/tx_validation</v>
      </c>
      <c r="Q91" t="str">
        <f>VLOOKUP(C91,kong_p2_var!$B$6:$C$7,2,FALSE)</f>
        <v>http://172.20.148.160:8001</v>
      </c>
      <c r="R91" t="str">
        <f>SUBSTITUTE(SUBSTITUTE(kong_p2_var!$J$1,"&lt;upstream_name&gt;",$F91),"&lt;kong_api_url&gt;",$Q91)</f>
        <v>curl -X PUT http://172.20.148.160:8001/upstreams/ups-v510-tx_validation</v>
      </c>
      <c r="S91" t="str">
        <f>SUBSTITUTE(SUBSTITUTE(SUBSTITUTE(SUBSTITUTE(kong_p2_var!$J$2,"&lt;kong_api_url&gt;",$Q91),"&lt;upstream_name&gt;",$F91),"&lt;port&gt;",$E91),"&lt;service_name&gt;",$G91)</f>
        <v>curl -X PUT http://172.20.148.160:8001/services/svc-v510-tx_validation -H "Content-Type: application/json" -d '{"protocol":"http","host":"ups-v510-tx_validation","port":31021}'</v>
      </c>
      <c r="T91" t="str">
        <f>SUBSTITUTE(SUBSTITUTE(SUBSTITUTE(SUBSTITUTE(SUBSTITUTE(kong_p2_var!$J$3,"&lt;kong_api_url&gt;",$Q91),"&lt;route_name&gt;",$H91),"&lt;service_name&gt;",$G91),"&lt;host&gt;",$O91),"&lt;path&gt;",$P91)</f>
        <v>curl -X PUT http://172.20.148.160:8001/services/svc-v510-tx_validation/routes/route-v504-v510-tx_validation -H "Content-Type: application/json" -d '{"protocols":["http"],"hosts":["172.20.149.183"],"paths":["/trust510/tx_validation"]}'</v>
      </c>
      <c r="U91" t="str">
        <f t="shared" si="7"/>
        <v>curl -X POST http://172.20.148.160:8001/upstreams/ups-v510-tx_validation/targets -d 'target=172.20.148.131:31021'</v>
      </c>
      <c r="V91" t="str">
        <f t="shared" si="8"/>
        <v>curl -X POST http://172.20.148.160:8001/upstreams/ups-v510-tx_validation/targets -d 'target=172.20.148.132:31021'</v>
      </c>
      <c r="W91" t="str">
        <f t="shared" si="9"/>
        <v>curl -X POST http://172.20.148.160:8001/upstreams/ups-v510-tx_validation/targets -d 'target=172.20.148.133:31021'</v>
      </c>
      <c r="X91" t="str">
        <f t="shared" si="10"/>
        <v>curl -X POST http://172.20.148.160:8001/upstreams/ups-v510-tx_validation/targets -d 'target=172.20.148.134:31021'</v>
      </c>
      <c r="Y91" t="str">
        <f t="shared" si="11"/>
        <v>curl -X POST http://172.20.148.160:8001/upstreams/ups-v510-tx_validation/targets -d 'target=172.20.148.135:31021'</v>
      </c>
      <c r="Z91" t="str">
        <f t="shared" si="12"/>
        <v>curl -X POST http://172.20.148.160:8001/upstreams/ups-v510-tx_validation/targets -d 'target=172.20.148.136:31021'</v>
      </c>
    </row>
    <row r="92" spans="1:26">
      <c r="A92">
        <f>IF(ISNUMBER(SEARCH("rest_api",svc!R91)),1,0)</f>
        <v>1</v>
      </c>
      <c r="C92" t="str">
        <f>svc!D91</f>
        <v>trust</v>
      </c>
      <c r="D92" t="str">
        <f>svc!$B91</f>
        <v>v510</v>
      </c>
      <c r="E92">
        <f>svc!G91</f>
        <v>31216</v>
      </c>
      <c r="F92" t="str">
        <f>CONCATENATE("ups-",svc!$B91,"-",svc!I91)</f>
        <v>ups-v510-validv_api</v>
      </c>
      <c r="G92" t="str">
        <f>CONCATENATE("svc-",svc!$B91,"-",svc!I91)</f>
        <v>svc-v510-validv_api</v>
      </c>
      <c r="H92" t="str">
        <f>CONCATENATE("route-",VLOOKUP($D92,kong_p2_var!$B$10:$D$16,2,FALSE),"-",svc!$B91,"-",svc!I91)</f>
        <v>route-v504-v510-validv_api</v>
      </c>
      <c r="I92" t="str">
        <f>CONCATENATE(VLOOKUP($D92,kong_p2_var!$B$20:$H$26,SUBSTITUTE(I$1,"target_","") + 1,FALSE),":",$E92)</f>
        <v>172.20.148.131:31216</v>
      </c>
      <c r="J92" t="str">
        <f>CONCATENATE(VLOOKUP($D92,kong_p2_var!$B$20:$H$26,SUBSTITUTE(J$1,"target_","") + 1,FALSE),":",$E92)</f>
        <v>172.20.148.132:31216</v>
      </c>
      <c r="K92" t="str">
        <f>CONCATENATE(VLOOKUP($D92,kong_p2_var!$B$20:$H$26,SUBSTITUTE(K$1,"target_","") + 1,FALSE),":",$E92)</f>
        <v>172.20.148.133:31216</v>
      </c>
      <c r="L92" t="str">
        <f>IF($C92="dmz","",CONCATENATE(VLOOKUP($D92,kong_p2_var!$B$20:$H$26,SUBSTITUTE(L$1,"target_","") + 1,FALSE),":",$E92))</f>
        <v>172.20.148.134:31216</v>
      </c>
      <c r="M92" t="str">
        <f>IF($C92="dmz","",CONCATENATE(VLOOKUP($D92,kong_p2_var!$B$20:$H$26,SUBSTITUTE(M$1,"target_","") + 1,FALSE),":",$E92))</f>
        <v>172.20.148.135:31216</v>
      </c>
      <c r="N92" t="str">
        <f>IF($C92="dmz","",CONCATENATE(VLOOKUP($D92,kong_p2_var!$B$20:$H$26,SUBSTITUTE(N$1,"target_","") + 1,FALSE),":",$E92))</f>
        <v>172.20.148.136:31216</v>
      </c>
      <c r="O92" t="str">
        <f>VLOOKUP($D92,kong_p2_var!$B$10:$D$16,3,FALSE)</f>
        <v>172.20.149.183</v>
      </c>
      <c r="P92" t="str">
        <f>CONCATENATE("/",C92,MID(D92,2,15),"/",svc!$I91)</f>
        <v>/trust510/validv_api</v>
      </c>
      <c r="Q92" t="str">
        <f>VLOOKUP(C92,kong_p2_var!$B$6:$C$7,2,FALSE)</f>
        <v>http://172.20.148.160:8001</v>
      </c>
      <c r="R92" t="str">
        <f>SUBSTITUTE(SUBSTITUTE(kong_p2_var!$J$1,"&lt;upstream_name&gt;",$F92),"&lt;kong_api_url&gt;",$Q92)</f>
        <v>curl -X PUT http://172.20.148.160:8001/upstreams/ups-v510-validv_api</v>
      </c>
      <c r="S92" t="str">
        <f>SUBSTITUTE(SUBSTITUTE(SUBSTITUTE(SUBSTITUTE(kong_p2_var!$J$2,"&lt;kong_api_url&gt;",$Q92),"&lt;upstream_name&gt;",$F92),"&lt;port&gt;",$E92),"&lt;service_name&gt;",$G92)</f>
        <v>curl -X PUT http://172.20.148.160:8001/services/svc-v510-validv_api -H "Content-Type: application/json" -d '{"protocol":"http","host":"ups-v510-validv_api","port":31216}'</v>
      </c>
      <c r="T92" t="str">
        <f>SUBSTITUTE(SUBSTITUTE(SUBSTITUTE(SUBSTITUTE(SUBSTITUTE(kong_p2_var!$J$3,"&lt;kong_api_url&gt;",$Q92),"&lt;route_name&gt;",$H92),"&lt;service_name&gt;",$G92),"&lt;host&gt;",$O92),"&lt;path&gt;",$P92)</f>
        <v>curl -X PUT http://172.20.148.160:8001/services/svc-v510-validv_api/routes/route-v504-v510-validv_api -H "Content-Type: application/json" -d '{"protocols":["http"],"hosts":["172.20.149.183"],"paths":["/trust510/validv_api"]}'</v>
      </c>
      <c r="U92" t="str">
        <f t="shared" si="7"/>
        <v>curl -X POST http://172.20.148.160:8001/upstreams/ups-v510-validv_api/targets -d 'target=172.20.148.131:31216'</v>
      </c>
      <c r="V92" t="str">
        <f t="shared" si="8"/>
        <v>curl -X POST http://172.20.148.160:8001/upstreams/ups-v510-validv_api/targets -d 'target=172.20.148.132:31216'</v>
      </c>
      <c r="W92" t="str">
        <f t="shared" si="9"/>
        <v>curl -X POST http://172.20.148.160:8001/upstreams/ups-v510-validv_api/targets -d 'target=172.20.148.133:31216'</v>
      </c>
      <c r="X92" t="str">
        <f t="shared" si="10"/>
        <v>curl -X POST http://172.20.148.160:8001/upstreams/ups-v510-validv_api/targets -d 'target=172.20.148.134:31216'</v>
      </c>
      <c r="Y92" t="str">
        <f t="shared" si="11"/>
        <v>curl -X POST http://172.20.148.160:8001/upstreams/ups-v510-validv_api/targets -d 'target=172.20.148.135:31216'</v>
      </c>
      <c r="Z92" t="str">
        <f t="shared" si="12"/>
        <v>curl -X POST http://172.20.148.160:8001/upstreams/ups-v510-validv_api/targets -d 'target=172.20.148.136:31216'</v>
      </c>
    </row>
    <row r="93" spans="1:26">
      <c r="A93">
        <f>IF(ISNUMBER(SEARCH("rest_api",svc!R92)),1,0)</f>
        <v>1</v>
      </c>
      <c r="C93" t="str">
        <f>svc!D92</f>
        <v>trust</v>
      </c>
      <c r="D93" t="str">
        <f>svc!$B92</f>
        <v>v510</v>
      </c>
      <c r="E93">
        <f>svc!G92</f>
        <v>31023</v>
      </c>
      <c r="F93" t="str">
        <f>CONCATENATE("ups-",svc!$B92,"-",svc!I92)</f>
        <v>ups-v510-vrm_verification</v>
      </c>
      <c r="G93" t="str">
        <f>CONCATENATE("svc-",svc!$B92,"-",svc!I92)</f>
        <v>svc-v510-vrm_verification</v>
      </c>
      <c r="H93" t="str">
        <f>CONCATENATE("route-",VLOOKUP($D93,kong_p2_var!$B$10:$D$16,2,FALSE),"-",svc!$B92,"-",svc!I92)</f>
        <v>route-v504-v510-vrm_verification</v>
      </c>
      <c r="I93" t="str">
        <f>CONCATENATE(VLOOKUP($D93,kong_p2_var!$B$20:$H$26,SUBSTITUTE(I$1,"target_","") + 1,FALSE),":",$E93)</f>
        <v>172.20.148.131:31023</v>
      </c>
      <c r="J93" t="str">
        <f>CONCATENATE(VLOOKUP($D93,kong_p2_var!$B$20:$H$26,SUBSTITUTE(J$1,"target_","") + 1,FALSE),":",$E93)</f>
        <v>172.20.148.132:31023</v>
      </c>
      <c r="K93" t="str">
        <f>CONCATENATE(VLOOKUP($D93,kong_p2_var!$B$20:$H$26,SUBSTITUTE(K$1,"target_","") + 1,FALSE),":",$E93)</f>
        <v>172.20.148.133:31023</v>
      </c>
      <c r="L93" t="str">
        <f>IF($C93="dmz","",CONCATENATE(VLOOKUP($D93,kong_p2_var!$B$20:$H$26,SUBSTITUTE(L$1,"target_","") + 1,FALSE),":",$E93))</f>
        <v>172.20.148.134:31023</v>
      </c>
      <c r="M93" t="str">
        <f>IF($C93="dmz","",CONCATENATE(VLOOKUP($D93,kong_p2_var!$B$20:$H$26,SUBSTITUTE(M$1,"target_","") + 1,FALSE),":",$E93))</f>
        <v>172.20.148.135:31023</v>
      </c>
      <c r="N93" t="str">
        <f>IF($C93="dmz","",CONCATENATE(VLOOKUP($D93,kong_p2_var!$B$20:$H$26,SUBSTITUTE(N$1,"target_","") + 1,FALSE),":",$E93))</f>
        <v>172.20.148.136:31023</v>
      </c>
      <c r="O93" t="str">
        <f>VLOOKUP($D93,kong_p2_var!$B$10:$D$16,3,FALSE)</f>
        <v>172.20.149.183</v>
      </c>
      <c r="P93" t="str">
        <f>CONCATENATE("/",C93,MID(D93,2,15),"/",svc!$I92)</f>
        <v>/trust510/vrm_verification</v>
      </c>
      <c r="Q93" t="str">
        <f>VLOOKUP(C93,kong_p2_var!$B$6:$C$7,2,FALSE)</f>
        <v>http://172.20.148.160:8001</v>
      </c>
      <c r="R93" t="str">
        <f>SUBSTITUTE(SUBSTITUTE(kong_p2_var!$J$1,"&lt;upstream_name&gt;",$F93),"&lt;kong_api_url&gt;",$Q93)</f>
        <v>curl -X PUT http://172.20.148.160:8001/upstreams/ups-v510-vrm_verification</v>
      </c>
      <c r="S93" t="str">
        <f>SUBSTITUTE(SUBSTITUTE(SUBSTITUTE(SUBSTITUTE(kong_p2_var!$J$2,"&lt;kong_api_url&gt;",$Q93),"&lt;upstream_name&gt;",$F93),"&lt;port&gt;",$E93),"&lt;service_name&gt;",$G93)</f>
        <v>curl -X PUT http://172.20.148.160:8001/services/svc-v510-vrm_verification -H "Content-Type: application/json" -d '{"protocol":"http","host":"ups-v510-vrm_verification","port":31023}'</v>
      </c>
      <c r="T93" t="str">
        <f>SUBSTITUTE(SUBSTITUTE(SUBSTITUTE(SUBSTITUTE(SUBSTITUTE(kong_p2_var!$J$3,"&lt;kong_api_url&gt;",$Q93),"&lt;route_name&gt;",$H93),"&lt;service_name&gt;",$G93),"&lt;host&gt;",$O93),"&lt;path&gt;",$P93)</f>
        <v>curl -X PUT http://172.20.148.160:8001/services/svc-v510-vrm_verification/routes/route-v504-v510-vrm_verification -H "Content-Type: application/json" -d '{"protocols":["http"],"hosts":["172.20.149.183"],"paths":["/trust510/vrm_verification"]}'</v>
      </c>
      <c r="U93" t="str">
        <f t="shared" si="7"/>
        <v>curl -X POST http://172.20.148.160:8001/upstreams/ups-v510-vrm_verification/targets -d 'target=172.20.148.131:31023'</v>
      </c>
      <c r="V93" t="str">
        <f t="shared" si="8"/>
        <v>curl -X POST http://172.20.148.160:8001/upstreams/ups-v510-vrm_verification/targets -d 'target=172.20.148.132:31023'</v>
      </c>
      <c r="W93" t="str">
        <f t="shared" si="9"/>
        <v>curl -X POST http://172.20.148.160:8001/upstreams/ups-v510-vrm_verification/targets -d 'target=172.20.148.133:31023'</v>
      </c>
      <c r="X93" t="str">
        <f t="shared" si="10"/>
        <v>curl -X POST http://172.20.148.160:8001/upstreams/ups-v510-vrm_verification/targets -d 'target=172.20.148.134:31023'</v>
      </c>
      <c r="Y93" t="str">
        <f t="shared" si="11"/>
        <v>curl -X POST http://172.20.148.160:8001/upstreams/ups-v510-vrm_verification/targets -d 'target=172.20.148.135:31023'</v>
      </c>
      <c r="Z93" t="str">
        <f t="shared" si="12"/>
        <v>curl -X POST http://172.20.148.160:8001/upstreams/ups-v510-vrm_verification/targets -d 'target=172.20.148.136:31023'</v>
      </c>
    </row>
    <row r="94" spans="1:26">
      <c r="A94">
        <f>IF(ISNUMBER(SEARCH("rest_api",svc!R93)),1,0)</f>
        <v>1</v>
      </c>
      <c r="C94" t="str">
        <f>svc!D93</f>
        <v>trust</v>
      </c>
      <c r="D94" t="str">
        <f>svc!$B93</f>
        <v>v510</v>
      </c>
      <c r="E94">
        <f>svc!G93</f>
        <v>31020</v>
      </c>
      <c r="F94" t="str">
        <f>CONCATENATE("ups-",svc!$B93,"-",svc!I93)</f>
        <v>ups-v510-tag_validation</v>
      </c>
      <c r="G94" t="str">
        <f>CONCATENATE("svc-",svc!$B93,"-",svc!I93)</f>
        <v>svc-v510-tag_validation</v>
      </c>
      <c r="H94" t="str">
        <f>CONCATENATE("route-",VLOOKUP($D94,kong_p2_var!$B$10:$D$16,2,FALSE),"-",svc!$B93,"-",svc!I93)</f>
        <v>route-v504-v510-tag_validation</v>
      </c>
      <c r="I94" t="str">
        <f>CONCATENATE(VLOOKUP($D94,kong_p2_var!$B$20:$H$26,SUBSTITUTE(I$1,"target_","") + 1,FALSE),":",$E94)</f>
        <v>172.20.148.131:31020</v>
      </c>
      <c r="J94" t="str">
        <f>CONCATENATE(VLOOKUP($D94,kong_p2_var!$B$20:$H$26,SUBSTITUTE(J$1,"target_","") + 1,FALSE),":",$E94)</f>
        <v>172.20.148.132:31020</v>
      </c>
      <c r="K94" t="str">
        <f>CONCATENATE(VLOOKUP($D94,kong_p2_var!$B$20:$H$26,SUBSTITUTE(K$1,"target_","") + 1,FALSE),":",$E94)</f>
        <v>172.20.148.133:31020</v>
      </c>
      <c r="L94" t="str">
        <f>IF($C94="dmz","",CONCATENATE(VLOOKUP($D94,kong_p2_var!$B$20:$H$26,SUBSTITUTE(L$1,"target_","") + 1,FALSE),":",$E94))</f>
        <v>172.20.148.134:31020</v>
      </c>
      <c r="M94" t="str">
        <f>IF($C94="dmz","",CONCATENATE(VLOOKUP($D94,kong_p2_var!$B$20:$H$26,SUBSTITUTE(M$1,"target_","") + 1,FALSE),":",$E94))</f>
        <v>172.20.148.135:31020</v>
      </c>
      <c r="N94" t="str">
        <f>IF($C94="dmz","",CONCATENATE(VLOOKUP($D94,kong_p2_var!$B$20:$H$26,SUBSTITUTE(N$1,"target_","") + 1,FALSE),":",$E94))</f>
        <v>172.20.148.136:31020</v>
      </c>
      <c r="O94" t="str">
        <f>VLOOKUP($D94,kong_p2_var!$B$10:$D$16,3,FALSE)</f>
        <v>172.20.149.183</v>
      </c>
      <c r="P94" t="str">
        <f>CONCATENATE("/",C94,MID(D94,2,15),"/",svc!$I93)</f>
        <v>/trust510/tag_validation</v>
      </c>
      <c r="Q94" t="str">
        <f>VLOOKUP(C94,kong_p2_var!$B$6:$C$7,2,FALSE)</f>
        <v>http://172.20.148.160:8001</v>
      </c>
      <c r="R94" t="str">
        <f>SUBSTITUTE(SUBSTITUTE(kong_p2_var!$J$1,"&lt;upstream_name&gt;",$F94),"&lt;kong_api_url&gt;",$Q94)</f>
        <v>curl -X PUT http://172.20.148.160:8001/upstreams/ups-v510-tag_validation</v>
      </c>
      <c r="S94" t="str">
        <f>SUBSTITUTE(SUBSTITUTE(SUBSTITUTE(SUBSTITUTE(kong_p2_var!$J$2,"&lt;kong_api_url&gt;",$Q94),"&lt;upstream_name&gt;",$F94),"&lt;port&gt;",$E94),"&lt;service_name&gt;",$G94)</f>
        <v>curl -X PUT http://172.20.148.160:8001/services/svc-v510-tag_validation -H "Content-Type: application/json" -d '{"protocol":"http","host":"ups-v510-tag_validation","port":31020}'</v>
      </c>
      <c r="T94" t="str">
        <f>SUBSTITUTE(SUBSTITUTE(SUBSTITUTE(SUBSTITUTE(SUBSTITUTE(kong_p2_var!$J$3,"&lt;kong_api_url&gt;",$Q94),"&lt;route_name&gt;",$H94),"&lt;service_name&gt;",$G94),"&lt;host&gt;",$O94),"&lt;path&gt;",$P94)</f>
        <v>curl -X PUT http://172.20.148.160:8001/services/svc-v510-tag_validation/routes/route-v504-v510-tag_validation -H "Content-Type: application/json" -d '{"protocols":["http"],"hosts":["172.20.149.183"],"paths":["/trust510/tag_validation"]}'</v>
      </c>
      <c r="U94" t="str">
        <f t="shared" si="7"/>
        <v>curl -X POST http://172.20.148.160:8001/upstreams/ups-v510-tag_validation/targets -d 'target=172.20.148.131:31020'</v>
      </c>
      <c r="V94" t="str">
        <f t="shared" si="8"/>
        <v>curl -X POST http://172.20.148.160:8001/upstreams/ups-v510-tag_validation/targets -d 'target=172.20.148.132:31020'</v>
      </c>
      <c r="W94" t="str">
        <f t="shared" si="9"/>
        <v>curl -X POST http://172.20.148.160:8001/upstreams/ups-v510-tag_validation/targets -d 'target=172.20.148.133:31020'</v>
      </c>
      <c r="X94" t="str">
        <f t="shared" si="10"/>
        <v>curl -X POST http://172.20.148.160:8001/upstreams/ups-v510-tag_validation/targets -d 'target=172.20.148.134:31020'</v>
      </c>
      <c r="Y94" t="str">
        <f t="shared" si="11"/>
        <v>curl -X POST http://172.20.148.160:8001/upstreams/ups-v510-tag_validation/targets -d 'target=172.20.148.135:31020'</v>
      </c>
      <c r="Z94" t="str">
        <f t="shared" si="12"/>
        <v>curl -X POST http://172.20.148.160:8001/upstreams/ups-v510-tag_validation/targets -d 'target=172.20.148.136:31020'</v>
      </c>
    </row>
    <row r="95" spans="1:26">
      <c r="A95">
        <f>IF(ISNUMBER(SEARCH("rest_api",svc!R94)),1,0)</f>
        <v>1</v>
      </c>
      <c r="C95" t="str">
        <f>svc!D94</f>
        <v>trust</v>
      </c>
      <c r="D95" t="str">
        <f>svc!$B94</f>
        <v>v510</v>
      </c>
      <c r="E95">
        <f>svc!G94</f>
        <v>31022</v>
      </c>
      <c r="F95" t="str">
        <f>CONCATENATE("ups-",svc!$B94,"-",svc!I94)</f>
        <v>ups-v510-posted_tx_validation</v>
      </c>
      <c r="G95" t="str">
        <f>CONCATENATE("svc-",svc!$B94,"-",svc!I94)</f>
        <v>svc-v510-posted_tx_validation</v>
      </c>
      <c r="H95" t="str">
        <f>CONCATENATE("route-",VLOOKUP($D95,kong_p2_var!$B$10:$D$16,2,FALSE),"-",svc!$B94,"-",svc!I94)</f>
        <v>route-v504-v510-posted_tx_validation</v>
      </c>
      <c r="I95" t="str">
        <f>CONCATENATE(VLOOKUP($D95,kong_p2_var!$B$20:$H$26,SUBSTITUTE(I$1,"target_","") + 1,FALSE),":",$E95)</f>
        <v>172.20.148.131:31022</v>
      </c>
      <c r="J95" t="str">
        <f>CONCATENATE(VLOOKUP($D95,kong_p2_var!$B$20:$H$26,SUBSTITUTE(J$1,"target_","") + 1,FALSE),":",$E95)</f>
        <v>172.20.148.132:31022</v>
      </c>
      <c r="K95" t="str">
        <f>CONCATENATE(VLOOKUP($D95,kong_p2_var!$B$20:$H$26,SUBSTITUTE(K$1,"target_","") + 1,FALSE),":",$E95)</f>
        <v>172.20.148.133:31022</v>
      </c>
      <c r="L95" t="str">
        <f>IF($C95="dmz","",CONCATENATE(VLOOKUP($D95,kong_p2_var!$B$20:$H$26,SUBSTITUTE(L$1,"target_","") + 1,FALSE),":",$E95))</f>
        <v>172.20.148.134:31022</v>
      </c>
      <c r="M95" t="str">
        <f>IF($C95="dmz","",CONCATENATE(VLOOKUP($D95,kong_p2_var!$B$20:$H$26,SUBSTITUTE(M$1,"target_","") + 1,FALSE),":",$E95))</f>
        <v>172.20.148.135:31022</v>
      </c>
      <c r="N95" t="str">
        <f>IF($C95="dmz","",CONCATENATE(VLOOKUP($D95,kong_p2_var!$B$20:$H$26,SUBSTITUTE(N$1,"target_","") + 1,FALSE),":",$E95))</f>
        <v>172.20.148.136:31022</v>
      </c>
      <c r="O95" t="str">
        <f>VLOOKUP($D95,kong_p2_var!$B$10:$D$16,3,FALSE)</f>
        <v>172.20.149.183</v>
      </c>
      <c r="P95" t="str">
        <f>CONCATENATE("/",C95,MID(D95,2,15),"/",svc!$I94)</f>
        <v>/trust510/posted_tx_validation</v>
      </c>
      <c r="Q95" t="str">
        <f>VLOOKUP(C95,kong_p2_var!$B$6:$C$7,2,FALSE)</f>
        <v>http://172.20.148.160:8001</v>
      </c>
      <c r="R95" t="str">
        <f>SUBSTITUTE(SUBSTITUTE(kong_p2_var!$J$1,"&lt;upstream_name&gt;",$F95),"&lt;kong_api_url&gt;",$Q95)</f>
        <v>curl -X PUT http://172.20.148.160:8001/upstreams/ups-v510-posted_tx_validation</v>
      </c>
      <c r="S95" t="str">
        <f>SUBSTITUTE(SUBSTITUTE(SUBSTITUTE(SUBSTITUTE(kong_p2_var!$J$2,"&lt;kong_api_url&gt;",$Q95),"&lt;upstream_name&gt;",$F95),"&lt;port&gt;",$E95),"&lt;service_name&gt;",$G95)</f>
        <v>curl -X PUT http://172.20.148.160:8001/services/svc-v510-posted_tx_validation -H "Content-Type: application/json" -d '{"protocol":"http","host":"ups-v510-posted_tx_validation","port":31022}'</v>
      </c>
      <c r="T95" t="str">
        <f>SUBSTITUTE(SUBSTITUTE(SUBSTITUTE(SUBSTITUTE(SUBSTITUTE(kong_p2_var!$J$3,"&lt;kong_api_url&gt;",$Q95),"&lt;route_name&gt;",$H95),"&lt;service_name&gt;",$G95),"&lt;host&gt;",$O95),"&lt;path&gt;",$P95)</f>
        <v>curl -X PUT http://172.20.148.160:8001/services/svc-v510-posted_tx_validation/routes/route-v504-v510-posted_tx_validation -H "Content-Type: application/json" -d '{"protocols":["http"],"hosts":["172.20.149.183"],"paths":["/trust510/posted_tx_validation"]}'</v>
      </c>
      <c r="U95" t="str">
        <f t="shared" si="7"/>
        <v>curl -X POST http://172.20.148.160:8001/upstreams/ups-v510-posted_tx_validation/targets -d 'target=172.20.148.131:31022'</v>
      </c>
      <c r="V95" t="str">
        <f t="shared" si="8"/>
        <v>curl -X POST http://172.20.148.160:8001/upstreams/ups-v510-posted_tx_validation/targets -d 'target=172.20.148.132:31022'</v>
      </c>
      <c r="W95" t="str">
        <f t="shared" si="9"/>
        <v>curl -X POST http://172.20.148.160:8001/upstreams/ups-v510-posted_tx_validation/targets -d 'target=172.20.148.133:31022'</v>
      </c>
      <c r="X95" t="str">
        <f t="shared" si="10"/>
        <v>curl -X POST http://172.20.148.160:8001/upstreams/ups-v510-posted_tx_validation/targets -d 'target=172.20.148.134:31022'</v>
      </c>
      <c r="Y95" t="str">
        <f t="shared" si="11"/>
        <v>curl -X POST http://172.20.148.160:8001/upstreams/ups-v510-posted_tx_validation/targets -d 'target=172.20.148.135:31022'</v>
      </c>
      <c r="Z95" t="str">
        <f t="shared" si="12"/>
        <v>curl -X POST http://172.20.148.160:8001/upstreams/ups-v510-posted_tx_validation/targets -d 'target=172.20.148.136:31022'</v>
      </c>
    </row>
    <row r="96" spans="1:26">
      <c r="A96">
        <f>IF(ISNUMBER(SEARCH("rest_api",svc!R95)),1,0)</f>
        <v>1</v>
      </c>
      <c r="C96" t="str">
        <f>svc!D95</f>
        <v>trust</v>
      </c>
      <c r="D96" t="str">
        <f>svc!$B95</f>
        <v>v510</v>
      </c>
      <c r="E96">
        <f>svc!G95</f>
        <v>31220</v>
      </c>
      <c r="F96" t="str">
        <f>CONCATENATE("ups-",svc!$B95,"-",svc!I95)</f>
        <v>ups-v510-s3_api</v>
      </c>
      <c r="G96" t="str">
        <f>CONCATENATE("svc-",svc!$B95,"-",svc!I95)</f>
        <v>svc-v510-s3_api</v>
      </c>
      <c r="H96" t="str">
        <f>CONCATENATE("route-",VLOOKUP($D96,kong_p2_var!$B$10:$D$16,2,FALSE),"-",svc!$B95,"-",svc!I95)</f>
        <v>route-v504-v510-s3_api</v>
      </c>
      <c r="I96" t="str">
        <f>CONCATENATE(VLOOKUP($D96,kong_p2_var!$B$20:$H$26,SUBSTITUTE(I$1,"target_","") + 1,FALSE),":",$E96)</f>
        <v>172.20.148.131:31220</v>
      </c>
      <c r="J96" t="str">
        <f>CONCATENATE(VLOOKUP($D96,kong_p2_var!$B$20:$H$26,SUBSTITUTE(J$1,"target_","") + 1,FALSE),":",$E96)</f>
        <v>172.20.148.132:31220</v>
      </c>
      <c r="K96" t="str">
        <f>CONCATENATE(VLOOKUP($D96,kong_p2_var!$B$20:$H$26,SUBSTITUTE(K$1,"target_","") + 1,FALSE),":",$E96)</f>
        <v>172.20.148.133:31220</v>
      </c>
      <c r="L96" t="str">
        <f>IF($C96="dmz","",CONCATENATE(VLOOKUP($D96,kong_p2_var!$B$20:$H$26,SUBSTITUTE(L$1,"target_","") + 1,FALSE),":",$E96))</f>
        <v>172.20.148.134:31220</v>
      </c>
      <c r="M96" t="str">
        <f>IF($C96="dmz","",CONCATENATE(VLOOKUP($D96,kong_p2_var!$B$20:$H$26,SUBSTITUTE(M$1,"target_","") + 1,FALSE),":",$E96))</f>
        <v>172.20.148.135:31220</v>
      </c>
      <c r="N96" t="str">
        <f>IF($C96="dmz","",CONCATENATE(VLOOKUP($D96,kong_p2_var!$B$20:$H$26,SUBSTITUTE(N$1,"target_","") + 1,FALSE),":",$E96))</f>
        <v>172.20.148.136:31220</v>
      </c>
      <c r="O96" t="str">
        <f>VLOOKUP($D96,kong_p2_var!$B$10:$D$16,3,FALSE)</f>
        <v>172.20.149.183</v>
      </c>
      <c r="P96" t="str">
        <f>CONCATENATE("/",C96,MID(D96,2,15),"/",svc!$I95)</f>
        <v>/trust510/s3_api</v>
      </c>
      <c r="Q96" t="str">
        <f>VLOOKUP(C96,kong_p2_var!$B$6:$C$7,2,FALSE)</f>
        <v>http://172.20.148.160:8001</v>
      </c>
      <c r="R96" t="str">
        <f>SUBSTITUTE(SUBSTITUTE(kong_p2_var!$J$1,"&lt;upstream_name&gt;",$F96),"&lt;kong_api_url&gt;",$Q96)</f>
        <v>curl -X PUT http://172.20.148.160:8001/upstreams/ups-v510-s3_api</v>
      </c>
      <c r="S96" t="str">
        <f>SUBSTITUTE(SUBSTITUTE(SUBSTITUTE(SUBSTITUTE(kong_p2_var!$J$2,"&lt;kong_api_url&gt;",$Q96),"&lt;upstream_name&gt;",$F96),"&lt;port&gt;",$E96),"&lt;service_name&gt;",$G96)</f>
        <v>curl -X PUT http://172.20.148.160:8001/services/svc-v510-s3_api -H "Content-Type: application/json" -d '{"protocol":"http","host":"ups-v510-s3_api","port":31220}'</v>
      </c>
      <c r="T96" t="str">
        <f>SUBSTITUTE(SUBSTITUTE(SUBSTITUTE(SUBSTITUTE(SUBSTITUTE(kong_p2_var!$J$3,"&lt;kong_api_url&gt;",$Q96),"&lt;route_name&gt;",$H96),"&lt;service_name&gt;",$G96),"&lt;host&gt;",$O96),"&lt;path&gt;",$P96)</f>
        <v>curl -X PUT http://172.20.148.160:8001/services/svc-v510-s3_api/routes/route-v504-v510-s3_api -H "Content-Type: application/json" -d '{"protocols":["http"],"hosts":["172.20.149.183"],"paths":["/trust510/s3_api"]}'</v>
      </c>
      <c r="U96" t="str">
        <f t="shared" si="7"/>
        <v>curl -X POST http://172.20.148.160:8001/upstreams/ups-v510-s3_api/targets -d 'target=172.20.148.131:31220'</v>
      </c>
      <c r="V96" t="str">
        <f t="shared" si="8"/>
        <v>curl -X POST http://172.20.148.160:8001/upstreams/ups-v510-s3_api/targets -d 'target=172.20.148.132:31220'</v>
      </c>
      <c r="W96" t="str">
        <f t="shared" si="9"/>
        <v>curl -X POST http://172.20.148.160:8001/upstreams/ups-v510-s3_api/targets -d 'target=172.20.148.133:31220'</v>
      </c>
      <c r="X96" t="str">
        <f t="shared" si="10"/>
        <v>curl -X POST http://172.20.148.160:8001/upstreams/ups-v510-s3_api/targets -d 'target=172.20.148.134:31220'</v>
      </c>
      <c r="Y96" t="str">
        <f t="shared" si="11"/>
        <v>curl -X POST http://172.20.148.160:8001/upstreams/ups-v510-s3_api/targets -d 'target=172.20.148.135:31220'</v>
      </c>
      <c r="Z96" t="str">
        <f t="shared" si="12"/>
        <v>curl -X POST http://172.20.148.160:8001/upstreams/ups-v510-s3_api/targets -d 'target=172.20.148.136:31220'</v>
      </c>
    </row>
    <row r="97" spans="1:26">
      <c r="A97">
        <f>IF(ISNUMBER(SEARCH("rest_api",svc!R96)),1,0)</f>
        <v>1</v>
      </c>
      <c r="C97" t="str">
        <f>svc!D96</f>
        <v>dmz</v>
      </c>
      <c r="D97" t="str">
        <f>svc!$B96</f>
        <v>v504</v>
      </c>
      <c r="E97">
        <f>svc!G96</f>
        <v>31050</v>
      </c>
      <c r="F97" t="str">
        <f>CONCATENATE("ups-",svc!$B96,"-",svc!I96)</f>
        <v>ups-v504-bes_wmm2</v>
      </c>
      <c r="G97" t="str">
        <f>CONCATENATE("svc-",svc!$B96,"-",svc!I96)</f>
        <v>svc-v504-bes_wmm2</v>
      </c>
      <c r="H97" t="str">
        <f>CONCATENATE("route-",VLOOKUP($D97,kong_p2_var!$B$10:$D$16,2,FALSE),"-",svc!$B96,"-",svc!I96)</f>
        <v>route-v510-v504-bes_wmm2</v>
      </c>
      <c r="I97" t="str">
        <f>CONCATENATE(VLOOKUP($D97,kong_p2_var!$B$20:$H$26,SUBSTITUTE(I$1,"target_","") + 1,FALSE),":",$E97)</f>
        <v>172.20.148.102:31050</v>
      </c>
      <c r="J97" t="str">
        <f>CONCATENATE(VLOOKUP($D97,kong_p2_var!$B$20:$H$26,SUBSTITUTE(J$1,"target_","") + 1,FALSE),":",$E97)</f>
        <v>172.20.148.103:31050</v>
      </c>
      <c r="K97" t="str">
        <f>CONCATENATE(VLOOKUP($D97,kong_p2_var!$B$20:$H$26,SUBSTITUTE(K$1,"target_","") + 1,FALSE),":",$E97)</f>
        <v>172.20.148.104:31050</v>
      </c>
      <c r="L97" t="str">
        <f>IF($C97="dmz","",CONCATENATE(VLOOKUP($D97,kong_p2_var!$B$20:$H$26,SUBSTITUTE(L$1,"target_","") + 1,FALSE),":",$E97))</f>
        <v/>
      </c>
      <c r="M97" t="str">
        <f>IF($C97="dmz","",CONCATENATE(VLOOKUP($D97,kong_p2_var!$B$20:$H$26,SUBSTITUTE(M$1,"target_","") + 1,FALSE),":",$E97))</f>
        <v/>
      </c>
      <c r="N97" t="str">
        <f>IF($C97="dmz","",CONCATENATE(VLOOKUP($D97,kong_p2_var!$B$20:$H$26,SUBSTITUTE(N$1,"target_","") + 1,FALSE),":",$E97))</f>
        <v/>
      </c>
      <c r="O97" t="str">
        <f>VLOOKUP($D97,kong_p2_var!$B$10:$D$16,3,FALSE)</f>
        <v>172.20.148.71</v>
      </c>
      <c r="P97" t="str">
        <f>CONCATENATE("/",C97,MID(D97,2,15),"/",svc!$I96)</f>
        <v>/dmz504/bes_wmm2</v>
      </c>
      <c r="Q97" t="str">
        <f>VLOOKUP(C97,kong_p2_var!$B$6:$C$7,2,FALSE)</f>
        <v>http://172.20.149.80:8001</v>
      </c>
      <c r="R97" t="str">
        <f>SUBSTITUTE(SUBSTITUTE(kong_p2_var!$J$1,"&lt;upstream_name&gt;",$F97),"&lt;kong_api_url&gt;",$Q97)</f>
        <v>curl -X PUT http://172.20.149.80:8001/upstreams/ups-v504-bes_wmm2</v>
      </c>
      <c r="S97" t="str">
        <f>SUBSTITUTE(SUBSTITUTE(SUBSTITUTE(SUBSTITUTE(kong_p2_var!$J$2,"&lt;kong_api_url&gt;",$Q97),"&lt;upstream_name&gt;",$F97),"&lt;port&gt;",$E97),"&lt;service_name&gt;",$G97)</f>
        <v>curl -X PUT http://172.20.149.80:8001/services/svc-v504-bes_wmm2 -H "Content-Type: application/json" -d '{"protocol":"http","host":"ups-v504-bes_wmm2","port":31050}'</v>
      </c>
      <c r="T97" t="str">
        <f>SUBSTITUTE(SUBSTITUTE(SUBSTITUTE(SUBSTITUTE(SUBSTITUTE(kong_p2_var!$J$3,"&lt;kong_api_url&gt;",$Q97),"&lt;route_name&gt;",$H97),"&lt;service_name&gt;",$G97),"&lt;host&gt;",$O97),"&lt;path&gt;",$P97)</f>
        <v>curl -X PUT http://172.20.149.80:8001/services/svc-v504-bes_wmm2/routes/route-v510-v504-bes_wmm2 -H "Content-Type: application/json" -d '{"protocols":["http"],"hosts":["172.20.148.71"],"paths":["/dmz504/bes_wmm2"]}'</v>
      </c>
      <c r="U97" t="str">
        <f t="shared" si="7"/>
        <v>curl -X POST http://172.20.149.80:8001/upstreams/ups-v504-bes_wmm2/targets -d 'target=172.20.148.102:31050'</v>
      </c>
      <c r="V97" t="str">
        <f t="shared" si="8"/>
        <v>curl -X POST http://172.20.149.80:8001/upstreams/ups-v504-bes_wmm2/targets -d 'target=172.20.148.103:31050'</v>
      </c>
      <c r="W97" t="str">
        <f t="shared" si="9"/>
        <v>curl -X POST http://172.20.149.80:8001/upstreams/ups-v504-bes_wmm2/targets -d 'target=172.20.148.104:31050'</v>
      </c>
      <c r="X97" t="str">
        <f t="shared" si="10"/>
        <v/>
      </c>
      <c r="Y97" t="str">
        <f t="shared" si="11"/>
        <v/>
      </c>
      <c r="Z97" t="str">
        <f t="shared" si="12"/>
        <v/>
      </c>
    </row>
    <row r="98" spans="1:26">
      <c r="A98">
        <f>IF(ISNUMBER(SEARCH("rest_api",svc!R97)),1,0)</f>
        <v>1</v>
      </c>
      <c r="C98" t="str">
        <f>svc!D97</f>
        <v>dmz</v>
      </c>
      <c r="D98" t="str">
        <f>svc!$B97</f>
        <v>v804</v>
      </c>
      <c r="E98">
        <f>svc!G97</f>
        <v>31050</v>
      </c>
      <c r="F98" t="str">
        <f>CONCATENATE("ups-",svc!$B97,"-",svc!I97)</f>
        <v>ups-v804-bes_wmm2</v>
      </c>
      <c r="G98" t="str">
        <f>CONCATENATE("svc-",svc!$B97,"-",svc!I97)</f>
        <v>svc-v804-bes_wmm2</v>
      </c>
      <c r="H98" t="str">
        <f>CONCATENATE("route-",VLOOKUP($D98,kong_p2_var!$B$10:$D$16,2,FALSE),"-",svc!$B97,"-",svc!I97)</f>
        <v>route-v810-v804-bes_wmm2</v>
      </c>
      <c r="I98" t="str">
        <f>CONCATENATE(VLOOKUP($D98,kong_p2_var!$B$20:$H$26,SUBSTITUTE(I$1,"target_","") + 1,FALSE),":",$E98)</f>
        <v>172.20.149.70:31050</v>
      </c>
      <c r="J98" t="str">
        <f>CONCATENATE(VLOOKUP($D98,kong_p2_var!$B$20:$H$26,SUBSTITUTE(J$1,"target_","") + 1,FALSE),":",$E98)</f>
        <v>172.20.149.71:31050</v>
      </c>
      <c r="K98" t="str">
        <f>CONCATENATE(VLOOKUP($D98,kong_p2_var!$B$20:$H$26,SUBSTITUTE(K$1,"target_","") + 1,FALSE),":",$E98)</f>
        <v>172.20.149.72:31050</v>
      </c>
      <c r="L98" t="str">
        <f>IF($C98="dmz","",CONCATENATE(VLOOKUP($D98,kong_p2_var!$B$20:$H$26,SUBSTITUTE(L$1,"target_","") + 1,FALSE),":",$E98))</f>
        <v/>
      </c>
      <c r="M98" t="str">
        <f>IF($C98="dmz","",CONCATENATE(VLOOKUP($D98,kong_p2_var!$B$20:$H$26,SUBSTITUTE(M$1,"target_","") + 1,FALSE),":",$E98))</f>
        <v/>
      </c>
      <c r="N98" t="str">
        <f>IF($C98="dmz","",CONCATENATE(VLOOKUP($D98,kong_p2_var!$B$20:$H$26,SUBSTITUTE(N$1,"target_","") + 1,FALSE),":",$E98))</f>
        <v/>
      </c>
      <c r="O98" t="str">
        <f>VLOOKUP($D98,kong_p2_var!$B$10:$D$16,3,FALSE)</f>
        <v>172.20.151.71</v>
      </c>
      <c r="P98" t="str">
        <f>CONCATENATE("/",C98,MID(D98,2,15),"/",svc!$I97)</f>
        <v>/dmz804/bes_wmm2</v>
      </c>
      <c r="Q98" t="str">
        <f>VLOOKUP(C98,kong_p2_var!$B$6:$C$7,2,FALSE)</f>
        <v>http://172.20.149.80:8001</v>
      </c>
      <c r="R98" t="str">
        <f>SUBSTITUTE(SUBSTITUTE(kong_p2_var!$J$1,"&lt;upstream_name&gt;",$F98),"&lt;kong_api_url&gt;",$Q98)</f>
        <v>curl -X PUT http://172.20.149.80:8001/upstreams/ups-v804-bes_wmm2</v>
      </c>
      <c r="S98" t="str">
        <f>SUBSTITUTE(SUBSTITUTE(SUBSTITUTE(SUBSTITUTE(kong_p2_var!$J$2,"&lt;kong_api_url&gt;",$Q98),"&lt;upstream_name&gt;",$F98),"&lt;port&gt;",$E98),"&lt;service_name&gt;",$G98)</f>
        <v>curl -X PUT http://172.20.149.80:8001/services/svc-v804-bes_wmm2 -H "Content-Type: application/json" -d '{"protocol":"http","host":"ups-v804-bes_wmm2","port":31050}'</v>
      </c>
      <c r="T98" t="str">
        <f>SUBSTITUTE(SUBSTITUTE(SUBSTITUTE(SUBSTITUTE(SUBSTITUTE(kong_p2_var!$J$3,"&lt;kong_api_url&gt;",$Q98),"&lt;route_name&gt;",$H98),"&lt;service_name&gt;",$G98),"&lt;host&gt;",$O98),"&lt;path&gt;",$P98)</f>
        <v>curl -X PUT http://172.20.149.80:8001/services/svc-v804-bes_wmm2/routes/route-v810-v804-bes_wmm2 -H "Content-Type: application/json" -d '{"protocols":["http"],"hosts":["172.20.151.71"],"paths":["/dmz804/bes_wmm2"]}'</v>
      </c>
      <c r="U98" t="str">
        <f t="shared" si="7"/>
        <v>curl -X POST http://172.20.149.80:8001/upstreams/ups-v804-bes_wmm2/targets -d 'target=172.20.149.70:31050'</v>
      </c>
      <c r="V98" t="str">
        <f t="shared" si="8"/>
        <v>curl -X POST http://172.20.149.80:8001/upstreams/ups-v804-bes_wmm2/targets -d 'target=172.20.149.71:31050'</v>
      </c>
      <c r="W98" t="str">
        <f t="shared" si="9"/>
        <v>curl -X POST http://172.20.149.80:8001/upstreams/ups-v804-bes_wmm2/targets -d 'target=172.20.149.72:31050'</v>
      </c>
      <c r="X98" t="str">
        <f t="shared" si="10"/>
        <v/>
      </c>
      <c r="Y98" t="str">
        <f t="shared" si="11"/>
        <v/>
      </c>
      <c r="Z98" t="str">
        <f t="shared" si="12"/>
        <v/>
      </c>
    </row>
    <row r="99" spans="1:26">
      <c r="A99">
        <f>IF(ISNUMBER(SEARCH("rest_api",svc!R98)),1,0)</f>
        <v>1</v>
      </c>
      <c r="C99" t="str">
        <f>svc!D98</f>
        <v>dmz</v>
      </c>
      <c r="D99" t="str">
        <f>svc!$B98</f>
        <v>v504</v>
      </c>
      <c r="E99">
        <f>svc!G98</f>
        <v>31082</v>
      </c>
      <c r="F99" t="str">
        <f>CONCATENATE("ups-",svc!$B98,"-",svc!I98)</f>
        <v>ups-v504-bes_ttis</v>
      </c>
      <c r="G99" t="str">
        <f>CONCATENATE("svc-",svc!$B98,"-",svc!I98)</f>
        <v>svc-v504-bes_ttis</v>
      </c>
      <c r="H99" t="str">
        <f>CONCATENATE("route-",VLOOKUP($D99,kong_p2_var!$B$10:$D$16,2,FALSE),"-",svc!$B98,"-",svc!I98)</f>
        <v>route-v510-v504-bes_ttis</v>
      </c>
      <c r="I99" t="str">
        <f>CONCATENATE(VLOOKUP($D99,kong_p2_var!$B$20:$H$26,SUBSTITUTE(I$1,"target_","") + 1,FALSE),":",$E99)</f>
        <v>172.20.148.102:31082</v>
      </c>
      <c r="J99" t="str">
        <f>CONCATENATE(VLOOKUP($D99,kong_p2_var!$B$20:$H$26,SUBSTITUTE(J$1,"target_","") + 1,FALSE),":",$E99)</f>
        <v>172.20.148.103:31082</v>
      </c>
      <c r="K99" t="str">
        <f>CONCATENATE(VLOOKUP($D99,kong_p2_var!$B$20:$H$26,SUBSTITUTE(K$1,"target_","") + 1,FALSE),":",$E99)</f>
        <v>172.20.148.104:31082</v>
      </c>
      <c r="L99" t="str">
        <f>IF($C99="dmz","",CONCATENATE(VLOOKUP($D99,kong_p2_var!$B$20:$H$26,SUBSTITUTE(L$1,"target_","") + 1,FALSE),":",$E99))</f>
        <v/>
      </c>
      <c r="M99" t="str">
        <f>IF($C99="dmz","",CONCATENATE(VLOOKUP($D99,kong_p2_var!$B$20:$H$26,SUBSTITUTE(M$1,"target_","") + 1,FALSE),":",$E99))</f>
        <v/>
      </c>
      <c r="N99" t="str">
        <f>IF($C99="dmz","",CONCATENATE(VLOOKUP($D99,kong_p2_var!$B$20:$H$26,SUBSTITUTE(N$1,"target_","") + 1,FALSE),":",$E99))</f>
        <v/>
      </c>
      <c r="O99" t="str">
        <f>VLOOKUP($D99,kong_p2_var!$B$10:$D$16,3,FALSE)</f>
        <v>172.20.148.71</v>
      </c>
      <c r="P99" t="str">
        <f>CONCATENATE("/",C99,MID(D99,2,15),"/",svc!$I98)</f>
        <v>/dmz504/bes_ttis</v>
      </c>
      <c r="Q99" t="str">
        <f>VLOOKUP(C99,kong_p2_var!$B$6:$C$7,2,FALSE)</f>
        <v>http://172.20.149.80:8001</v>
      </c>
      <c r="R99" t="str">
        <f>SUBSTITUTE(SUBSTITUTE(kong_p2_var!$J$1,"&lt;upstream_name&gt;",$F99),"&lt;kong_api_url&gt;",$Q99)</f>
        <v>curl -X PUT http://172.20.149.80:8001/upstreams/ups-v504-bes_ttis</v>
      </c>
      <c r="S99" t="str">
        <f>SUBSTITUTE(SUBSTITUTE(SUBSTITUTE(SUBSTITUTE(kong_p2_var!$J$2,"&lt;kong_api_url&gt;",$Q99),"&lt;upstream_name&gt;",$F99),"&lt;port&gt;",$E99),"&lt;service_name&gt;",$G99)</f>
        <v>curl -X PUT http://172.20.149.80:8001/services/svc-v504-bes_ttis -H "Content-Type: application/json" -d '{"protocol":"http","host":"ups-v504-bes_ttis","port":31082}'</v>
      </c>
      <c r="T99" t="str">
        <f>SUBSTITUTE(SUBSTITUTE(SUBSTITUTE(SUBSTITUTE(SUBSTITUTE(kong_p2_var!$J$3,"&lt;kong_api_url&gt;",$Q99),"&lt;route_name&gt;",$H99),"&lt;service_name&gt;",$G99),"&lt;host&gt;",$O99),"&lt;path&gt;",$P99)</f>
        <v>curl -X PUT http://172.20.149.80:8001/services/svc-v504-bes_ttis/routes/route-v510-v504-bes_ttis -H "Content-Type: application/json" -d '{"protocols":["http"],"hosts":["172.20.148.71"],"paths":["/dmz504/bes_ttis"]}'</v>
      </c>
      <c r="U99" t="str">
        <f t="shared" si="7"/>
        <v>curl -X POST http://172.20.149.80:8001/upstreams/ups-v504-bes_ttis/targets -d 'target=172.20.148.102:31082'</v>
      </c>
      <c r="V99" t="str">
        <f t="shared" si="8"/>
        <v>curl -X POST http://172.20.149.80:8001/upstreams/ups-v504-bes_ttis/targets -d 'target=172.20.148.103:31082'</v>
      </c>
      <c r="W99" t="str">
        <f t="shared" si="9"/>
        <v>curl -X POST http://172.20.149.80:8001/upstreams/ups-v504-bes_ttis/targets -d 'target=172.20.148.104:31082'</v>
      </c>
      <c r="X99" t="str">
        <f t="shared" si="10"/>
        <v/>
      </c>
      <c r="Y99" t="str">
        <f t="shared" si="11"/>
        <v/>
      </c>
      <c r="Z99" t="str">
        <f t="shared" si="12"/>
        <v/>
      </c>
    </row>
    <row r="100" spans="1:26">
      <c r="A100">
        <f>IF(ISNUMBER(SEARCH("rest_api",svc!R99)),1,0)</f>
        <v>1</v>
      </c>
      <c r="C100" t="str">
        <f>svc!D99</f>
        <v>dmz</v>
      </c>
      <c r="D100" t="str">
        <f>svc!$B99</f>
        <v>v504</v>
      </c>
      <c r="E100">
        <f>svc!G99</f>
        <v>31032</v>
      </c>
      <c r="F100" t="str">
        <f>CONCATENATE("ups-",svc!$B99,"-",svc!I99)</f>
        <v>ups-v504-bes_tsp</v>
      </c>
      <c r="G100" t="str">
        <f>CONCATENATE("svc-",svc!$B99,"-",svc!I99)</f>
        <v>svc-v504-bes_tsp</v>
      </c>
      <c r="H100" t="str">
        <f>CONCATENATE("route-",VLOOKUP($D100,kong_p2_var!$B$10:$D$16,2,FALSE),"-",svc!$B99,"-",svc!I99)</f>
        <v>route-v510-v504-bes_tsp</v>
      </c>
      <c r="I100" t="str">
        <f>CONCATENATE(VLOOKUP($D100,kong_p2_var!$B$20:$H$26,SUBSTITUTE(I$1,"target_","") + 1,FALSE),":",$E100)</f>
        <v>172.20.148.102:31032</v>
      </c>
      <c r="J100" t="str">
        <f>CONCATENATE(VLOOKUP($D100,kong_p2_var!$B$20:$H$26,SUBSTITUTE(J$1,"target_","") + 1,FALSE),":",$E100)</f>
        <v>172.20.148.103:31032</v>
      </c>
      <c r="K100" t="str">
        <f>CONCATENATE(VLOOKUP($D100,kong_p2_var!$B$20:$H$26,SUBSTITUTE(K$1,"target_","") + 1,FALSE),":",$E100)</f>
        <v>172.20.148.104:31032</v>
      </c>
      <c r="L100" t="str">
        <f>IF($C100="dmz","",CONCATENATE(VLOOKUP($D100,kong_p2_var!$B$20:$H$26,SUBSTITUTE(L$1,"target_","") + 1,FALSE),":",$E100))</f>
        <v/>
      </c>
      <c r="M100" t="str">
        <f>IF($C100="dmz","",CONCATENATE(VLOOKUP($D100,kong_p2_var!$B$20:$H$26,SUBSTITUTE(M$1,"target_","") + 1,FALSE),":",$E100))</f>
        <v/>
      </c>
      <c r="N100" t="str">
        <f>IF($C100="dmz","",CONCATENATE(VLOOKUP($D100,kong_p2_var!$B$20:$H$26,SUBSTITUTE(N$1,"target_","") + 1,FALSE),":",$E100))</f>
        <v/>
      </c>
      <c r="O100" t="str">
        <f>VLOOKUP($D100,kong_p2_var!$B$10:$D$16,3,FALSE)</f>
        <v>172.20.148.71</v>
      </c>
      <c r="P100" t="str">
        <f>CONCATENATE("/",C100,MID(D100,2,15),"/",svc!$I99)</f>
        <v>/dmz504/bes_tsp</v>
      </c>
      <c r="Q100" t="str">
        <f>VLOOKUP(C100,kong_p2_var!$B$6:$C$7,2,FALSE)</f>
        <v>http://172.20.149.80:8001</v>
      </c>
      <c r="R100" t="str">
        <f>SUBSTITUTE(SUBSTITUTE(kong_p2_var!$J$1,"&lt;upstream_name&gt;",$F100),"&lt;kong_api_url&gt;",$Q100)</f>
        <v>curl -X PUT http://172.20.149.80:8001/upstreams/ups-v504-bes_tsp</v>
      </c>
      <c r="S100" t="str">
        <f>SUBSTITUTE(SUBSTITUTE(SUBSTITUTE(SUBSTITUTE(kong_p2_var!$J$2,"&lt;kong_api_url&gt;",$Q100),"&lt;upstream_name&gt;",$F100),"&lt;port&gt;",$E100),"&lt;service_name&gt;",$G100)</f>
        <v>curl -X PUT http://172.20.149.80:8001/services/svc-v504-bes_tsp -H "Content-Type: application/json" -d '{"protocol":"http","host":"ups-v504-bes_tsp","port":31032}'</v>
      </c>
      <c r="T100" t="str">
        <f>SUBSTITUTE(SUBSTITUTE(SUBSTITUTE(SUBSTITUTE(SUBSTITUTE(kong_p2_var!$J$3,"&lt;kong_api_url&gt;",$Q100),"&lt;route_name&gt;",$H100),"&lt;service_name&gt;",$G100),"&lt;host&gt;",$O100),"&lt;path&gt;",$P100)</f>
        <v>curl -X PUT http://172.20.149.80:8001/services/svc-v504-bes_tsp/routes/route-v510-v504-bes_tsp -H "Content-Type: application/json" -d '{"protocols":["http"],"hosts":["172.20.148.71"],"paths":["/dmz504/bes_tsp"]}'</v>
      </c>
      <c r="U100" t="str">
        <f t="shared" si="7"/>
        <v>curl -X POST http://172.20.149.80:8001/upstreams/ups-v504-bes_tsp/targets -d 'target=172.20.148.102:31032'</v>
      </c>
      <c r="V100" t="str">
        <f t="shared" si="8"/>
        <v>curl -X POST http://172.20.149.80:8001/upstreams/ups-v504-bes_tsp/targets -d 'target=172.20.148.103:31032'</v>
      </c>
      <c r="W100" t="str">
        <f t="shared" si="9"/>
        <v>curl -X POST http://172.20.149.80:8001/upstreams/ups-v504-bes_tsp/targets -d 'target=172.20.148.104:31032'</v>
      </c>
      <c r="X100" t="str">
        <f t="shared" si="10"/>
        <v/>
      </c>
      <c r="Y100" t="str">
        <f t="shared" si="11"/>
        <v/>
      </c>
      <c r="Z100" t="str">
        <f t="shared" si="12"/>
        <v/>
      </c>
    </row>
    <row r="101" spans="1:26">
      <c r="A101">
        <f>IF(ISNUMBER(SEARCH("rest_api",svc!R100)),1,0)</f>
        <v>1</v>
      </c>
      <c r="C101" t="str">
        <f>svc!D100</f>
        <v>dmz</v>
      </c>
      <c r="D101" t="str">
        <f>svc!$B100</f>
        <v>v630</v>
      </c>
      <c r="E101">
        <f>svc!G100</f>
        <v>31052</v>
      </c>
      <c r="F101" t="str">
        <f>CONCATENATE("ups-",svc!$B100,"-",svc!I100)</f>
        <v>ups-v630-das_middleware_load_test</v>
      </c>
      <c r="G101" t="str">
        <f>CONCATENATE("svc-",svc!$B100,"-",svc!I100)</f>
        <v>svc-v630-das_middleware_load_test</v>
      </c>
      <c r="H101" t="str">
        <f>CONCATENATE("route-",VLOOKUP($D101,kong_p2_var!$B$10:$D$16,2,FALSE),"-",svc!$B100,"-",svc!I100)</f>
        <v>route-v510-v630-das_middleware_load_test</v>
      </c>
      <c r="I101" t="str">
        <f>CONCATENATE(VLOOKUP($D101,kong_p2_var!$B$20:$H$26,SUBSTITUTE(I$1,"target_","") + 1,FALSE),":",$E101)</f>
        <v>172.20.151.110:31052</v>
      </c>
      <c r="J101" t="str">
        <f>CONCATENATE(VLOOKUP($D101,kong_p2_var!$B$20:$H$26,SUBSTITUTE(J$1,"target_","") + 1,FALSE),":",$E101)</f>
        <v>172.20.151.111:31052</v>
      </c>
      <c r="K101" t="str">
        <f>CONCATENATE(VLOOKUP($D101,kong_p2_var!$B$20:$H$26,SUBSTITUTE(K$1,"target_","") + 1,FALSE),":",$E101)</f>
        <v>172.20.151.112:31052</v>
      </c>
      <c r="L101" t="str">
        <f>IF($C101="dmz","",CONCATENATE(VLOOKUP($D101,kong_p2_var!$B$20:$H$26,SUBSTITUTE(L$1,"target_","") + 1,FALSE),":",$E101))</f>
        <v/>
      </c>
      <c r="M101" t="str">
        <f>IF($C101="dmz","",CONCATENATE(VLOOKUP($D101,kong_p2_var!$B$20:$H$26,SUBSTITUTE(M$1,"target_","") + 1,FALSE),":",$E101))</f>
        <v/>
      </c>
      <c r="N101" t="str">
        <f>IF($C101="dmz","",CONCATENATE(VLOOKUP($D101,kong_p2_var!$B$20:$H$26,SUBSTITUTE(N$1,"target_","") + 1,FALSE),":",$E101))</f>
        <v/>
      </c>
      <c r="O101" t="str">
        <f>VLOOKUP($D101,kong_p2_var!$B$10:$D$16,3,FALSE)</f>
        <v>172.20.150.71</v>
      </c>
      <c r="P101" t="str">
        <f>CONCATENATE("/",C101,MID(D101,2,15),"/",svc!$I100)</f>
        <v>/dmz630/das_middleware_load_test</v>
      </c>
      <c r="Q101" t="str">
        <f>VLOOKUP(C101,kong_p2_var!$B$6:$C$7,2,FALSE)</f>
        <v>http://172.20.149.80:8001</v>
      </c>
      <c r="R101" t="str">
        <f>SUBSTITUTE(SUBSTITUTE(kong_p2_var!$J$1,"&lt;upstream_name&gt;",$F101),"&lt;kong_api_url&gt;",$Q101)</f>
        <v>curl -X PUT http://172.20.149.80:8001/upstreams/ups-v630-das_middleware_load_test</v>
      </c>
      <c r="S101" t="str">
        <f>SUBSTITUTE(SUBSTITUTE(SUBSTITUTE(SUBSTITUTE(kong_p2_var!$J$2,"&lt;kong_api_url&gt;",$Q101),"&lt;upstream_name&gt;",$F101),"&lt;port&gt;",$E101),"&lt;service_name&gt;",$G101)</f>
        <v>curl -X PUT http://172.20.149.80:8001/services/svc-v630-das_middleware_load_test -H "Content-Type: application/json" -d '{"protocol":"http","host":"ups-v630-das_middleware_load_test","port":31052}'</v>
      </c>
      <c r="T101" t="str">
        <f>SUBSTITUTE(SUBSTITUTE(SUBSTITUTE(SUBSTITUTE(SUBSTITUTE(kong_p2_var!$J$3,"&lt;kong_api_url&gt;",$Q101),"&lt;route_name&gt;",$H101),"&lt;service_name&gt;",$G101),"&lt;host&gt;",$O101),"&lt;path&gt;",$P101)</f>
        <v>curl -X PUT http://172.20.149.80:8001/services/svc-v630-das_middleware_load_test/routes/route-v510-v630-das_middleware_load_test -H "Content-Type: application/json" -d '{"protocols":["http"],"hosts":["172.20.150.71"],"paths":["/dmz630/das_middleware_load_test"]}'</v>
      </c>
      <c r="U101" t="str">
        <f t="shared" si="7"/>
        <v>curl -X POST http://172.20.149.80:8001/upstreams/ups-v630-das_middleware_load_test/targets -d 'target=172.20.151.110:31052'</v>
      </c>
      <c r="V101" t="str">
        <f t="shared" si="8"/>
        <v>curl -X POST http://172.20.149.80:8001/upstreams/ups-v630-das_middleware_load_test/targets -d 'target=172.20.151.111:31052'</v>
      </c>
      <c r="W101" t="str">
        <f t="shared" si="9"/>
        <v>curl -X POST http://172.20.149.80:8001/upstreams/ups-v630-das_middleware_load_test/targets -d 'target=172.20.151.112:31052'</v>
      </c>
      <c r="X101" t="str">
        <f t="shared" si="10"/>
        <v/>
      </c>
      <c r="Y101" t="str">
        <f t="shared" si="11"/>
        <v/>
      </c>
      <c r="Z101" t="str">
        <f t="shared" si="12"/>
        <v/>
      </c>
    </row>
    <row r="102" spans="1:26">
      <c r="A102">
        <f>IF(ISNUMBER(SEARCH("rest_api",svc!R101)),1,0)</f>
        <v>1</v>
      </c>
      <c r="C102" t="str">
        <f>svc!D101</f>
        <v>dmz</v>
      </c>
      <c r="D102" t="str">
        <f>svc!$B101</f>
        <v>v630</v>
      </c>
      <c r="E102">
        <f>svc!G101</f>
        <v>31053</v>
      </c>
      <c r="F102" t="str">
        <f>CONCATENATE("ups-",svc!$B101,"-",svc!I101)</f>
        <v>ups-v630-das_middleware_load_test_2</v>
      </c>
      <c r="G102" t="str">
        <f>CONCATENATE("svc-",svc!$B101,"-",svc!I101)</f>
        <v>svc-v630-das_middleware_load_test_2</v>
      </c>
      <c r="H102" t="str">
        <f>CONCATENATE("route-",VLOOKUP($D102,kong_p2_var!$B$10:$D$16,2,FALSE),"-",svc!$B101,"-",svc!I101)</f>
        <v>route-v510-v630-das_middleware_load_test_2</v>
      </c>
      <c r="I102" t="str">
        <f>CONCATENATE(VLOOKUP($D102,kong_p2_var!$B$20:$H$26,SUBSTITUTE(I$1,"target_","") + 1,FALSE),":",$E102)</f>
        <v>172.20.151.110:31053</v>
      </c>
      <c r="J102" t="str">
        <f>CONCATENATE(VLOOKUP($D102,kong_p2_var!$B$20:$H$26,SUBSTITUTE(J$1,"target_","") + 1,FALSE),":",$E102)</f>
        <v>172.20.151.111:31053</v>
      </c>
      <c r="K102" t="str">
        <f>CONCATENATE(VLOOKUP($D102,kong_p2_var!$B$20:$H$26,SUBSTITUTE(K$1,"target_","") + 1,FALSE),":",$E102)</f>
        <v>172.20.151.112:31053</v>
      </c>
      <c r="L102" t="str">
        <f>IF($C102="dmz","",CONCATENATE(VLOOKUP($D102,kong_p2_var!$B$20:$H$26,SUBSTITUTE(L$1,"target_","") + 1,FALSE),":",$E102))</f>
        <v/>
      </c>
      <c r="M102" t="str">
        <f>IF($C102="dmz","",CONCATENATE(VLOOKUP($D102,kong_p2_var!$B$20:$H$26,SUBSTITUTE(M$1,"target_","") + 1,FALSE),":",$E102))</f>
        <v/>
      </c>
      <c r="N102" t="str">
        <f>IF($C102="dmz","",CONCATENATE(VLOOKUP($D102,kong_p2_var!$B$20:$H$26,SUBSTITUTE(N$1,"target_","") + 1,FALSE),":",$E102))</f>
        <v/>
      </c>
      <c r="O102" t="str">
        <f>VLOOKUP($D102,kong_p2_var!$B$10:$D$16,3,FALSE)</f>
        <v>172.20.150.71</v>
      </c>
      <c r="P102" t="str">
        <f>CONCATENATE("/",C102,MID(D102,2,15),"/",svc!$I101)</f>
        <v>/dmz630/das_middleware_load_test_2</v>
      </c>
      <c r="Q102" t="str">
        <f>VLOOKUP(C102,kong_p2_var!$B$6:$C$7,2,FALSE)</f>
        <v>http://172.20.149.80:8001</v>
      </c>
      <c r="R102" t="str">
        <f>SUBSTITUTE(SUBSTITUTE(kong_p2_var!$J$1,"&lt;upstream_name&gt;",$F102),"&lt;kong_api_url&gt;",$Q102)</f>
        <v>curl -X PUT http://172.20.149.80:8001/upstreams/ups-v630-das_middleware_load_test_2</v>
      </c>
      <c r="S102" t="str">
        <f>SUBSTITUTE(SUBSTITUTE(SUBSTITUTE(SUBSTITUTE(kong_p2_var!$J$2,"&lt;kong_api_url&gt;",$Q102),"&lt;upstream_name&gt;",$F102),"&lt;port&gt;",$E102),"&lt;service_name&gt;",$G102)</f>
        <v>curl -X PUT http://172.20.149.80:8001/services/svc-v630-das_middleware_load_test_2 -H "Content-Type: application/json" -d '{"protocol":"http","host":"ups-v630-das_middleware_load_test_2","port":31053}'</v>
      </c>
      <c r="T102" t="str">
        <f>SUBSTITUTE(SUBSTITUTE(SUBSTITUTE(SUBSTITUTE(SUBSTITUTE(kong_p2_var!$J$3,"&lt;kong_api_url&gt;",$Q102),"&lt;route_name&gt;",$H102),"&lt;service_name&gt;",$G102),"&lt;host&gt;",$O102),"&lt;path&gt;",$P102)</f>
        <v>curl -X PUT http://172.20.149.80:8001/services/svc-v630-das_middleware_load_test_2/routes/route-v510-v630-das_middleware_load_test_2 -H "Content-Type: application/json" -d '{"protocols":["http"],"hosts":["172.20.150.71"],"paths":["/dmz630/das_middleware_load_test_2"]}'</v>
      </c>
      <c r="U102" t="str">
        <f t="shared" si="7"/>
        <v>curl -X POST http://172.20.149.80:8001/upstreams/ups-v630-das_middleware_load_test_2/targets -d 'target=172.20.151.110:31053'</v>
      </c>
      <c r="V102" t="str">
        <f t="shared" si="8"/>
        <v>curl -X POST http://172.20.149.80:8001/upstreams/ups-v630-das_middleware_load_test_2/targets -d 'target=172.20.151.111:31053'</v>
      </c>
      <c r="W102" t="str">
        <f t="shared" si="9"/>
        <v>curl -X POST http://172.20.149.80:8001/upstreams/ups-v630-das_middleware_load_test_2/targets -d 'target=172.20.151.112:31053'</v>
      </c>
      <c r="X102" t="str">
        <f t="shared" si="10"/>
        <v/>
      </c>
      <c r="Y102" t="str">
        <f t="shared" si="11"/>
        <v/>
      </c>
      <c r="Z102" t="str">
        <f t="shared" si="12"/>
        <v/>
      </c>
    </row>
    <row r="103" spans="1:26">
      <c r="A103">
        <f>IF(ISNUMBER(SEARCH("rest_api",svc!R102)),1,0)</f>
        <v>1</v>
      </c>
      <c r="C103" t="str">
        <f>svc!D102</f>
        <v>dmz</v>
      </c>
      <c r="D103" t="str">
        <f>svc!$B102</f>
        <v>v630</v>
      </c>
      <c r="E103">
        <f>svc!G102</f>
        <v>31054</v>
      </c>
      <c r="F103" t="str">
        <f>CONCATENATE("ups-",svc!$B102,"-",svc!I102)</f>
        <v>ups-v630-das_middleware_load_test_3</v>
      </c>
      <c r="G103" t="str">
        <f>CONCATENATE("svc-",svc!$B102,"-",svc!I102)</f>
        <v>svc-v630-das_middleware_load_test_3</v>
      </c>
      <c r="H103" t="str">
        <f>CONCATENATE("route-",VLOOKUP($D103,kong_p2_var!$B$10:$D$16,2,FALSE),"-",svc!$B102,"-",svc!I102)</f>
        <v>route-v510-v630-das_middleware_load_test_3</v>
      </c>
      <c r="I103" t="str">
        <f>CONCATENATE(VLOOKUP($D103,kong_p2_var!$B$20:$H$26,SUBSTITUTE(I$1,"target_","") + 1,FALSE),":",$E103)</f>
        <v>172.20.151.110:31054</v>
      </c>
      <c r="J103" t="str">
        <f>CONCATENATE(VLOOKUP($D103,kong_p2_var!$B$20:$H$26,SUBSTITUTE(J$1,"target_","") + 1,FALSE),":",$E103)</f>
        <v>172.20.151.111:31054</v>
      </c>
      <c r="K103" t="str">
        <f>CONCATENATE(VLOOKUP($D103,kong_p2_var!$B$20:$H$26,SUBSTITUTE(K$1,"target_","") + 1,FALSE),":",$E103)</f>
        <v>172.20.151.112:31054</v>
      </c>
      <c r="L103" t="str">
        <f>IF($C103="dmz","",CONCATENATE(VLOOKUP($D103,kong_p2_var!$B$20:$H$26,SUBSTITUTE(L$1,"target_","") + 1,FALSE),":",$E103))</f>
        <v/>
      </c>
      <c r="M103" t="str">
        <f>IF($C103="dmz","",CONCATENATE(VLOOKUP($D103,kong_p2_var!$B$20:$H$26,SUBSTITUTE(M$1,"target_","") + 1,FALSE),":",$E103))</f>
        <v/>
      </c>
      <c r="N103" t="str">
        <f>IF($C103="dmz","",CONCATENATE(VLOOKUP($D103,kong_p2_var!$B$20:$H$26,SUBSTITUTE(N$1,"target_","") + 1,FALSE),":",$E103))</f>
        <v/>
      </c>
      <c r="O103" t="str">
        <f>VLOOKUP($D103,kong_p2_var!$B$10:$D$16,3,FALSE)</f>
        <v>172.20.150.71</v>
      </c>
      <c r="P103" t="str">
        <f>CONCATENATE("/",C103,MID(D103,2,15),"/",svc!$I102)</f>
        <v>/dmz630/das_middleware_load_test_3</v>
      </c>
      <c r="Q103" t="str">
        <f>VLOOKUP(C103,kong_p2_var!$B$6:$C$7,2,FALSE)</f>
        <v>http://172.20.149.80:8001</v>
      </c>
      <c r="R103" t="str">
        <f>SUBSTITUTE(SUBSTITUTE(kong_p2_var!$J$1,"&lt;upstream_name&gt;",$F103),"&lt;kong_api_url&gt;",$Q103)</f>
        <v>curl -X PUT http://172.20.149.80:8001/upstreams/ups-v630-das_middleware_load_test_3</v>
      </c>
      <c r="S103" t="str">
        <f>SUBSTITUTE(SUBSTITUTE(SUBSTITUTE(SUBSTITUTE(kong_p2_var!$J$2,"&lt;kong_api_url&gt;",$Q103),"&lt;upstream_name&gt;",$F103),"&lt;port&gt;",$E103),"&lt;service_name&gt;",$G103)</f>
        <v>curl -X PUT http://172.20.149.80:8001/services/svc-v630-das_middleware_load_test_3 -H "Content-Type: application/json" -d '{"protocol":"http","host":"ups-v630-das_middleware_load_test_3","port":31054}'</v>
      </c>
      <c r="T103" t="str">
        <f>SUBSTITUTE(SUBSTITUTE(SUBSTITUTE(SUBSTITUTE(SUBSTITUTE(kong_p2_var!$J$3,"&lt;kong_api_url&gt;",$Q103),"&lt;route_name&gt;",$H103),"&lt;service_name&gt;",$G103),"&lt;host&gt;",$O103),"&lt;path&gt;",$P103)</f>
        <v>curl -X PUT http://172.20.149.80:8001/services/svc-v630-das_middleware_load_test_3/routes/route-v510-v630-das_middleware_load_test_3 -H "Content-Type: application/json" -d '{"protocols":["http"],"hosts":["172.20.150.71"],"paths":["/dmz630/das_middleware_load_test_3"]}'</v>
      </c>
      <c r="U103" t="str">
        <f t="shared" si="7"/>
        <v>curl -X POST http://172.20.149.80:8001/upstreams/ups-v630-das_middleware_load_test_3/targets -d 'target=172.20.151.110:31054'</v>
      </c>
      <c r="V103" t="str">
        <f t="shared" si="8"/>
        <v>curl -X POST http://172.20.149.80:8001/upstreams/ups-v630-das_middleware_load_test_3/targets -d 'target=172.20.151.111:31054'</v>
      </c>
      <c r="W103" t="str">
        <f t="shared" si="9"/>
        <v>curl -X POST http://172.20.149.80:8001/upstreams/ups-v630-das_middleware_load_test_3/targets -d 'target=172.20.151.112:31054'</v>
      </c>
      <c r="X103" t="str">
        <f t="shared" si="10"/>
        <v/>
      </c>
      <c r="Y103" t="str">
        <f t="shared" si="11"/>
        <v/>
      </c>
      <c r="Z103" t="str">
        <f t="shared" si="12"/>
        <v/>
      </c>
    </row>
    <row r="104" spans="1:26">
      <c r="A104">
        <f>IF(ISNUMBER(SEARCH("rest_api",svc!R103)),1,0)</f>
        <v>1</v>
      </c>
      <c r="C104" t="str">
        <f>svc!D103</f>
        <v>dmz</v>
      </c>
      <c r="D104" t="str">
        <f>svc!$B103</f>
        <v>v630</v>
      </c>
      <c r="E104">
        <f>svc!G103</f>
        <v>31055</v>
      </c>
      <c r="F104" t="str">
        <f>CONCATENATE("ups-",svc!$B103,"-",svc!I103)</f>
        <v>ups-v630-das_middleware_load_test_4</v>
      </c>
      <c r="G104" t="str">
        <f>CONCATENATE("svc-",svc!$B103,"-",svc!I103)</f>
        <v>svc-v630-das_middleware_load_test_4</v>
      </c>
      <c r="H104" t="str">
        <f>CONCATENATE("route-",VLOOKUP($D104,kong_p2_var!$B$10:$D$16,2,FALSE),"-",svc!$B103,"-",svc!I103)</f>
        <v>route-v510-v630-das_middleware_load_test_4</v>
      </c>
      <c r="I104" t="str">
        <f>CONCATENATE(VLOOKUP($D104,kong_p2_var!$B$20:$H$26,SUBSTITUTE(I$1,"target_","") + 1,FALSE),":",$E104)</f>
        <v>172.20.151.110:31055</v>
      </c>
      <c r="J104" t="str">
        <f>CONCATENATE(VLOOKUP($D104,kong_p2_var!$B$20:$H$26,SUBSTITUTE(J$1,"target_","") + 1,FALSE),":",$E104)</f>
        <v>172.20.151.111:31055</v>
      </c>
      <c r="K104" t="str">
        <f>CONCATENATE(VLOOKUP($D104,kong_p2_var!$B$20:$H$26,SUBSTITUTE(K$1,"target_","") + 1,FALSE),":",$E104)</f>
        <v>172.20.151.112:31055</v>
      </c>
      <c r="L104" t="str">
        <f>IF($C104="dmz","",CONCATENATE(VLOOKUP($D104,kong_p2_var!$B$20:$H$26,SUBSTITUTE(L$1,"target_","") + 1,FALSE),":",$E104))</f>
        <v/>
      </c>
      <c r="M104" t="str">
        <f>IF($C104="dmz","",CONCATENATE(VLOOKUP($D104,kong_p2_var!$B$20:$H$26,SUBSTITUTE(M$1,"target_","") + 1,FALSE),":",$E104))</f>
        <v/>
      </c>
      <c r="N104" t="str">
        <f>IF($C104="dmz","",CONCATENATE(VLOOKUP($D104,kong_p2_var!$B$20:$H$26,SUBSTITUTE(N$1,"target_","") + 1,FALSE),":",$E104))</f>
        <v/>
      </c>
      <c r="O104" t="str">
        <f>VLOOKUP($D104,kong_p2_var!$B$10:$D$16,3,FALSE)</f>
        <v>172.20.150.71</v>
      </c>
      <c r="P104" t="str">
        <f>CONCATENATE("/",C104,MID(D104,2,15),"/",svc!$I103)</f>
        <v>/dmz630/das_middleware_load_test_4</v>
      </c>
      <c r="Q104" t="str">
        <f>VLOOKUP(C104,kong_p2_var!$B$6:$C$7,2,FALSE)</f>
        <v>http://172.20.149.80:8001</v>
      </c>
      <c r="R104" t="str">
        <f>SUBSTITUTE(SUBSTITUTE(kong_p2_var!$J$1,"&lt;upstream_name&gt;",$F104),"&lt;kong_api_url&gt;",$Q104)</f>
        <v>curl -X PUT http://172.20.149.80:8001/upstreams/ups-v630-das_middleware_load_test_4</v>
      </c>
      <c r="S104" t="str">
        <f>SUBSTITUTE(SUBSTITUTE(SUBSTITUTE(SUBSTITUTE(kong_p2_var!$J$2,"&lt;kong_api_url&gt;",$Q104),"&lt;upstream_name&gt;",$F104),"&lt;port&gt;",$E104),"&lt;service_name&gt;",$G104)</f>
        <v>curl -X PUT http://172.20.149.80:8001/services/svc-v630-das_middleware_load_test_4 -H "Content-Type: application/json" -d '{"protocol":"http","host":"ups-v630-das_middleware_load_test_4","port":31055}'</v>
      </c>
      <c r="T104" t="str">
        <f>SUBSTITUTE(SUBSTITUTE(SUBSTITUTE(SUBSTITUTE(SUBSTITUTE(kong_p2_var!$J$3,"&lt;kong_api_url&gt;",$Q104),"&lt;route_name&gt;",$H104),"&lt;service_name&gt;",$G104),"&lt;host&gt;",$O104),"&lt;path&gt;",$P104)</f>
        <v>curl -X PUT http://172.20.149.80:8001/services/svc-v630-das_middleware_load_test_4/routes/route-v510-v630-das_middleware_load_test_4 -H "Content-Type: application/json" -d '{"protocols":["http"],"hosts":["172.20.150.71"],"paths":["/dmz630/das_middleware_load_test_4"]}'</v>
      </c>
      <c r="U104" t="str">
        <f t="shared" si="7"/>
        <v>curl -X POST http://172.20.149.80:8001/upstreams/ups-v630-das_middleware_load_test_4/targets -d 'target=172.20.151.110:31055'</v>
      </c>
      <c r="V104" t="str">
        <f t="shared" si="8"/>
        <v>curl -X POST http://172.20.149.80:8001/upstreams/ups-v630-das_middleware_load_test_4/targets -d 'target=172.20.151.111:31055'</v>
      </c>
      <c r="W104" t="str">
        <f t="shared" si="9"/>
        <v>curl -X POST http://172.20.149.80:8001/upstreams/ups-v630-das_middleware_load_test_4/targets -d 'target=172.20.151.112:31055'</v>
      </c>
      <c r="X104" t="str">
        <f t="shared" si="10"/>
        <v/>
      </c>
      <c r="Y104" t="str">
        <f t="shared" si="11"/>
        <v/>
      </c>
      <c r="Z104" t="str">
        <f t="shared" si="12"/>
        <v/>
      </c>
    </row>
    <row r="105" spans="1:26">
      <c r="A105">
        <f>IF(ISNUMBER(SEARCH("rest_api",svc!R104)),1,0)</f>
        <v>1</v>
      </c>
      <c r="C105" t="str">
        <f>svc!D104</f>
        <v>dmz</v>
      </c>
      <c r="D105" t="str">
        <f>svc!$B104</f>
        <v>v630</v>
      </c>
      <c r="E105">
        <f>svc!G104</f>
        <v>31056</v>
      </c>
      <c r="F105" t="str">
        <f>CONCATENATE("ups-",svc!$B104,"-",svc!I104)</f>
        <v>ups-v630-das_middleware_load_test_5</v>
      </c>
      <c r="G105" t="str">
        <f>CONCATENATE("svc-",svc!$B104,"-",svc!I104)</f>
        <v>svc-v630-das_middleware_load_test_5</v>
      </c>
      <c r="H105" t="str">
        <f>CONCATENATE("route-",VLOOKUP($D105,kong_p2_var!$B$10:$D$16,2,FALSE),"-",svc!$B104,"-",svc!I104)</f>
        <v>route-v510-v630-das_middleware_load_test_5</v>
      </c>
      <c r="I105" t="str">
        <f>CONCATENATE(VLOOKUP($D105,kong_p2_var!$B$20:$H$26,SUBSTITUTE(I$1,"target_","") + 1,FALSE),":",$E105)</f>
        <v>172.20.151.110:31056</v>
      </c>
      <c r="J105" t="str">
        <f>CONCATENATE(VLOOKUP($D105,kong_p2_var!$B$20:$H$26,SUBSTITUTE(J$1,"target_","") + 1,FALSE),":",$E105)</f>
        <v>172.20.151.111:31056</v>
      </c>
      <c r="K105" t="str">
        <f>CONCATENATE(VLOOKUP($D105,kong_p2_var!$B$20:$H$26,SUBSTITUTE(K$1,"target_","") + 1,FALSE),":",$E105)</f>
        <v>172.20.151.112:31056</v>
      </c>
      <c r="L105" t="str">
        <f>IF($C105="dmz","",CONCATENATE(VLOOKUP($D105,kong_p2_var!$B$20:$H$26,SUBSTITUTE(L$1,"target_","") + 1,FALSE),":",$E105))</f>
        <v/>
      </c>
      <c r="M105" t="str">
        <f>IF($C105="dmz","",CONCATENATE(VLOOKUP($D105,kong_p2_var!$B$20:$H$26,SUBSTITUTE(M$1,"target_","") + 1,FALSE),":",$E105))</f>
        <v/>
      </c>
      <c r="N105" t="str">
        <f>IF($C105="dmz","",CONCATENATE(VLOOKUP($D105,kong_p2_var!$B$20:$H$26,SUBSTITUTE(N$1,"target_","") + 1,FALSE),":",$E105))</f>
        <v/>
      </c>
      <c r="O105" t="str">
        <f>VLOOKUP($D105,kong_p2_var!$B$10:$D$16,3,FALSE)</f>
        <v>172.20.150.71</v>
      </c>
      <c r="P105" t="str">
        <f>CONCATENATE("/",C105,MID(D105,2,15),"/",svc!$I104)</f>
        <v>/dmz630/das_middleware_load_test_5</v>
      </c>
      <c r="Q105" t="str">
        <f>VLOOKUP(C105,kong_p2_var!$B$6:$C$7,2,FALSE)</f>
        <v>http://172.20.149.80:8001</v>
      </c>
      <c r="R105" t="str">
        <f>SUBSTITUTE(SUBSTITUTE(kong_p2_var!$J$1,"&lt;upstream_name&gt;",$F105),"&lt;kong_api_url&gt;",$Q105)</f>
        <v>curl -X PUT http://172.20.149.80:8001/upstreams/ups-v630-das_middleware_load_test_5</v>
      </c>
      <c r="S105" t="str">
        <f>SUBSTITUTE(SUBSTITUTE(SUBSTITUTE(SUBSTITUTE(kong_p2_var!$J$2,"&lt;kong_api_url&gt;",$Q105),"&lt;upstream_name&gt;",$F105),"&lt;port&gt;",$E105),"&lt;service_name&gt;",$G105)</f>
        <v>curl -X PUT http://172.20.149.80:8001/services/svc-v630-das_middleware_load_test_5 -H "Content-Type: application/json" -d '{"protocol":"http","host":"ups-v630-das_middleware_load_test_5","port":31056}'</v>
      </c>
      <c r="T105" t="str">
        <f>SUBSTITUTE(SUBSTITUTE(SUBSTITUTE(SUBSTITUTE(SUBSTITUTE(kong_p2_var!$J$3,"&lt;kong_api_url&gt;",$Q105),"&lt;route_name&gt;",$H105),"&lt;service_name&gt;",$G105),"&lt;host&gt;",$O105),"&lt;path&gt;",$P105)</f>
        <v>curl -X PUT http://172.20.149.80:8001/services/svc-v630-das_middleware_load_test_5/routes/route-v510-v630-das_middleware_load_test_5 -H "Content-Type: application/json" -d '{"protocols":["http"],"hosts":["172.20.150.71"],"paths":["/dmz630/das_middleware_load_test_5"]}'</v>
      </c>
      <c r="U105" t="str">
        <f t="shared" si="7"/>
        <v>curl -X POST http://172.20.149.80:8001/upstreams/ups-v630-das_middleware_load_test_5/targets -d 'target=172.20.151.110:31056'</v>
      </c>
      <c r="V105" t="str">
        <f t="shared" si="8"/>
        <v>curl -X POST http://172.20.149.80:8001/upstreams/ups-v630-das_middleware_load_test_5/targets -d 'target=172.20.151.111:31056'</v>
      </c>
      <c r="W105" t="str">
        <f t="shared" si="9"/>
        <v>curl -X POST http://172.20.149.80:8001/upstreams/ups-v630-das_middleware_load_test_5/targets -d 'target=172.20.151.112:31056'</v>
      </c>
      <c r="X105" t="str">
        <f t="shared" si="10"/>
        <v/>
      </c>
      <c r="Y105" t="str">
        <f t="shared" si="11"/>
        <v/>
      </c>
      <c r="Z105" t="str">
        <f t="shared" si="12"/>
        <v/>
      </c>
    </row>
    <row r="106" spans="1:26">
      <c r="A106">
        <f>IF(ISNUMBER(SEARCH("rest_api",svc!R105)),1,0)</f>
        <v>1</v>
      </c>
      <c r="C106" t="str">
        <f>svc!D105</f>
        <v>dmz</v>
      </c>
      <c r="D106" t="str">
        <f>svc!$B105</f>
        <v>v630</v>
      </c>
      <c r="E106">
        <f>svc!G105</f>
        <v>31114</v>
      </c>
      <c r="F106" t="str">
        <f>CONCATENATE("ups-",svc!$B105,"-",svc!I105)</f>
        <v>ups-v630-das_middleware_lrt</v>
      </c>
      <c r="G106" t="str">
        <f>CONCATENATE("svc-",svc!$B105,"-",svc!I105)</f>
        <v>svc-v630-das_middleware_lrt</v>
      </c>
      <c r="H106" t="str">
        <f>CONCATENATE("route-",VLOOKUP($D106,kong_p2_var!$B$10:$D$16,2,FALSE),"-",svc!$B105,"-",svc!I105)</f>
        <v>route-v510-v630-das_middleware_lrt</v>
      </c>
      <c r="I106" t="str">
        <f>CONCATENATE(VLOOKUP($D106,kong_p2_var!$B$20:$H$26,SUBSTITUTE(I$1,"target_","") + 1,FALSE),":",$E106)</f>
        <v>172.20.151.110:31114</v>
      </c>
      <c r="J106" t="str">
        <f>CONCATENATE(VLOOKUP($D106,kong_p2_var!$B$20:$H$26,SUBSTITUTE(J$1,"target_","") + 1,FALSE),":",$E106)</f>
        <v>172.20.151.111:31114</v>
      </c>
      <c r="K106" t="str">
        <f>CONCATENATE(VLOOKUP($D106,kong_p2_var!$B$20:$H$26,SUBSTITUTE(K$1,"target_","") + 1,FALSE),":",$E106)</f>
        <v>172.20.151.112:31114</v>
      </c>
      <c r="L106" t="str">
        <f>IF($C106="dmz","",CONCATENATE(VLOOKUP($D106,kong_p2_var!$B$20:$H$26,SUBSTITUTE(L$1,"target_","") + 1,FALSE),":",$E106))</f>
        <v/>
      </c>
      <c r="M106" t="str">
        <f>IF($C106="dmz","",CONCATENATE(VLOOKUP($D106,kong_p2_var!$B$20:$H$26,SUBSTITUTE(M$1,"target_","") + 1,FALSE),":",$E106))</f>
        <v/>
      </c>
      <c r="N106" t="str">
        <f>IF($C106="dmz","",CONCATENATE(VLOOKUP($D106,kong_p2_var!$B$20:$H$26,SUBSTITUTE(N$1,"target_","") + 1,FALSE),":",$E106))</f>
        <v/>
      </c>
      <c r="O106" t="str">
        <f>VLOOKUP($D106,kong_p2_var!$B$10:$D$16,3,FALSE)</f>
        <v>172.20.150.71</v>
      </c>
      <c r="P106" t="str">
        <f>CONCATENATE("/",C106,MID(D106,2,15),"/",svc!$I105)</f>
        <v>/dmz630/das_middleware_lrt</v>
      </c>
      <c r="Q106" t="str">
        <f>VLOOKUP(C106,kong_p2_var!$B$6:$C$7,2,FALSE)</f>
        <v>http://172.20.149.80:8001</v>
      </c>
      <c r="R106" t="str">
        <f>SUBSTITUTE(SUBSTITUTE(kong_p2_var!$J$1,"&lt;upstream_name&gt;",$F106),"&lt;kong_api_url&gt;",$Q106)</f>
        <v>curl -X PUT http://172.20.149.80:8001/upstreams/ups-v630-das_middleware_lrt</v>
      </c>
      <c r="S106" t="str">
        <f>SUBSTITUTE(SUBSTITUTE(SUBSTITUTE(SUBSTITUTE(kong_p2_var!$J$2,"&lt;kong_api_url&gt;",$Q106),"&lt;upstream_name&gt;",$F106),"&lt;port&gt;",$E106),"&lt;service_name&gt;",$G106)</f>
        <v>curl -X PUT http://172.20.149.80:8001/services/svc-v630-das_middleware_lrt -H "Content-Type: application/json" -d '{"protocol":"http","host":"ups-v630-das_middleware_lrt","port":31114}'</v>
      </c>
      <c r="T106" t="str">
        <f>SUBSTITUTE(SUBSTITUTE(SUBSTITUTE(SUBSTITUTE(SUBSTITUTE(kong_p2_var!$J$3,"&lt;kong_api_url&gt;",$Q106),"&lt;route_name&gt;",$H106),"&lt;service_name&gt;",$G106),"&lt;host&gt;",$O106),"&lt;path&gt;",$P106)</f>
        <v>curl -X PUT http://172.20.149.80:8001/services/svc-v630-das_middleware_lrt/routes/route-v510-v630-das_middleware_lrt -H "Content-Type: application/json" -d '{"protocols":["http"],"hosts":["172.20.150.71"],"paths":["/dmz630/das_middleware_lrt"]}'</v>
      </c>
      <c r="U106" t="str">
        <f t="shared" si="7"/>
        <v>curl -X POST http://172.20.149.80:8001/upstreams/ups-v630-das_middleware_lrt/targets -d 'target=172.20.151.110:31114'</v>
      </c>
      <c r="V106" t="str">
        <f t="shared" si="8"/>
        <v>curl -X POST http://172.20.149.80:8001/upstreams/ups-v630-das_middleware_lrt/targets -d 'target=172.20.151.111:31114'</v>
      </c>
      <c r="W106" t="str">
        <f t="shared" si="9"/>
        <v>curl -X POST http://172.20.149.80:8001/upstreams/ups-v630-das_middleware_lrt/targets -d 'target=172.20.151.112:31114'</v>
      </c>
      <c r="X106" t="str">
        <f t="shared" si="10"/>
        <v/>
      </c>
      <c r="Y106" t="str">
        <f t="shared" si="11"/>
        <v/>
      </c>
      <c r="Z106" t="str">
        <f t="shared" si="12"/>
        <v/>
      </c>
    </row>
    <row r="107" spans="1:26">
      <c r="A107">
        <f>IF(ISNUMBER(SEARCH("rest_api",svc!R106)),1,0)</f>
        <v>1</v>
      </c>
      <c r="C107" t="str">
        <f>svc!D106</f>
        <v>dmz</v>
      </c>
      <c r="D107" t="str">
        <f>svc!$B106</f>
        <v>v630</v>
      </c>
      <c r="E107">
        <f>svc!G106</f>
        <v>31115</v>
      </c>
      <c r="F107" t="str">
        <f>CONCATENATE("ups-",svc!$B106,"-",svc!I106)</f>
        <v>ups-v630-das_middleware_smt</v>
      </c>
      <c r="G107" t="str">
        <f>CONCATENATE("svc-",svc!$B106,"-",svc!I106)</f>
        <v>svc-v630-das_middleware_smt</v>
      </c>
      <c r="H107" t="str">
        <f>CONCATENATE("route-",VLOOKUP($D107,kong_p2_var!$B$10:$D$16,2,FALSE),"-",svc!$B106,"-",svc!I106)</f>
        <v>route-v510-v630-das_middleware_smt</v>
      </c>
      <c r="I107" t="str">
        <f>CONCATENATE(VLOOKUP($D107,kong_p2_var!$B$20:$H$26,SUBSTITUTE(I$1,"target_","") + 1,FALSE),":",$E107)</f>
        <v>172.20.151.110:31115</v>
      </c>
      <c r="J107" t="str">
        <f>CONCATENATE(VLOOKUP($D107,kong_p2_var!$B$20:$H$26,SUBSTITUTE(J$1,"target_","") + 1,FALSE),":",$E107)</f>
        <v>172.20.151.111:31115</v>
      </c>
      <c r="K107" t="str">
        <f>CONCATENATE(VLOOKUP($D107,kong_p2_var!$B$20:$H$26,SUBSTITUTE(K$1,"target_","") + 1,FALSE),":",$E107)</f>
        <v>172.20.151.112:31115</v>
      </c>
      <c r="L107" t="str">
        <f>IF($C107="dmz","",CONCATENATE(VLOOKUP($D107,kong_p2_var!$B$20:$H$26,SUBSTITUTE(L$1,"target_","") + 1,FALSE),":",$E107))</f>
        <v/>
      </c>
      <c r="M107" t="str">
        <f>IF($C107="dmz","",CONCATENATE(VLOOKUP($D107,kong_p2_var!$B$20:$H$26,SUBSTITUTE(M$1,"target_","") + 1,FALSE),":",$E107))</f>
        <v/>
      </c>
      <c r="N107" t="str">
        <f>IF($C107="dmz","",CONCATENATE(VLOOKUP($D107,kong_p2_var!$B$20:$H$26,SUBSTITUTE(N$1,"target_","") + 1,FALSE),":",$E107))</f>
        <v/>
      </c>
      <c r="O107" t="str">
        <f>VLOOKUP($D107,kong_p2_var!$B$10:$D$16,3,FALSE)</f>
        <v>172.20.150.71</v>
      </c>
      <c r="P107" t="str">
        <f>CONCATENATE("/",C107,MID(D107,2,15),"/",svc!$I106)</f>
        <v>/dmz630/das_middleware_smt</v>
      </c>
      <c r="Q107" t="str">
        <f>VLOOKUP(C107,kong_p2_var!$B$6:$C$7,2,FALSE)</f>
        <v>http://172.20.149.80:8001</v>
      </c>
      <c r="R107" t="str">
        <f>SUBSTITUTE(SUBSTITUTE(kong_p2_var!$J$1,"&lt;upstream_name&gt;",$F107),"&lt;kong_api_url&gt;",$Q107)</f>
        <v>curl -X PUT http://172.20.149.80:8001/upstreams/ups-v630-das_middleware_smt</v>
      </c>
      <c r="S107" t="str">
        <f>SUBSTITUTE(SUBSTITUTE(SUBSTITUTE(SUBSTITUTE(kong_p2_var!$J$2,"&lt;kong_api_url&gt;",$Q107),"&lt;upstream_name&gt;",$F107),"&lt;port&gt;",$E107),"&lt;service_name&gt;",$G107)</f>
        <v>curl -X PUT http://172.20.149.80:8001/services/svc-v630-das_middleware_smt -H "Content-Type: application/json" -d '{"protocol":"http","host":"ups-v630-das_middleware_smt","port":31115}'</v>
      </c>
      <c r="T107" t="str">
        <f>SUBSTITUTE(SUBSTITUTE(SUBSTITUTE(SUBSTITUTE(SUBSTITUTE(kong_p2_var!$J$3,"&lt;kong_api_url&gt;",$Q107),"&lt;route_name&gt;",$H107),"&lt;service_name&gt;",$G107),"&lt;host&gt;",$O107),"&lt;path&gt;",$P107)</f>
        <v>curl -X PUT http://172.20.149.80:8001/services/svc-v630-das_middleware_smt/routes/route-v510-v630-das_middleware_smt -H "Content-Type: application/json" -d '{"protocols":["http"],"hosts":["172.20.150.71"],"paths":["/dmz630/das_middleware_smt"]}'</v>
      </c>
      <c r="U107" t="str">
        <f t="shared" si="7"/>
        <v>curl -X POST http://172.20.149.80:8001/upstreams/ups-v630-das_middleware_smt/targets -d 'target=172.20.151.110:31115'</v>
      </c>
      <c r="V107" t="str">
        <f t="shared" si="8"/>
        <v>curl -X POST http://172.20.149.80:8001/upstreams/ups-v630-das_middleware_smt/targets -d 'target=172.20.151.111:31115'</v>
      </c>
      <c r="W107" t="str">
        <f t="shared" si="9"/>
        <v>curl -X POST http://172.20.149.80:8001/upstreams/ups-v630-das_middleware_smt/targets -d 'target=172.20.151.112:31115'</v>
      </c>
      <c r="X107" t="str">
        <f t="shared" si="10"/>
        <v/>
      </c>
      <c r="Y107" t="str">
        <f t="shared" si="11"/>
        <v/>
      </c>
      <c r="Z107" t="str">
        <f t="shared" si="12"/>
        <v/>
      </c>
    </row>
    <row r="108" spans="1:26">
      <c r="A108">
        <f>IF(ISNUMBER(SEARCH("rest_api",svc!R107)),1,0)</f>
        <v>1</v>
      </c>
      <c r="C108" t="str">
        <f>svc!D107</f>
        <v>dmz</v>
      </c>
      <c r="D108" t="str">
        <f>svc!$B107</f>
        <v>v630</v>
      </c>
      <c r="E108">
        <f>svc!G107</f>
        <v>31124</v>
      </c>
      <c r="F108" t="str">
        <f>CONCATENATE("ups-",svc!$B107,"-",svc!I107)</f>
        <v>ups-v630-das_middleware_lrt_video</v>
      </c>
      <c r="G108" t="str">
        <f>CONCATENATE("svc-",svc!$B107,"-",svc!I107)</f>
        <v>svc-v630-das_middleware_lrt_video</v>
      </c>
      <c r="H108" t="str">
        <f>CONCATENATE("route-",VLOOKUP($D108,kong_p2_var!$B$10:$D$16,2,FALSE),"-",svc!$B107,"-",svc!I107)</f>
        <v>route-v510-v630-das_middleware_lrt_video</v>
      </c>
      <c r="I108" t="str">
        <f>CONCATENATE(VLOOKUP($D108,kong_p2_var!$B$20:$H$26,SUBSTITUTE(I$1,"target_","") + 1,FALSE),":",$E108)</f>
        <v>172.20.151.110:31124</v>
      </c>
      <c r="J108" t="str">
        <f>CONCATENATE(VLOOKUP($D108,kong_p2_var!$B$20:$H$26,SUBSTITUTE(J$1,"target_","") + 1,FALSE),":",$E108)</f>
        <v>172.20.151.111:31124</v>
      </c>
      <c r="K108" t="str">
        <f>CONCATENATE(VLOOKUP($D108,kong_p2_var!$B$20:$H$26,SUBSTITUTE(K$1,"target_","") + 1,FALSE),":",$E108)</f>
        <v>172.20.151.112:31124</v>
      </c>
      <c r="L108" t="str">
        <f>IF($C108="dmz","",CONCATENATE(VLOOKUP($D108,kong_p2_var!$B$20:$H$26,SUBSTITUTE(L$1,"target_","") + 1,FALSE),":",$E108))</f>
        <v/>
      </c>
      <c r="M108" t="str">
        <f>IF($C108="dmz","",CONCATENATE(VLOOKUP($D108,kong_p2_var!$B$20:$H$26,SUBSTITUTE(M$1,"target_","") + 1,FALSE),":",$E108))</f>
        <v/>
      </c>
      <c r="N108" t="str">
        <f>IF($C108="dmz","",CONCATENATE(VLOOKUP($D108,kong_p2_var!$B$20:$H$26,SUBSTITUTE(N$1,"target_","") + 1,FALSE),":",$E108))</f>
        <v/>
      </c>
      <c r="O108" t="str">
        <f>VLOOKUP($D108,kong_p2_var!$B$10:$D$16,3,FALSE)</f>
        <v>172.20.150.71</v>
      </c>
      <c r="P108" t="str">
        <f>CONCATENATE("/",C108,MID(D108,2,15),"/",svc!$I107)</f>
        <v>/dmz630/das_middleware_lrt_video</v>
      </c>
      <c r="Q108" t="str">
        <f>VLOOKUP(C108,kong_p2_var!$B$6:$C$7,2,FALSE)</f>
        <v>http://172.20.149.80:8001</v>
      </c>
      <c r="R108" t="str">
        <f>SUBSTITUTE(SUBSTITUTE(kong_p2_var!$J$1,"&lt;upstream_name&gt;",$F108),"&lt;kong_api_url&gt;",$Q108)</f>
        <v>curl -X PUT http://172.20.149.80:8001/upstreams/ups-v630-das_middleware_lrt_video</v>
      </c>
      <c r="S108" t="str">
        <f>SUBSTITUTE(SUBSTITUTE(SUBSTITUTE(SUBSTITUTE(kong_p2_var!$J$2,"&lt;kong_api_url&gt;",$Q108),"&lt;upstream_name&gt;",$F108),"&lt;port&gt;",$E108),"&lt;service_name&gt;",$G108)</f>
        <v>curl -X PUT http://172.20.149.80:8001/services/svc-v630-das_middleware_lrt_video -H "Content-Type: application/json" -d '{"protocol":"http","host":"ups-v630-das_middleware_lrt_video","port":31124}'</v>
      </c>
      <c r="T108" t="str">
        <f>SUBSTITUTE(SUBSTITUTE(SUBSTITUTE(SUBSTITUTE(SUBSTITUTE(kong_p2_var!$J$3,"&lt;kong_api_url&gt;",$Q108),"&lt;route_name&gt;",$H108),"&lt;service_name&gt;",$G108),"&lt;host&gt;",$O108),"&lt;path&gt;",$P108)</f>
        <v>curl -X PUT http://172.20.149.80:8001/services/svc-v630-das_middleware_lrt_video/routes/route-v510-v630-das_middleware_lrt_video -H "Content-Type: application/json" -d '{"protocols":["http"],"hosts":["172.20.150.71"],"paths":["/dmz630/das_middleware_lrt_video"]}'</v>
      </c>
      <c r="U108" t="str">
        <f t="shared" si="7"/>
        <v>curl -X POST http://172.20.149.80:8001/upstreams/ups-v630-das_middleware_lrt_video/targets -d 'target=172.20.151.110:31124'</v>
      </c>
      <c r="V108" t="str">
        <f t="shared" si="8"/>
        <v>curl -X POST http://172.20.149.80:8001/upstreams/ups-v630-das_middleware_lrt_video/targets -d 'target=172.20.151.111:31124'</v>
      </c>
      <c r="W108" t="str">
        <f t="shared" si="9"/>
        <v>curl -X POST http://172.20.149.80:8001/upstreams/ups-v630-das_middleware_lrt_video/targets -d 'target=172.20.151.112:31124'</v>
      </c>
      <c r="X108" t="str">
        <f t="shared" si="10"/>
        <v/>
      </c>
      <c r="Y108" t="str">
        <f t="shared" si="11"/>
        <v/>
      </c>
      <c r="Z108" t="str">
        <f t="shared" si="12"/>
        <v/>
      </c>
    </row>
    <row r="109" spans="1:26">
      <c r="A109">
        <f>IF(ISNUMBER(SEARCH("rest_api",svc!R108)),1,0)</f>
        <v>1</v>
      </c>
      <c r="C109" t="str">
        <f>svc!D108</f>
        <v>dmz</v>
      </c>
      <c r="D109" t="str">
        <f>svc!$B108</f>
        <v>v630</v>
      </c>
      <c r="E109">
        <f>svc!G108</f>
        <v>31125</v>
      </c>
      <c r="F109" t="str">
        <f>CONCATENATE("ups-",svc!$B108,"-",svc!I108)</f>
        <v>ups-v630-das_middleware_smt_video</v>
      </c>
      <c r="G109" t="str">
        <f>CONCATENATE("svc-",svc!$B108,"-",svc!I108)</f>
        <v>svc-v630-das_middleware_smt_video</v>
      </c>
      <c r="H109" t="str">
        <f>CONCATENATE("route-",VLOOKUP($D109,kong_p2_var!$B$10:$D$16,2,FALSE),"-",svc!$B108,"-",svc!I108)</f>
        <v>route-v510-v630-das_middleware_smt_video</v>
      </c>
      <c r="I109" t="str">
        <f>CONCATENATE(VLOOKUP($D109,kong_p2_var!$B$20:$H$26,SUBSTITUTE(I$1,"target_","") + 1,FALSE),":",$E109)</f>
        <v>172.20.151.110:31125</v>
      </c>
      <c r="J109" t="str">
        <f>CONCATENATE(VLOOKUP($D109,kong_p2_var!$B$20:$H$26,SUBSTITUTE(J$1,"target_","") + 1,FALSE),":",$E109)</f>
        <v>172.20.151.111:31125</v>
      </c>
      <c r="K109" t="str">
        <f>CONCATENATE(VLOOKUP($D109,kong_p2_var!$B$20:$H$26,SUBSTITUTE(K$1,"target_","") + 1,FALSE),":",$E109)</f>
        <v>172.20.151.112:31125</v>
      </c>
      <c r="L109" t="str">
        <f>IF($C109="dmz","",CONCATENATE(VLOOKUP($D109,kong_p2_var!$B$20:$H$26,SUBSTITUTE(L$1,"target_","") + 1,FALSE),":",$E109))</f>
        <v/>
      </c>
      <c r="M109" t="str">
        <f>IF($C109="dmz","",CONCATENATE(VLOOKUP($D109,kong_p2_var!$B$20:$H$26,SUBSTITUTE(M$1,"target_","") + 1,FALSE),":",$E109))</f>
        <v/>
      </c>
      <c r="N109" t="str">
        <f>IF($C109="dmz","",CONCATENATE(VLOOKUP($D109,kong_p2_var!$B$20:$H$26,SUBSTITUTE(N$1,"target_","") + 1,FALSE),":",$E109))</f>
        <v/>
      </c>
      <c r="O109" t="str">
        <f>VLOOKUP($D109,kong_p2_var!$B$10:$D$16,3,FALSE)</f>
        <v>172.20.150.71</v>
      </c>
      <c r="P109" t="str">
        <f>CONCATENATE("/",C109,MID(D109,2,15),"/",svc!$I108)</f>
        <v>/dmz630/das_middleware_smt_video</v>
      </c>
      <c r="Q109" t="str">
        <f>VLOOKUP(C109,kong_p2_var!$B$6:$C$7,2,FALSE)</f>
        <v>http://172.20.149.80:8001</v>
      </c>
      <c r="R109" t="str">
        <f>SUBSTITUTE(SUBSTITUTE(kong_p2_var!$J$1,"&lt;upstream_name&gt;",$F109),"&lt;kong_api_url&gt;",$Q109)</f>
        <v>curl -X PUT http://172.20.149.80:8001/upstreams/ups-v630-das_middleware_smt_video</v>
      </c>
      <c r="S109" t="str">
        <f>SUBSTITUTE(SUBSTITUTE(SUBSTITUTE(SUBSTITUTE(kong_p2_var!$J$2,"&lt;kong_api_url&gt;",$Q109),"&lt;upstream_name&gt;",$F109),"&lt;port&gt;",$E109),"&lt;service_name&gt;",$G109)</f>
        <v>curl -X PUT http://172.20.149.80:8001/services/svc-v630-das_middleware_smt_video -H "Content-Type: application/json" -d '{"protocol":"http","host":"ups-v630-das_middleware_smt_video","port":31125}'</v>
      </c>
      <c r="T109" t="str">
        <f>SUBSTITUTE(SUBSTITUTE(SUBSTITUTE(SUBSTITUTE(SUBSTITUTE(kong_p2_var!$J$3,"&lt;kong_api_url&gt;",$Q109),"&lt;route_name&gt;",$H109),"&lt;service_name&gt;",$G109),"&lt;host&gt;",$O109),"&lt;path&gt;",$P109)</f>
        <v>curl -X PUT http://172.20.149.80:8001/services/svc-v630-das_middleware_smt_video/routes/route-v510-v630-das_middleware_smt_video -H "Content-Type: application/json" -d '{"protocols":["http"],"hosts":["172.20.150.71"],"paths":["/dmz630/das_middleware_smt_video"]}'</v>
      </c>
      <c r="U109" t="str">
        <f t="shared" ref="U109:U110" si="13">IF(I109="","","curl -X POST " &amp; $Q109 &amp; "/upstreams/"&amp; $F109 &amp;"/targets -d 'target="&amp; I109 &amp; "'")</f>
        <v>curl -X POST http://172.20.149.80:8001/upstreams/ups-v630-das_middleware_smt_video/targets -d 'target=172.20.151.110:31125'</v>
      </c>
      <c r="V109" t="str">
        <f t="shared" ref="V109:V110" si="14">IF(J109="","","curl -X POST " &amp; $Q109 &amp; "/upstreams/"&amp; $F109 &amp;"/targets -d 'target="&amp; J109 &amp; "'")</f>
        <v>curl -X POST http://172.20.149.80:8001/upstreams/ups-v630-das_middleware_smt_video/targets -d 'target=172.20.151.111:31125'</v>
      </c>
      <c r="W109" t="str">
        <f t="shared" ref="W109:W110" si="15">IF(K109="","","curl -X POST " &amp; $Q109 &amp; "/upstreams/"&amp; $F109 &amp;"/targets -d 'target="&amp; K109 &amp; "'")</f>
        <v>curl -X POST http://172.20.149.80:8001/upstreams/ups-v630-das_middleware_smt_video/targets -d 'target=172.20.151.112:31125'</v>
      </c>
      <c r="X109" t="str">
        <f t="shared" ref="X109:X110" si="16">IF(L109="","","curl -X POST " &amp; $Q109 &amp; "/upstreams/"&amp; $F109 &amp;"/targets -d 'target="&amp; L109 &amp; "'")</f>
        <v/>
      </c>
      <c r="Y109" t="str">
        <f t="shared" ref="Y109:Y110" si="17">IF(M109="","","curl -X POST " &amp; $Q109 &amp; "/upstreams/"&amp; $F109 &amp;"/targets -d 'target="&amp; M109 &amp; "'")</f>
        <v/>
      </c>
      <c r="Z109" t="str">
        <f t="shared" ref="Z109:Z110" si="18">IF(N109="","","curl -X POST " &amp; $Q109 &amp; "/upstreams/"&amp; $F109 &amp;"/targets -d 'target="&amp; N109 &amp; "'")</f>
        <v/>
      </c>
    </row>
    <row r="110" spans="1:26">
      <c r="A110">
        <f>IF(ISNUMBER(SEARCH("rest_api",svc!R109)),1,0)</f>
        <v>1</v>
      </c>
      <c r="C110" t="str">
        <f>svc!D109</f>
        <v>dmz</v>
      </c>
      <c r="D110" t="str">
        <f>svc!$B109</f>
        <v>v630</v>
      </c>
      <c r="E110">
        <f>svc!G109</f>
        <v>31129</v>
      </c>
      <c r="F110" t="str">
        <f>CONCATENATE("ups-",svc!$B109,"-",svc!I109)</f>
        <v>ups-v630-das_middleware_video</v>
      </c>
      <c r="G110" t="str">
        <f>CONCATENATE("svc-",svc!$B109,"-",svc!I109)</f>
        <v>svc-v630-das_middleware_video</v>
      </c>
      <c r="H110" t="str">
        <f>CONCATENATE("route-",VLOOKUP($D110,kong_p2_var!$B$10:$D$16,2,FALSE),"-",svc!$B109,"-",svc!I109)</f>
        <v>route-v510-v630-das_middleware_video</v>
      </c>
      <c r="I110" t="str">
        <f>CONCATENATE(VLOOKUP($D110,kong_p2_var!$B$20:$H$26,SUBSTITUTE(I$1,"target_","") + 1,FALSE),":",$E110)</f>
        <v>172.20.151.110:31129</v>
      </c>
      <c r="J110" t="str">
        <f>CONCATENATE(VLOOKUP($D110,kong_p2_var!$B$20:$H$26,SUBSTITUTE(J$1,"target_","") + 1,FALSE),":",$E110)</f>
        <v>172.20.151.111:31129</v>
      </c>
      <c r="K110" t="str">
        <f>CONCATENATE(VLOOKUP($D110,kong_p2_var!$B$20:$H$26,SUBSTITUTE(K$1,"target_","") + 1,FALSE),":",$E110)</f>
        <v>172.20.151.112:31129</v>
      </c>
      <c r="L110" t="str">
        <f>IF($C110="dmz","",CONCATENATE(VLOOKUP($D110,kong_p2_var!$B$20:$H$26,SUBSTITUTE(L$1,"target_","") + 1,FALSE),":",$E110))</f>
        <v/>
      </c>
      <c r="M110" t="str">
        <f>IF($C110="dmz","",CONCATENATE(VLOOKUP($D110,kong_p2_var!$B$20:$H$26,SUBSTITUTE(M$1,"target_","") + 1,FALSE),":",$E110))</f>
        <v/>
      </c>
      <c r="N110" t="str">
        <f>IF($C110="dmz","",CONCATENATE(VLOOKUP($D110,kong_p2_var!$B$20:$H$26,SUBSTITUTE(N$1,"target_","") + 1,FALSE),":",$E110))</f>
        <v/>
      </c>
      <c r="O110" t="str">
        <f>VLOOKUP($D110,kong_p2_var!$B$10:$D$16,3,FALSE)</f>
        <v>172.20.150.71</v>
      </c>
      <c r="P110" t="str">
        <f>CONCATENATE("/",C110,MID(D110,2,15),"/",svc!$I109)</f>
        <v>/dmz630/das_middleware_video</v>
      </c>
      <c r="Q110" t="str">
        <f>VLOOKUP(C110,kong_p2_var!$B$6:$C$7,2,FALSE)</f>
        <v>http://172.20.149.80:8001</v>
      </c>
      <c r="R110" t="str">
        <f>SUBSTITUTE(SUBSTITUTE(kong_p2_var!$J$1,"&lt;upstream_name&gt;",$F110),"&lt;kong_api_url&gt;",$Q110)</f>
        <v>curl -X PUT http://172.20.149.80:8001/upstreams/ups-v630-das_middleware_video</v>
      </c>
      <c r="S110" t="str">
        <f>SUBSTITUTE(SUBSTITUTE(SUBSTITUTE(SUBSTITUTE(kong_p2_var!$J$2,"&lt;kong_api_url&gt;",$Q110),"&lt;upstream_name&gt;",$F110),"&lt;port&gt;",$E110),"&lt;service_name&gt;",$G110)</f>
        <v>curl -X PUT http://172.20.149.80:8001/services/svc-v630-das_middleware_video -H "Content-Type: application/json" -d '{"protocol":"http","host":"ups-v630-das_middleware_video","port":31129}'</v>
      </c>
      <c r="T110" t="str">
        <f>SUBSTITUTE(SUBSTITUTE(SUBSTITUTE(SUBSTITUTE(SUBSTITUTE(kong_p2_var!$J$3,"&lt;kong_api_url&gt;",$Q110),"&lt;route_name&gt;",$H110),"&lt;service_name&gt;",$G110),"&lt;host&gt;",$O110),"&lt;path&gt;",$P110)</f>
        <v>curl -X PUT http://172.20.149.80:8001/services/svc-v630-das_middleware_video/routes/route-v510-v630-das_middleware_video -H "Content-Type: application/json" -d '{"protocols":["http"],"hosts":["172.20.150.71"],"paths":["/dmz630/das_middleware_video"]}'</v>
      </c>
      <c r="U110" t="str">
        <f t="shared" si="13"/>
        <v>curl -X POST http://172.20.149.80:8001/upstreams/ups-v630-das_middleware_video/targets -d 'target=172.20.151.110:31129'</v>
      </c>
      <c r="V110" t="str">
        <f t="shared" si="14"/>
        <v>curl -X POST http://172.20.149.80:8001/upstreams/ups-v630-das_middleware_video/targets -d 'target=172.20.151.111:31129'</v>
      </c>
      <c r="W110" t="str">
        <f t="shared" si="15"/>
        <v>curl -X POST http://172.20.149.80:8001/upstreams/ups-v630-das_middleware_video/targets -d 'target=172.20.151.112:31129'</v>
      </c>
      <c r="X110" t="str">
        <f t="shared" si="16"/>
        <v/>
      </c>
      <c r="Y110" t="str">
        <f t="shared" si="17"/>
        <v/>
      </c>
      <c r="Z110" t="str">
        <f t="shared" si="18"/>
        <v/>
      </c>
    </row>
    <row r="111" spans="1:26">
      <c r="A111">
        <f>IF(ISNUMBER(SEARCH("rest_api",svc!R110)),1,0)</f>
        <v>1</v>
      </c>
      <c r="C111" t="str">
        <f>svc!D110</f>
        <v>trust</v>
      </c>
      <c r="D111" t="str">
        <f>svc!$B110</f>
        <v>v910</v>
      </c>
      <c r="E111">
        <f>svc!G110</f>
        <v>31313</v>
      </c>
      <c r="F111" t="str">
        <f>CONCATENATE("ups-",svc!$B110,"-",svc!I110)</f>
        <v>ups-v910-ccs_api</v>
      </c>
      <c r="G111" t="str">
        <f>CONCATENATE("svc-",svc!$B110,"-",svc!I110)</f>
        <v>svc-v910-ccs_api</v>
      </c>
      <c r="H111" t="str">
        <f>CONCATENATE("route-",VLOOKUP($D111,kong_p2_var!$B$10:$D$16,2,FALSE),"-",svc!$B110,"-",svc!I110)</f>
        <v>route-v904-v910-ccs_api</v>
      </c>
      <c r="I111" t="str">
        <f>CONCATENATE(VLOOKUP($D111,kong_p2_var!$B$20:$H$26,SUBSTITUTE(I$1,"target_","") + 1,FALSE),":",$E111)</f>
        <v>172.20.151.3:31313</v>
      </c>
      <c r="J111" t="str">
        <f>CONCATENATE(VLOOKUP($D111,kong_p2_var!$B$20:$H$26,SUBSTITUTE(J$1,"target_","") + 1,FALSE),":",$E111)</f>
        <v>172.20.151.4:31313</v>
      </c>
      <c r="K111" t="str">
        <f>CONCATENATE(VLOOKUP($D111,kong_p2_var!$B$20:$H$26,SUBSTITUTE(K$1,"target_","") + 1,FALSE),":",$E111)</f>
        <v>172.20.151.5:31313</v>
      </c>
      <c r="L111" t="str">
        <f>IF($C111="dmz","",CONCATENATE(VLOOKUP($D111,kong_p2_var!$B$20:$H$26,SUBSTITUTE(L$1,"target_","") + 1,FALSE),":",$E111))</f>
        <v>172.20.151.6:31313</v>
      </c>
      <c r="M111" t="str">
        <f>IF($C111="dmz","",CONCATENATE(VLOOKUP($D111,kong_p2_var!$B$20:$H$26,SUBSTITUTE(M$1,"target_","") + 1,FALSE),":",$E111))</f>
        <v>172.20.151.7:31313</v>
      </c>
      <c r="N111" t="str">
        <f>IF($C111="dmz","",CONCATENATE(VLOOKUP($D111,kong_p2_var!$B$20:$H$26,SUBSTITUTE(N$1,"target_","") + 1,FALSE),":",$E111))</f>
        <v>172.20.151.8:31313</v>
      </c>
      <c r="O111" t="str">
        <f>VLOOKUP($D111,kong_p2_var!$B$10:$D$16,3,FALSE)</f>
        <v>172.20.149.167</v>
      </c>
      <c r="P111" t="str">
        <f>CONCATENATE("/",C111,MID(D111,2,15),"/",svc!$I110)</f>
        <v>/trust910/ccs_api</v>
      </c>
      <c r="Q111" t="str">
        <f>VLOOKUP(C111,kong_p2_var!$B$6:$C$7,2,FALSE)</f>
        <v>http://172.20.148.160:8001</v>
      </c>
      <c r="R111" t="str">
        <f>SUBSTITUTE(SUBSTITUTE(kong_p2_var!$J$1,"&lt;upstream_name&gt;",$F111),"&lt;kong_api_url&gt;",$Q111)</f>
        <v>curl -X PUT http://172.20.148.160:8001/upstreams/ups-v910-ccs_api</v>
      </c>
      <c r="S111" t="str">
        <f>SUBSTITUTE(SUBSTITUTE(SUBSTITUTE(SUBSTITUTE(kong_p2_var!$J$2,"&lt;kong_api_url&gt;",$Q111),"&lt;upstream_name&gt;",$F111),"&lt;port&gt;",$E111),"&lt;service_name&gt;",$G111)</f>
        <v>curl -X PUT http://172.20.148.160:8001/services/svc-v910-ccs_api -H "Content-Type: application/json" -d '{"protocol":"http","host":"ups-v910-ccs_api","port":31313}'</v>
      </c>
      <c r="T111" t="str">
        <f>SUBSTITUTE(SUBSTITUTE(SUBSTITUTE(SUBSTITUTE(SUBSTITUTE(kong_p2_var!$J$3,"&lt;kong_api_url&gt;",$Q111),"&lt;route_name&gt;",$H111),"&lt;service_name&gt;",$G111),"&lt;host&gt;",$O111),"&lt;path&gt;",$P111)</f>
        <v>curl -X PUT http://172.20.148.160:8001/services/svc-v910-ccs_api/routes/route-v904-v910-ccs_api -H "Content-Type: application/json" -d '{"protocols":["http"],"hosts":["172.20.149.167"],"paths":["/trust910/ccs_api"]}'</v>
      </c>
      <c r="U111" t="str">
        <f t="shared" ref="U111:U115" si="19">IF(I111="","","curl -X POST " &amp; $Q111 &amp; "/upstreams/"&amp; $F111 &amp;"/targets -d 'target="&amp; I111 &amp; "'")</f>
        <v>curl -X POST http://172.20.148.160:8001/upstreams/ups-v910-ccs_api/targets -d 'target=172.20.151.3:31313'</v>
      </c>
      <c r="V111" t="str">
        <f t="shared" ref="V111:V115" si="20">IF(J111="","","curl -X POST " &amp; $Q111 &amp; "/upstreams/"&amp; $F111 &amp;"/targets -d 'target="&amp; J111 &amp; "'")</f>
        <v>curl -X POST http://172.20.148.160:8001/upstreams/ups-v910-ccs_api/targets -d 'target=172.20.151.4:31313'</v>
      </c>
      <c r="W111" t="str">
        <f t="shared" ref="W111:W115" si="21">IF(K111="","","curl -X POST " &amp; $Q111 &amp; "/upstreams/"&amp; $F111 &amp;"/targets -d 'target="&amp; K111 &amp; "'")</f>
        <v>curl -X POST http://172.20.148.160:8001/upstreams/ups-v910-ccs_api/targets -d 'target=172.20.151.5:31313'</v>
      </c>
      <c r="X111" t="str">
        <f t="shared" ref="X111:X115" si="22">IF(L111="","","curl -X POST " &amp; $Q111 &amp; "/upstreams/"&amp; $F111 &amp;"/targets -d 'target="&amp; L111 &amp; "'")</f>
        <v>curl -X POST http://172.20.148.160:8001/upstreams/ups-v910-ccs_api/targets -d 'target=172.20.151.6:31313'</v>
      </c>
      <c r="Y111" t="str">
        <f t="shared" ref="Y111:Y115" si="23">IF(M111="","","curl -X POST " &amp; $Q111 &amp; "/upstreams/"&amp; $F111 &amp;"/targets -d 'target="&amp; M111 &amp; "'")</f>
        <v>curl -X POST http://172.20.148.160:8001/upstreams/ups-v910-ccs_api/targets -d 'target=172.20.151.7:31313'</v>
      </c>
      <c r="Z111" t="str">
        <f t="shared" ref="Z111:Z115" si="24">IF(N111="","","curl -X POST " &amp; $Q111 &amp; "/upstreams/"&amp; $F111 &amp;"/targets -d 'target="&amp; N111 &amp; "'")</f>
        <v>curl -X POST http://172.20.148.160:8001/upstreams/ups-v910-ccs_api/targets -d 'target=172.20.151.8:31313'</v>
      </c>
    </row>
    <row r="112" spans="1:26">
      <c r="A112">
        <f>IF(ISNUMBER(SEARCH("rest_api",svc!R111)),1,0)</f>
        <v>1</v>
      </c>
      <c r="C112" t="str">
        <f>svc!D111</f>
        <v>dmz</v>
      </c>
      <c r="D112" t="str">
        <f>svc!$B111</f>
        <v>v630</v>
      </c>
      <c r="E112">
        <f>svc!G111</f>
        <v>31112</v>
      </c>
      <c r="F112" t="str">
        <f>CONCATENATE("ups-",svc!$B111,"-",svc!I111)</f>
        <v>ups-v630-das_middleware_cht</v>
      </c>
      <c r="G112" t="str">
        <f>CONCATENATE("svc-",svc!$B111,"-",svc!I111)</f>
        <v>svc-v630-das_middleware_cht</v>
      </c>
      <c r="H112" t="str">
        <f>CONCATENATE("route-",VLOOKUP($D112,kong_p2_var!$B$10:$D$16,2,FALSE),"-",svc!$B111,"-",svc!I111)</f>
        <v>route-v510-v630-das_middleware_cht</v>
      </c>
      <c r="I112" t="str">
        <f>CONCATENATE(VLOOKUP($D112,kong_p2_var!$B$20:$H$26,SUBSTITUTE(I$1,"target_","") + 1,FALSE),":",$E112)</f>
        <v>172.20.151.110:31112</v>
      </c>
      <c r="J112" t="str">
        <f>CONCATENATE(VLOOKUP($D112,kong_p2_var!$B$20:$H$26,SUBSTITUTE(J$1,"target_","") + 1,FALSE),":",$E112)</f>
        <v>172.20.151.111:31112</v>
      </c>
      <c r="K112" t="str">
        <f>CONCATENATE(VLOOKUP($D112,kong_p2_var!$B$20:$H$26,SUBSTITUTE(K$1,"target_","") + 1,FALSE),":",$E112)</f>
        <v>172.20.151.112:31112</v>
      </c>
      <c r="L112" t="str">
        <f>IF($C112="dmz","",CONCATENATE(VLOOKUP($D112,kong_p2_var!$B$20:$H$26,SUBSTITUTE(L$1,"target_","") + 1,FALSE),":",$E112))</f>
        <v/>
      </c>
      <c r="M112" t="str">
        <f>IF($C112="dmz","",CONCATENATE(VLOOKUP($D112,kong_p2_var!$B$20:$H$26,SUBSTITUTE(M$1,"target_","") + 1,FALSE),":",$E112))</f>
        <v/>
      </c>
      <c r="N112" t="str">
        <f>IF($C112="dmz","",CONCATENATE(VLOOKUP($D112,kong_p2_var!$B$20:$H$26,SUBSTITUTE(N$1,"target_","") + 1,FALSE),":",$E112))</f>
        <v/>
      </c>
      <c r="O112" t="str">
        <f>VLOOKUP($D112,kong_p2_var!$B$10:$D$16,3,FALSE)</f>
        <v>172.20.150.71</v>
      </c>
      <c r="P112" t="str">
        <f>CONCATENATE("/",C112,MID(D112,2,15),"/",svc!$I111)</f>
        <v>/dmz630/das_middleware_cht</v>
      </c>
      <c r="Q112" t="str">
        <f>VLOOKUP(C112,kong_p2_var!$B$6:$C$7,2,FALSE)</f>
        <v>http://172.20.149.80:8001</v>
      </c>
      <c r="R112" t="str">
        <f>SUBSTITUTE(SUBSTITUTE(kong_p2_var!$J$1,"&lt;upstream_name&gt;",$F112),"&lt;kong_api_url&gt;",$Q112)</f>
        <v>curl -X PUT http://172.20.149.80:8001/upstreams/ups-v630-das_middleware_cht</v>
      </c>
      <c r="S112" t="str">
        <f>SUBSTITUTE(SUBSTITUTE(SUBSTITUTE(SUBSTITUTE(kong_p2_var!$J$2,"&lt;kong_api_url&gt;",$Q112),"&lt;upstream_name&gt;",$F112),"&lt;port&gt;",$E112),"&lt;service_name&gt;",$G112)</f>
        <v>curl -X PUT http://172.20.149.80:8001/services/svc-v630-das_middleware_cht -H "Content-Type: application/json" -d '{"protocol":"http","host":"ups-v630-das_middleware_cht","port":31112}'</v>
      </c>
      <c r="T112" t="str">
        <f>SUBSTITUTE(SUBSTITUTE(SUBSTITUTE(SUBSTITUTE(SUBSTITUTE(kong_p2_var!$J$3,"&lt;kong_api_url&gt;",$Q112),"&lt;route_name&gt;",$H112),"&lt;service_name&gt;",$G112),"&lt;host&gt;",$O112),"&lt;path&gt;",$P112)</f>
        <v>curl -X PUT http://172.20.149.80:8001/services/svc-v630-das_middleware_cht/routes/route-v510-v630-das_middleware_cht -H "Content-Type: application/json" -d '{"protocols":["http"],"hosts":["172.20.150.71"],"paths":["/dmz630/das_middleware_cht"]}'</v>
      </c>
      <c r="U112" t="str">
        <f t="shared" si="19"/>
        <v>curl -X POST http://172.20.149.80:8001/upstreams/ups-v630-das_middleware_cht/targets -d 'target=172.20.151.110:31112'</v>
      </c>
      <c r="V112" t="str">
        <f t="shared" si="20"/>
        <v>curl -X POST http://172.20.149.80:8001/upstreams/ups-v630-das_middleware_cht/targets -d 'target=172.20.151.111:31112'</v>
      </c>
      <c r="W112" t="str">
        <f t="shared" si="21"/>
        <v>curl -X POST http://172.20.149.80:8001/upstreams/ups-v630-das_middleware_cht/targets -d 'target=172.20.151.112:31112'</v>
      </c>
      <c r="X112" t="str">
        <f t="shared" si="22"/>
        <v/>
      </c>
      <c r="Y112" t="str">
        <f t="shared" si="23"/>
        <v/>
      </c>
      <c r="Z112" t="str">
        <f t="shared" si="24"/>
        <v/>
      </c>
    </row>
    <row r="113" spans="1:26">
      <c r="A113">
        <f>IF(ISNUMBER(SEARCH("rest_api",svc!R112)),1,0)</f>
        <v>1</v>
      </c>
      <c r="C113" t="str">
        <f>svc!D112</f>
        <v>dmz</v>
      </c>
      <c r="D113" t="str">
        <f>svc!$B112</f>
        <v>v630</v>
      </c>
      <c r="E113">
        <f>svc!G112</f>
        <v>31122</v>
      </c>
      <c r="F113" t="str">
        <f>CONCATENATE("ups-",svc!$B112,"-",svc!I112)</f>
        <v>ups-v630-das_middleware_cht_video</v>
      </c>
      <c r="G113" t="str">
        <f>CONCATENATE("svc-",svc!$B112,"-",svc!I112)</f>
        <v>svc-v630-das_middleware_cht_video</v>
      </c>
      <c r="H113" t="str">
        <f>CONCATENATE("route-",VLOOKUP($D113,kong_p2_var!$B$10:$D$16,2,FALSE),"-",svc!$B112,"-",svc!I112)</f>
        <v>route-v510-v630-das_middleware_cht_video</v>
      </c>
      <c r="I113" t="str">
        <f>CONCATENATE(VLOOKUP($D113,kong_p2_var!$B$20:$H$26,SUBSTITUTE(I$1,"target_","") + 1,FALSE),":",$E113)</f>
        <v>172.20.151.110:31122</v>
      </c>
      <c r="J113" t="str">
        <f>CONCATENATE(VLOOKUP($D113,kong_p2_var!$B$20:$H$26,SUBSTITUTE(J$1,"target_","") + 1,FALSE),":",$E113)</f>
        <v>172.20.151.111:31122</v>
      </c>
      <c r="K113" t="str">
        <f>CONCATENATE(VLOOKUP($D113,kong_p2_var!$B$20:$H$26,SUBSTITUTE(K$1,"target_","") + 1,FALSE),":",$E113)</f>
        <v>172.20.151.112:31122</v>
      </c>
      <c r="L113" t="str">
        <f>IF($C113="dmz","",CONCATENATE(VLOOKUP($D113,kong_p2_var!$B$20:$H$26,SUBSTITUTE(L$1,"target_","") + 1,FALSE),":",$E113))</f>
        <v/>
      </c>
      <c r="M113" t="str">
        <f>IF($C113="dmz","",CONCATENATE(VLOOKUP($D113,kong_p2_var!$B$20:$H$26,SUBSTITUTE(M$1,"target_","") + 1,FALSE),":",$E113))</f>
        <v/>
      </c>
      <c r="N113" t="str">
        <f>IF($C113="dmz","",CONCATENATE(VLOOKUP($D113,kong_p2_var!$B$20:$H$26,SUBSTITUTE(N$1,"target_","") + 1,FALSE),":",$E113))</f>
        <v/>
      </c>
      <c r="O113" t="str">
        <f>VLOOKUP($D113,kong_p2_var!$B$10:$D$16,3,FALSE)</f>
        <v>172.20.150.71</v>
      </c>
      <c r="P113" t="str">
        <f>CONCATENATE("/",C113,MID(D113,2,15),"/",svc!$I112)</f>
        <v>/dmz630/das_middleware_cht_video</v>
      </c>
      <c r="Q113" t="str">
        <f>VLOOKUP(C113,kong_p2_var!$B$6:$C$7,2,FALSE)</f>
        <v>http://172.20.149.80:8001</v>
      </c>
      <c r="R113" t="str">
        <f>SUBSTITUTE(SUBSTITUTE(kong_p2_var!$J$1,"&lt;upstream_name&gt;",$F113),"&lt;kong_api_url&gt;",$Q113)</f>
        <v>curl -X PUT http://172.20.149.80:8001/upstreams/ups-v630-das_middleware_cht_video</v>
      </c>
      <c r="S113" t="str">
        <f>SUBSTITUTE(SUBSTITUTE(SUBSTITUTE(SUBSTITUTE(kong_p2_var!$J$2,"&lt;kong_api_url&gt;",$Q113),"&lt;upstream_name&gt;",$F113),"&lt;port&gt;",$E113),"&lt;service_name&gt;",$G113)</f>
        <v>curl -X PUT http://172.20.149.80:8001/services/svc-v630-das_middleware_cht_video -H "Content-Type: application/json" -d '{"protocol":"http","host":"ups-v630-das_middleware_cht_video","port":31122}'</v>
      </c>
      <c r="T113" t="str">
        <f>SUBSTITUTE(SUBSTITUTE(SUBSTITUTE(SUBSTITUTE(SUBSTITUTE(kong_p2_var!$J$3,"&lt;kong_api_url&gt;",$Q113),"&lt;route_name&gt;",$H113),"&lt;service_name&gt;",$G113),"&lt;host&gt;",$O113),"&lt;path&gt;",$P113)</f>
        <v>curl -X PUT http://172.20.149.80:8001/services/svc-v630-das_middleware_cht_video/routes/route-v510-v630-das_middleware_cht_video -H "Content-Type: application/json" -d '{"protocols":["http"],"hosts":["172.20.150.71"],"paths":["/dmz630/das_middleware_cht_video"]}'</v>
      </c>
      <c r="U113" t="str">
        <f t="shared" si="19"/>
        <v>curl -X POST http://172.20.149.80:8001/upstreams/ups-v630-das_middleware_cht_video/targets -d 'target=172.20.151.110:31122'</v>
      </c>
      <c r="V113" t="str">
        <f t="shared" si="20"/>
        <v>curl -X POST http://172.20.149.80:8001/upstreams/ups-v630-das_middleware_cht_video/targets -d 'target=172.20.151.111:31122'</v>
      </c>
      <c r="W113" t="str">
        <f t="shared" si="21"/>
        <v>curl -X POST http://172.20.149.80:8001/upstreams/ups-v630-das_middleware_cht_video/targets -d 'target=172.20.151.112:31122'</v>
      </c>
      <c r="X113" t="str">
        <f t="shared" si="22"/>
        <v/>
      </c>
      <c r="Y113" t="str">
        <f t="shared" si="23"/>
        <v/>
      </c>
      <c r="Z113" t="str">
        <f t="shared" si="24"/>
        <v/>
      </c>
    </row>
    <row r="114" spans="1:26">
      <c r="A114">
        <f>IF(ISNUMBER(SEARCH("rest_api",svc!R113)),1,0)</f>
        <v>0</v>
      </c>
      <c r="C114">
        <f>svc!D113</f>
        <v>0</v>
      </c>
      <c r="D114">
        <f>svc!$B113</f>
        <v>0</v>
      </c>
      <c r="E114">
        <f>svc!G113</f>
        <v>0</v>
      </c>
      <c r="F114" t="str">
        <f>CONCATENATE("ups-",svc!$B113,"-",svc!I113)</f>
        <v>ups--</v>
      </c>
      <c r="G114" t="str">
        <f>CONCATENATE("svc-",svc!$B113,"-",svc!I113)</f>
        <v>svc--</v>
      </c>
      <c r="H114" t="e">
        <f>CONCATENATE("route-",VLOOKUP($D114,kong_p2_var!$B$10:$D$16,2,FALSE),"-",svc!$B113,"-",svc!I113)</f>
        <v>#N/A</v>
      </c>
      <c r="I114" t="e">
        <f>CONCATENATE(VLOOKUP($D114,kong_p2_var!$B$20:$H$26,SUBSTITUTE(I$1,"target_","") + 1,FALSE),":",$E114)</f>
        <v>#N/A</v>
      </c>
      <c r="J114" t="e">
        <f>CONCATENATE(VLOOKUP($D114,kong_p2_var!$B$20:$H$26,SUBSTITUTE(J$1,"target_","") + 1,FALSE),":",$E114)</f>
        <v>#N/A</v>
      </c>
      <c r="K114" t="e">
        <f>CONCATENATE(VLOOKUP($D114,kong_p2_var!$B$20:$H$26,SUBSTITUTE(K$1,"target_","") + 1,FALSE),":",$E114)</f>
        <v>#N/A</v>
      </c>
      <c r="L114" t="e">
        <f>IF($C114="dmz","",CONCATENATE(VLOOKUP($D114,kong_p2_var!$B$20:$H$26,SUBSTITUTE(L$1,"target_","") + 1,FALSE),":",$E114))</f>
        <v>#N/A</v>
      </c>
      <c r="M114" t="e">
        <f>IF($C114="dmz","",CONCATENATE(VLOOKUP($D114,kong_p2_var!$B$20:$H$26,SUBSTITUTE(M$1,"target_","") + 1,FALSE),":",$E114))</f>
        <v>#N/A</v>
      </c>
      <c r="N114" t="e">
        <f>IF($C114="dmz","",CONCATENATE(VLOOKUP($D114,kong_p2_var!$B$20:$H$26,SUBSTITUTE(N$1,"target_","") + 1,FALSE),":",$E114))</f>
        <v>#N/A</v>
      </c>
      <c r="O114" t="e">
        <f>VLOOKUP($D114,kong_p2_var!$B$10:$D$16,3,FALSE)</f>
        <v>#N/A</v>
      </c>
      <c r="P114" t="str">
        <f>CONCATENATE("/",C114,MID(D114,2,15),"/",svc!$I113)</f>
        <v>/0/</v>
      </c>
      <c r="Q114" t="e">
        <f>VLOOKUP(C114,kong_p2_var!$B$6:$C$7,2,FALSE)</f>
        <v>#N/A</v>
      </c>
      <c r="R114" t="e">
        <f>SUBSTITUTE(SUBSTITUTE(kong_p2_var!$J$1,"&lt;upstream_name&gt;",$F114),"&lt;kong_api_url&gt;",$Q114)</f>
        <v>#N/A</v>
      </c>
      <c r="S114" t="e">
        <f>SUBSTITUTE(SUBSTITUTE(SUBSTITUTE(SUBSTITUTE(kong_p2_var!$J$2,"&lt;kong_api_url&gt;",$Q114),"&lt;upstream_name&gt;",$F114),"&lt;port&gt;",$E114),"&lt;service_name&gt;",$G114)</f>
        <v>#N/A</v>
      </c>
      <c r="T114" t="e">
        <f>SUBSTITUTE(SUBSTITUTE(SUBSTITUTE(SUBSTITUTE(SUBSTITUTE(kong_p2_var!$J$3,"&lt;kong_api_url&gt;",$Q114),"&lt;route_name&gt;",$H114),"&lt;service_name&gt;",$G114),"&lt;host&gt;",$O114),"&lt;path&gt;",$P114)</f>
        <v>#N/A</v>
      </c>
      <c r="U114" t="e">
        <f t="shared" ref="U114:U134" si="25">IF(I114="","","curl -X POST " &amp; $Q114 &amp; "/upstreams/"&amp; $F114 &amp;"/targets -d 'target="&amp; I114 &amp; "'")</f>
        <v>#N/A</v>
      </c>
      <c r="V114" t="e">
        <f t="shared" ref="V114:V134" si="26">IF(J114="","","curl -X POST " &amp; $Q114 &amp; "/upstreams/"&amp; $F114 &amp;"/targets -d 'target="&amp; J114 &amp; "'")</f>
        <v>#N/A</v>
      </c>
      <c r="W114" t="e">
        <f t="shared" ref="W114:W134" si="27">IF(K114="","","curl -X POST " &amp; $Q114 &amp; "/upstreams/"&amp; $F114 &amp;"/targets -d 'target="&amp; K114 &amp; "'")</f>
        <v>#N/A</v>
      </c>
      <c r="X114" t="e">
        <f t="shared" ref="X114:X134" si="28">IF(L114="","","curl -X POST " &amp; $Q114 &amp; "/upstreams/"&amp; $F114 &amp;"/targets -d 'target="&amp; L114 &amp; "'")</f>
        <v>#N/A</v>
      </c>
      <c r="Y114" t="e">
        <f t="shared" ref="Y114:Y134" si="29">IF(M114="","","curl -X POST " &amp; $Q114 &amp; "/upstreams/"&amp; $F114 &amp;"/targets -d 'target="&amp; M114 &amp; "'")</f>
        <v>#N/A</v>
      </c>
      <c r="Z114" t="e">
        <f t="shared" ref="Z114:Z134" si="30">IF(N114="","","curl -X POST " &amp; $Q114 &amp; "/upstreams/"&amp; $F114 &amp;"/targets -d 'target="&amp; N114 &amp; "'")</f>
        <v>#N/A</v>
      </c>
    </row>
    <row r="115" spans="1:26">
      <c r="A115">
        <f>IF(ISNUMBER(SEARCH("rest_api",svc!R114)),1,0)</f>
        <v>0</v>
      </c>
      <c r="C115">
        <f>svc!D114</f>
        <v>0</v>
      </c>
      <c r="D115">
        <f>svc!$B114</f>
        <v>0</v>
      </c>
      <c r="E115">
        <f>svc!G114</f>
        <v>0</v>
      </c>
      <c r="F115" t="str">
        <f>CONCATENATE("ups-",svc!$B114,"-",svc!I114)</f>
        <v>ups--</v>
      </c>
      <c r="G115" t="str">
        <f>CONCATENATE("svc-",svc!$B114,"-",svc!I114)</f>
        <v>svc--</v>
      </c>
      <c r="H115" t="e">
        <f>CONCATENATE("route-",VLOOKUP($D115,kong_p2_var!$B$10:$D$16,2,FALSE),"-",svc!$B114,"-",svc!I114)</f>
        <v>#N/A</v>
      </c>
      <c r="I115" t="e">
        <f>CONCATENATE(VLOOKUP($D115,kong_p2_var!$B$20:$H$26,SUBSTITUTE(I$1,"target_","") + 1,FALSE),":",$E115)</f>
        <v>#N/A</v>
      </c>
      <c r="J115" t="e">
        <f>CONCATENATE(VLOOKUP($D115,kong_p2_var!$B$20:$H$26,SUBSTITUTE(J$1,"target_","") + 1,FALSE),":",$E115)</f>
        <v>#N/A</v>
      </c>
      <c r="K115" t="e">
        <f>CONCATENATE(VLOOKUP($D115,kong_p2_var!$B$20:$H$26,SUBSTITUTE(K$1,"target_","") + 1,FALSE),":",$E115)</f>
        <v>#N/A</v>
      </c>
      <c r="L115" t="e">
        <f>IF($C115="dmz","",CONCATENATE(VLOOKUP($D115,kong_p2_var!$B$20:$H$26,SUBSTITUTE(L$1,"target_","") + 1,FALSE),":",$E115))</f>
        <v>#N/A</v>
      </c>
      <c r="M115" t="e">
        <f>IF($C115="dmz","",CONCATENATE(VLOOKUP($D115,kong_p2_var!$B$20:$H$26,SUBSTITUTE(M$1,"target_","") + 1,FALSE),":",$E115))</f>
        <v>#N/A</v>
      </c>
      <c r="N115" t="e">
        <f>IF($C115="dmz","",CONCATENATE(VLOOKUP($D115,kong_p2_var!$B$20:$H$26,SUBSTITUTE(N$1,"target_","") + 1,FALSE),":",$E115))</f>
        <v>#N/A</v>
      </c>
      <c r="O115" t="e">
        <f>VLOOKUP($D115,kong_p2_var!$B$10:$D$16,3,FALSE)</f>
        <v>#N/A</v>
      </c>
      <c r="P115" t="str">
        <f>CONCATENATE("/",C115,MID(D115,2,15),"/",svc!$I114)</f>
        <v>/0/</v>
      </c>
      <c r="Q115" t="e">
        <f>VLOOKUP(C115,kong_p2_var!$B$6:$C$7,2,FALSE)</f>
        <v>#N/A</v>
      </c>
      <c r="R115" t="e">
        <f>SUBSTITUTE(SUBSTITUTE(kong_p2_var!$J$1,"&lt;upstream_name&gt;",$F115),"&lt;kong_api_url&gt;",$Q115)</f>
        <v>#N/A</v>
      </c>
      <c r="S115" t="e">
        <f>SUBSTITUTE(SUBSTITUTE(SUBSTITUTE(SUBSTITUTE(kong_p2_var!$J$2,"&lt;kong_api_url&gt;",$Q115),"&lt;upstream_name&gt;",$F115),"&lt;port&gt;",$E115),"&lt;service_name&gt;",$G115)</f>
        <v>#N/A</v>
      </c>
      <c r="T115" t="e">
        <f>SUBSTITUTE(SUBSTITUTE(SUBSTITUTE(SUBSTITUTE(SUBSTITUTE(kong_p2_var!$J$3,"&lt;kong_api_url&gt;",$Q115),"&lt;route_name&gt;",$H115),"&lt;service_name&gt;",$G115),"&lt;host&gt;",$O115),"&lt;path&gt;",$P115)</f>
        <v>#N/A</v>
      </c>
      <c r="U115" t="e">
        <f t="shared" si="25"/>
        <v>#N/A</v>
      </c>
      <c r="V115" t="e">
        <f t="shared" si="26"/>
        <v>#N/A</v>
      </c>
      <c r="W115" t="e">
        <f t="shared" si="27"/>
        <v>#N/A</v>
      </c>
      <c r="X115" t="e">
        <f t="shared" si="28"/>
        <v>#N/A</v>
      </c>
      <c r="Y115" t="e">
        <f t="shared" si="29"/>
        <v>#N/A</v>
      </c>
      <c r="Z115" t="e">
        <f t="shared" si="30"/>
        <v>#N/A</v>
      </c>
    </row>
    <row r="116" spans="1:26">
      <c r="A116">
        <f>IF(ISNUMBER(SEARCH("rest_api",svc!R115)),1,0)</f>
        <v>0</v>
      </c>
      <c r="C116">
        <f>svc!D115</f>
        <v>0</v>
      </c>
      <c r="D116">
        <f>svc!$B115</f>
        <v>0</v>
      </c>
      <c r="E116">
        <f>svc!G115</f>
        <v>0</v>
      </c>
      <c r="F116" t="str">
        <f>CONCATENATE("ups-",svc!$B115,"-",svc!I115)</f>
        <v>ups--</v>
      </c>
      <c r="G116" t="str">
        <f>CONCATENATE("svc-",svc!$B115,"-",svc!I115)</f>
        <v>svc--</v>
      </c>
      <c r="H116" t="e">
        <f>CONCATENATE("route-",VLOOKUP($D116,kong_p2_var!$B$10:$D$16,2,FALSE),"-",svc!$B115,"-",svc!I115)</f>
        <v>#N/A</v>
      </c>
      <c r="I116" t="e">
        <f>CONCATENATE(VLOOKUP($D116,kong_p2_var!$B$20:$H$26,SUBSTITUTE(I$1,"target_","") + 1,FALSE),":",$E116)</f>
        <v>#N/A</v>
      </c>
      <c r="J116" t="e">
        <f>CONCATENATE(VLOOKUP($D116,kong_p2_var!$B$20:$H$26,SUBSTITUTE(J$1,"target_","") + 1,FALSE),":",$E116)</f>
        <v>#N/A</v>
      </c>
      <c r="K116" t="e">
        <f>CONCATENATE(VLOOKUP($D116,kong_p2_var!$B$20:$H$26,SUBSTITUTE(K$1,"target_","") + 1,FALSE),":",$E116)</f>
        <v>#N/A</v>
      </c>
      <c r="L116" t="e">
        <f>IF($C116="dmz","",CONCATENATE(VLOOKUP($D116,kong_p2_var!$B$20:$H$26,SUBSTITUTE(L$1,"target_","") + 1,FALSE),":",$E116))</f>
        <v>#N/A</v>
      </c>
      <c r="M116" t="e">
        <f>IF($C116="dmz","",CONCATENATE(VLOOKUP($D116,kong_p2_var!$B$20:$H$26,SUBSTITUTE(M$1,"target_","") + 1,FALSE),":",$E116))</f>
        <v>#N/A</v>
      </c>
      <c r="N116" t="e">
        <f>IF($C116="dmz","",CONCATENATE(VLOOKUP($D116,kong_p2_var!$B$20:$H$26,SUBSTITUTE(N$1,"target_","") + 1,FALSE),":",$E116))</f>
        <v>#N/A</v>
      </c>
      <c r="O116" t="e">
        <f>VLOOKUP($D116,kong_p2_var!$B$10:$D$16,3,FALSE)</f>
        <v>#N/A</v>
      </c>
      <c r="P116" t="str">
        <f>CONCATENATE("/",C116,MID(D116,2,15),"/",svc!$I115)</f>
        <v>/0/</v>
      </c>
      <c r="Q116" t="e">
        <f>VLOOKUP(C116,kong_p2_var!$B$6:$C$7,2,FALSE)</f>
        <v>#N/A</v>
      </c>
      <c r="R116" t="e">
        <f>SUBSTITUTE(SUBSTITUTE(kong_p2_var!$J$1,"&lt;upstream_name&gt;",$F116),"&lt;kong_api_url&gt;",$Q116)</f>
        <v>#N/A</v>
      </c>
      <c r="S116" t="e">
        <f>SUBSTITUTE(SUBSTITUTE(SUBSTITUTE(SUBSTITUTE(kong_p2_var!$J$2,"&lt;kong_api_url&gt;",$Q116),"&lt;upstream_name&gt;",$F116),"&lt;port&gt;",$E116),"&lt;service_name&gt;",$G116)</f>
        <v>#N/A</v>
      </c>
      <c r="T116" t="e">
        <f>SUBSTITUTE(SUBSTITUTE(SUBSTITUTE(SUBSTITUTE(SUBSTITUTE(kong_p2_var!$J$3,"&lt;kong_api_url&gt;",$Q116),"&lt;route_name&gt;",$H116),"&lt;service_name&gt;",$G116),"&lt;host&gt;",$O116),"&lt;path&gt;",$P116)</f>
        <v>#N/A</v>
      </c>
      <c r="U116" t="e">
        <f t="shared" si="25"/>
        <v>#N/A</v>
      </c>
      <c r="V116" t="e">
        <f t="shared" si="26"/>
        <v>#N/A</v>
      </c>
      <c r="W116" t="e">
        <f t="shared" si="27"/>
        <v>#N/A</v>
      </c>
      <c r="X116" t="e">
        <f t="shared" si="28"/>
        <v>#N/A</v>
      </c>
      <c r="Y116" t="e">
        <f t="shared" si="29"/>
        <v>#N/A</v>
      </c>
      <c r="Z116" t="e">
        <f t="shared" si="30"/>
        <v>#N/A</v>
      </c>
    </row>
    <row r="117" spans="1:26">
      <c r="A117">
        <f>IF(ISNUMBER(SEARCH("rest_api",svc!R116)),1,0)</f>
        <v>0</v>
      </c>
      <c r="C117">
        <f>svc!D116</f>
        <v>0</v>
      </c>
      <c r="D117">
        <f>svc!$B116</f>
        <v>0</v>
      </c>
      <c r="E117">
        <f>svc!G116</f>
        <v>0</v>
      </c>
      <c r="F117" t="str">
        <f>CONCATENATE("ups-",svc!$B116,"-",svc!I116)</f>
        <v>ups--</v>
      </c>
      <c r="G117" t="str">
        <f>CONCATENATE("svc-",svc!$B116,"-",svc!I116)</f>
        <v>svc--</v>
      </c>
      <c r="H117" t="e">
        <f>CONCATENATE("route-",VLOOKUP($D117,kong_p2_var!$B$10:$D$16,2,FALSE),"-",svc!$B116,"-",svc!I116)</f>
        <v>#N/A</v>
      </c>
      <c r="I117" t="e">
        <f>CONCATENATE(VLOOKUP($D117,kong_p2_var!$B$20:$H$26,SUBSTITUTE(I$1,"target_","") + 1,FALSE),":",$E117)</f>
        <v>#N/A</v>
      </c>
      <c r="J117" t="e">
        <f>CONCATENATE(VLOOKUP($D117,kong_p2_var!$B$20:$H$26,SUBSTITUTE(J$1,"target_","") + 1,FALSE),":",$E117)</f>
        <v>#N/A</v>
      </c>
      <c r="K117" t="e">
        <f>CONCATENATE(VLOOKUP($D117,kong_p2_var!$B$20:$H$26,SUBSTITUTE(K$1,"target_","") + 1,FALSE),":",$E117)</f>
        <v>#N/A</v>
      </c>
      <c r="L117" t="e">
        <f>IF($C117="dmz","",CONCATENATE(VLOOKUP($D117,kong_p2_var!$B$20:$H$26,SUBSTITUTE(L$1,"target_","") + 1,FALSE),":",$E117))</f>
        <v>#N/A</v>
      </c>
      <c r="M117" t="e">
        <f>IF($C117="dmz","",CONCATENATE(VLOOKUP($D117,kong_p2_var!$B$20:$H$26,SUBSTITUTE(M$1,"target_","") + 1,FALSE),":",$E117))</f>
        <v>#N/A</v>
      </c>
      <c r="N117" t="e">
        <f>IF($C117="dmz","",CONCATENATE(VLOOKUP($D117,kong_p2_var!$B$20:$H$26,SUBSTITUTE(N$1,"target_","") + 1,FALSE),":",$E117))</f>
        <v>#N/A</v>
      </c>
      <c r="O117" t="e">
        <f>VLOOKUP($D117,kong_p2_var!$B$10:$D$16,3,FALSE)</f>
        <v>#N/A</v>
      </c>
      <c r="P117" t="str">
        <f>CONCATENATE("/",C117,MID(D117,2,15),"/",svc!$I116)</f>
        <v>/0/</v>
      </c>
      <c r="Q117" t="e">
        <f>VLOOKUP(C117,kong_p2_var!$B$6:$C$7,2,FALSE)</f>
        <v>#N/A</v>
      </c>
      <c r="R117" t="e">
        <f>SUBSTITUTE(SUBSTITUTE(kong_p2_var!$J$1,"&lt;upstream_name&gt;",$F117),"&lt;kong_api_url&gt;",$Q117)</f>
        <v>#N/A</v>
      </c>
      <c r="S117" t="e">
        <f>SUBSTITUTE(SUBSTITUTE(SUBSTITUTE(SUBSTITUTE(kong_p2_var!$J$2,"&lt;kong_api_url&gt;",$Q117),"&lt;upstream_name&gt;",$F117),"&lt;port&gt;",$E117),"&lt;service_name&gt;",$G117)</f>
        <v>#N/A</v>
      </c>
      <c r="T117" t="e">
        <f>SUBSTITUTE(SUBSTITUTE(SUBSTITUTE(SUBSTITUTE(SUBSTITUTE(kong_p2_var!$J$3,"&lt;kong_api_url&gt;",$Q117),"&lt;route_name&gt;",$H117),"&lt;service_name&gt;",$G117),"&lt;host&gt;",$O117),"&lt;path&gt;",$P117)</f>
        <v>#N/A</v>
      </c>
      <c r="U117" t="e">
        <f t="shared" si="25"/>
        <v>#N/A</v>
      </c>
      <c r="V117" t="e">
        <f t="shared" si="26"/>
        <v>#N/A</v>
      </c>
      <c r="W117" t="e">
        <f t="shared" si="27"/>
        <v>#N/A</v>
      </c>
      <c r="X117" t="e">
        <f t="shared" si="28"/>
        <v>#N/A</v>
      </c>
      <c r="Y117" t="e">
        <f t="shared" si="29"/>
        <v>#N/A</v>
      </c>
      <c r="Z117" t="e">
        <f t="shared" si="30"/>
        <v>#N/A</v>
      </c>
    </row>
    <row r="118" spans="1:26">
      <c r="A118">
        <f>IF(ISNUMBER(SEARCH("rest_api",svc!R117)),1,0)</f>
        <v>0</v>
      </c>
      <c r="C118">
        <f>svc!D117</f>
        <v>0</v>
      </c>
      <c r="D118">
        <f>svc!$B117</f>
        <v>0</v>
      </c>
      <c r="E118">
        <f>svc!G117</f>
        <v>0</v>
      </c>
      <c r="F118" t="str">
        <f>CONCATENATE("ups-",svc!$B117,"-",svc!I117)</f>
        <v>ups--</v>
      </c>
      <c r="G118" t="str">
        <f>CONCATENATE("svc-",svc!$B117,"-",svc!I117)</f>
        <v>svc--</v>
      </c>
      <c r="H118" t="e">
        <f>CONCATENATE("route-",VLOOKUP($D118,kong_p2_var!$B$10:$D$16,2,FALSE),"-",svc!$B117,"-",svc!I117)</f>
        <v>#N/A</v>
      </c>
      <c r="I118" t="e">
        <f>CONCATENATE(VLOOKUP($D118,kong_p2_var!$B$20:$H$26,SUBSTITUTE(I$1,"target_","") + 1,FALSE),":",$E118)</f>
        <v>#N/A</v>
      </c>
      <c r="J118" t="e">
        <f>CONCATENATE(VLOOKUP($D118,kong_p2_var!$B$20:$H$26,SUBSTITUTE(J$1,"target_","") + 1,FALSE),":",$E118)</f>
        <v>#N/A</v>
      </c>
      <c r="K118" t="e">
        <f>CONCATENATE(VLOOKUP($D118,kong_p2_var!$B$20:$H$26,SUBSTITUTE(K$1,"target_","") + 1,FALSE),":",$E118)</f>
        <v>#N/A</v>
      </c>
      <c r="L118" t="e">
        <f>IF($C118="dmz","",CONCATENATE(VLOOKUP($D118,kong_p2_var!$B$20:$H$26,SUBSTITUTE(L$1,"target_","") + 1,FALSE),":",$E118))</f>
        <v>#N/A</v>
      </c>
      <c r="M118" t="e">
        <f>IF($C118="dmz","",CONCATENATE(VLOOKUP($D118,kong_p2_var!$B$20:$H$26,SUBSTITUTE(M$1,"target_","") + 1,FALSE),":",$E118))</f>
        <v>#N/A</v>
      </c>
      <c r="N118" t="e">
        <f>IF($C118="dmz","",CONCATENATE(VLOOKUP($D118,kong_p2_var!$B$20:$H$26,SUBSTITUTE(N$1,"target_","") + 1,FALSE),":",$E118))</f>
        <v>#N/A</v>
      </c>
      <c r="O118" t="e">
        <f>VLOOKUP($D118,kong_p2_var!$B$10:$D$16,3,FALSE)</f>
        <v>#N/A</v>
      </c>
      <c r="P118" t="str">
        <f>CONCATENATE("/",C118,MID(D118,2,15),"/",svc!$I117)</f>
        <v>/0/</v>
      </c>
      <c r="Q118" t="e">
        <f>VLOOKUP(C118,kong_p2_var!$B$6:$C$7,2,FALSE)</f>
        <v>#N/A</v>
      </c>
      <c r="R118" t="e">
        <f>SUBSTITUTE(SUBSTITUTE(kong_p2_var!$J$1,"&lt;upstream_name&gt;",$F118),"&lt;kong_api_url&gt;",$Q118)</f>
        <v>#N/A</v>
      </c>
      <c r="S118" t="e">
        <f>SUBSTITUTE(SUBSTITUTE(SUBSTITUTE(SUBSTITUTE(kong_p2_var!$J$2,"&lt;kong_api_url&gt;",$Q118),"&lt;upstream_name&gt;",$F118),"&lt;port&gt;",$E118),"&lt;service_name&gt;",$G118)</f>
        <v>#N/A</v>
      </c>
      <c r="T118" t="e">
        <f>SUBSTITUTE(SUBSTITUTE(SUBSTITUTE(SUBSTITUTE(SUBSTITUTE(kong_p2_var!$J$3,"&lt;kong_api_url&gt;",$Q118),"&lt;route_name&gt;",$H118),"&lt;service_name&gt;",$G118),"&lt;host&gt;",$O118),"&lt;path&gt;",$P118)</f>
        <v>#N/A</v>
      </c>
      <c r="U118" t="e">
        <f t="shared" si="25"/>
        <v>#N/A</v>
      </c>
      <c r="V118" t="e">
        <f t="shared" si="26"/>
        <v>#N/A</v>
      </c>
      <c r="W118" t="e">
        <f t="shared" si="27"/>
        <v>#N/A</v>
      </c>
      <c r="X118" t="e">
        <f t="shared" si="28"/>
        <v>#N/A</v>
      </c>
      <c r="Y118" t="e">
        <f t="shared" si="29"/>
        <v>#N/A</v>
      </c>
      <c r="Z118" t="e">
        <f t="shared" si="30"/>
        <v>#N/A</v>
      </c>
    </row>
    <row r="119" spans="1:26">
      <c r="A119">
        <f>IF(ISNUMBER(SEARCH("rest_api",svc!R118)),1,0)</f>
        <v>0</v>
      </c>
      <c r="C119">
        <f>svc!D118</f>
        <v>0</v>
      </c>
      <c r="D119">
        <f>svc!$B118</f>
        <v>0</v>
      </c>
      <c r="E119">
        <f>svc!G118</f>
        <v>0</v>
      </c>
      <c r="F119" t="str">
        <f>CONCATENATE("ups-",svc!$B118,"-",svc!I118)</f>
        <v>ups--</v>
      </c>
      <c r="G119" t="str">
        <f>CONCATENATE("svc-",svc!$B118,"-",svc!I118)</f>
        <v>svc--</v>
      </c>
      <c r="H119" t="e">
        <f>CONCATENATE("route-",VLOOKUP($D119,kong_p2_var!$B$10:$D$16,2,FALSE),"-",svc!$B118,"-",svc!I118)</f>
        <v>#N/A</v>
      </c>
      <c r="I119" t="e">
        <f>CONCATENATE(VLOOKUP($D119,kong_p2_var!$B$20:$H$26,SUBSTITUTE(I$1,"target_","") + 1,FALSE),":",$E119)</f>
        <v>#N/A</v>
      </c>
      <c r="J119" t="e">
        <f>CONCATENATE(VLOOKUP($D119,kong_p2_var!$B$20:$H$26,SUBSTITUTE(J$1,"target_","") + 1,FALSE),":",$E119)</f>
        <v>#N/A</v>
      </c>
      <c r="K119" t="e">
        <f>CONCATENATE(VLOOKUP($D119,kong_p2_var!$B$20:$H$26,SUBSTITUTE(K$1,"target_","") + 1,FALSE),":",$E119)</f>
        <v>#N/A</v>
      </c>
      <c r="L119" t="e">
        <f>IF($C119="dmz","",CONCATENATE(VLOOKUP($D119,kong_p2_var!$B$20:$H$26,SUBSTITUTE(L$1,"target_","") + 1,FALSE),":",$E119))</f>
        <v>#N/A</v>
      </c>
      <c r="M119" t="e">
        <f>IF($C119="dmz","",CONCATENATE(VLOOKUP($D119,kong_p2_var!$B$20:$H$26,SUBSTITUTE(M$1,"target_","") + 1,FALSE),":",$E119))</f>
        <v>#N/A</v>
      </c>
      <c r="N119" t="e">
        <f>IF($C119="dmz","",CONCATENATE(VLOOKUP($D119,kong_p2_var!$B$20:$H$26,SUBSTITUTE(N$1,"target_","") + 1,FALSE),":",$E119))</f>
        <v>#N/A</v>
      </c>
      <c r="O119" t="e">
        <f>VLOOKUP($D119,kong_p2_var!$B$10:$D$16,3,FALSE)</f>
        <v>#N/A</v>
      </c>
      <c r="P119" t="str">
        <f>CONCATENATE("/",C119,MID(D119,2,15),"/",svc!$I118)</f>
        <v>/0/</v>
      </c>
      <c r="Q119" t="e">
        <f>VLOOKUP(C119,kong_p2_var!$B$6:$C$7,2,FALSE)</f>
        <v>#N/A</v>
      </c>
      <c r="R119" t="e">
        <f>SUBSTITUTE(SUBSTITUTE(kong_p2_var!$J$1,"&lt;upstream_name&gt;",$F119),"&lt;kong_api_url&gt;",$Q119)</f>
        <v>#N/A</v>
      </c>
      <c r="S119" t="e">
        <f>SUBSTITUTE(SUBSTITUTE(SUBSTITUTE(SUBSTITUTE(kong_p2_var!$J$2,"&lt;kong_api_url&gt;",$Q119),"&lt;upstream_name&gt;",$F119),"&lt;port&gt;",$E119),"&lt;service_name&gt;",$G119)</f>
        <v>#N/A</v>
      </c>
      <c r="T119" t="e">
        <f>SUBSTITUTE(SUBSTITUTE(SUBSTITUTE(SUBSTITUTE(SUBSTITUTE(kong_p2_var!$J$3,"&lt;kong_api_url&gt;",$Q119),"&lt;route_name&gt;",$H119),"&lt;service_name&gt;",$G119),"&lt;host&gt;",$O119),"&lt;path&gt;",$P119)</f>
        <v>#N/A</v>
      </c>
      <c r="U119" t="e">
        <f t="shared" si="25"/>
        <v>#N/A</v>
      </c>
      <c r="V119" t="e">
        <f t="shared" si="26"/>
        <v>#N/A</v>
      </c>
      <c r="W119" t="e">
        <f t="shared" si="27"/>
        <v>#N/A</v>
      </c>
      <c r="X119" t="e">
        <f t="shared" si="28"/>
        <v>#N/A</v>
      </c>
      <c r="Y119" t="e">
        <f t="shared" si="29"/>
        <v>#N/A</v>
      </c>
      <c r="Z119" t="e">
        <f t="shared" si="30"/>
        <v>#N/A</v>
      </c>
    </row>
    <row r="120" spans="1:26">
      <c r="A120">
        <f>IF(ISNUMBER(SEARCH("rest_api",svc!R119)),1,0)</f>
        <v>0</v>
      </c>
      <c r="C120">
        <f>svc!D119</f>
        <v>0</v>
      </c>
      <c r="D120">
        <f>svc!$B119</f>
        <v>0</v>
      </c>
      <c r="E120">
        <f>svc!G119</f>
        <v>0</v>
      </c>
      <c r="F120" t="str">
        <f>CONCATENATE("ups-",svc!$B119,"-",svc!I119)</f>
        <v>ups--</v>
      </c>
      <c r="G120" t="str">
        <f>CONCATENATE("svc-",svc!$B119,"-",svc!I119)</f>
        <v>svc--</v>
      </c>
      <c r="H120" t="e">
        <f>CONCATENATE("route-",VLOOKUP($D120,kong_p2_var!$B$10:$D$16,2,FALSE),"-",svc!$B119,"-",svc!I119)</f>
        <v>#N/A</v>
      </c>
      <c r="I120" t="e">
        <f>CONCATENATE(VLOOKUP($D120,kong_p2_var!$B$20:$H$26,SUBSTITUTE(I$1,"target_","") + 1,FALSE),":",$E120)</f>
        <v>#N/A</v>
      </c>
      <c r="J120" t="e">
        <f>CONCATENATE(VLOOKUP($D120,kong_p2_var!$B$20:$H$26,SUBSTITUTE(J$1,"target_","") + 1,FALSE),":",$E120)</f>
        <v>#N/A</v>
      </c>
      <c r="K120" t="e">
        <f>CONCATENATE(VLOOKUP($D120,kong_p2_var!$B$20:$H$26,SUBSTITUTE(K$1,"target_","") + 1,FALSE),":",$E120)</f>
        <v>#N/A</v>
      </c>
      <c r="L120" t="e">
        <f>IF($C120="dmz","",CONCATENATE(VLOOKUP($D120,kong_p2_var!$B$20:$H$26,SUBSTITUTE(L$1,"target_","") + 1,FALSE),":",$E120))</f>
        <v>#N/A</v>
      </c>
      <c r="M120" t="e">
        <f>IF($C120="dmz","",CONCATENATE(VLOOKUP($D120,kong_p2_var!$B$20:$H$26,SUBSTITUTE(M$1,"target_","") + 1,FALSE),":",$E120))</f>
        <v>#N/A</v>
      </c>
      <c r="N120" t="e">
        <f>IF($C120="dmz","",CONCATENATE(VLOOKUP($D120,kong_p2_var!$B$20:$H$26,SUBSTITUTE(N$1,"target_","") + 1,FALSE),":",$E120))</f>
        <v>#N/A</v>
      </c>
      <c r="O120" t="e">
        <f>VLOOKUP($D120,kong_p2_var!$B$10:$D$16,3,FALSE)</f>
        <v>#N/A</v>
      </c>
      <c r="P120" t="str">
        <f>CONCATENATE("/",C120,MID(D120,2,15),"/",svc!$I119)</f>
        <v>/0/</v>
      </c>
      <c r="Q120" t="e">
        <f>VLOOKUP(C120,kong_p2_var!$B$6:$C$7,2,FALSE)</f>
        <v>#N/A</v>
      </c>
      <c r="R120" t="e">
        <f>SUBSTITUTE(SUBSTITUTE(kong_p2_var!$J$1,"&lt;upstream_name&gt;",$F120),"&lt;kong_api_url&gt;",$Q120)</f>
        <v>#N/A</v>
      </c>
      <c r="S120" t="e">
        <f>SUBSTITUTE(SUBSTITUTE(SUBSTITUTE(SUBSTITUTE(kong_p2_var!$J$2,"&lt;kong_api_url&gt;",$Q120),"&lt;upstream_name&gt;",$F120),"&lt;port&gt;",$E120),"&lt;service_name&gt;",$G120)</f>
        <v>#N/A</v>
      </c>
      <c r="T120" t="e">
        <f>SUBSTITUTE(SUBSTITUTE(SUBSTITUTE(SUBSTITUTE(SUBSTITUTE(kong_p2_var!$J$3,"&lt;kong_api_url&gt;",$Q120),"&lt;route_name&gt;",$H120),"&lt;service_name&gt;",$G120),"&lt;host&gt;",$O120),"&lt;path&gt;",$P120)</f>
        <v>#N/A</v>
      </c>
      <c r="U120" t="e">
        <f t="shared" si="25"/>
        <v>#N/A</v>
      </c>
      <c r="V120" t="e">
        <f t="shared" si="26"/>
        <v>#N/A</v>
      </c>
      <c r="W120" t="e">
        <f t="shared" si="27"/>
        <v>#N/A</v>
      </c>
      <c r="X120" t="e">
        <f t="shared" si="28"/>
        <v>#N/A</v>
      </c>
      <c r="Y120" t="e">
        <f t="shared" si="29"/>
        <v>#N/A</v>
      </c>
      <c r="Z120" t="e">
        <f t="shared" si="30"/>
        <v>#N/A</v>
      </c>
    </row>
    <row r="121" spans="1:26">
      <c r="A121">
        <f>IF(ISNUMBER(SEARCH("rest_api",svc!R120)),1,0)</f>
        <v>0</v>
      </c>
      <c r="C121">
        <f>svc!D120</f>
        <v>0</v>
      </c>
      <c r="D121">
        <f>svc!$B120</f>
        <v>0</v>
      </c>
      <c r="E121">
        <f>svc!G120</f>
        <v>0</v>
      </c>
      <c r="F121" t="str">
        <f>CONCATENATE("ups-",svc!$B120,"-",svc!I120)</f>
        <v>ups--</v>
      </c>
      <c r="G121" t="str">
        <f>CONCATENATE("svc-",svc!$B120,"-",svc!I120)</f>
        <v>svc--</v>
      </c>
      <c r="H121" t="e">
        <f>CONCATENATE("route-",VLOOKUP($D121,kong_p2_var!$B$10:$D$16,2,FALSE),"-",svc!$B120,"-",svc!I120)</f>
        <v>#N/A</v>
      </c>
      <c r="I121" t="e">
        <f>CONCATENATE(VLOOKUP($D121,kong_p2_var!$B$20:$H$26,SUBSTITUTE(I$1,"target_","") + 1,FALSE),":",$E121)</f>
        <v>#N/A</v>
      </c>
      <c r="J121" t="e">
        <f>CONCATENATE(VLOOKUP($D121,kong_p2_var!$B$20:$H$26,SUBSTITUTE(J$1,"target_","") + 1,FALSE),":",$E121)</f>
        <v>#N/A</v>
      </c>
      <c r="K121" t="e">
        <f>CONCATENATE(VLOOKUP($D121,kong_p2_var!$B$20:$H$26,SUBSTITUTE(K$1,"target_","") + 1,FALSE),":",$E121)</f>
        <v>#N/A</v>
      </c>
      <c r="L121" t="e">
        <f>IF($C121="dmz","",CONCATENATE(VLOOKUP($D121,kong_p2_var!$B$20:$H$26,SUBSTITUTE(L$1,"target_","") + 1,FALSE),":",$E121))</f>
        <v>#N/A</v>
      </c>
      <c r="M121" t="e">
        <f>IF($C121="dmz","",CONCATENATE(VLOOKUP($D121,kong_p2_var!$B$20:$H$26,SUBSTITUTE(M$1,"target_","") + 1,FALSE),":",$E121))</f>
        <v>#N/A</v>
      </c>
      <c r="N121" t="e">
        <f>IF($C121="dmz","",CONCATENATE(VLOOKUP($D121,kong_p2_var!$B$20:$H$26,SUBSTITUTE(N$1,"target_","") + 1,FALSE),":",$E121))</f>
        <v>#N/A</v>
      </c>
      <c r="O121" t="e">
        <f>VLOOKUP($D121,kong_p2_var!$B$10:$D$16,3,FALSE)</f>
        <v>#N/A</v>
      </c>
      <c r="P121" t="str">
        <f>CONCATENATE("/",C121,MID(D121,2,15),"/",svc!$I120)</f>
        <v>/0/</v>
      </c>
      <c r="Q121" t="e">
        <f>VLOOKUP(C121,kong_p2_var!$B$6:$C$7,2,FALSE)</f>
        <v>#N/A</v>
      </c>
      <c r="R121" t="e">
        <f>SUBSTITUTE(SUBSTITUTE(kong_p2_var!$J$1,"&lt;upstream_name&gt;",$F121),"&lt;kong_api_url&gt;",$Q121)</f>
        <v>#N/A</v>
      </c>
      <c r="S121" t="e">
        <f>SUBSTITUTE(SUBSTITUTE(SUBSTITUTE(SUBSTITUTE(kong_p2_var!$J$2,"&lt;kong_api_url&gt;",$Q121),"&lt;upstream_name&gt;",$F121),"&lt;port&gt;",$E121),"&lt;service_name&gt;",$G121)</f>
        <v>#N/A</v>
      </c>
      <c r="T121" t="e">
        <f>SUBSTITUTE(SUBSTITUTE(SUBSTITUTE(SUBSTITUTE(SUBSTITUTE(kong_p2_var!$J$3,"&lt;kong_api_url&gt;",$Q121),"&lt;route_name&gt;",$H121),"&lt;service_name&gt;",$G121),"&lt;host&gt;",$O121),"&lt;path&gt;",$P121)</f>
        <v>#N/A</v>
      </c>
      <c r="U121" t="e">
        <f t="shared" si="25"/>
        <v>#N/A</v>
      </c>
      <c r="V121" t="e">
        <f t="shared" si="26"/>
        <v>#N/A</v>
      </c>
      <c r="W121" t="e">
        <f t="shared" si="27"/>
        <v>#N/A</v>
      </c>
      <c r="X121" t="e">
        <f t="shared" si="28"/>
        <v>#N/A</v>
      </c>
      <c r="Y121" t="e">
        <f t="shared" si="29"/>
        <v>#N/A</v>
      </c>
      <c r="Z121" t="e">
        <f t="shared" si="30"/>
        <v>#N/A</v>
      </c>
    </row>
    <row r="122" spans="1:26">
      <c r="A122">
        <f>IF(ISNUMBER(SEARCH("rest_api",svc!R121)),1,0)</f>
        <v>0</v>
      </c>
      <c r="C122">
        <f>svc!D121</f>
        <v>0</v>
      </c>
      <c r="D122">
        <f>svc!$B121</f>
        <v>0</v>
      </c>
      <c r="E122">
        <f>svc!G121</f>
        <v>0</v>
      </c>
      <c r="F122" t="str">
        <f>CONCATENATE("ups-",svc!$B121,"-",svc!I121)</f>
        <v>ups--</v>
      </c>
      <c r="G122" t="str">
        <f>CONCATENATE("svc-",svc!$B121,"-",svc!I121)</f>
        <v>svc--</v>
      </c>
      <c r="H122" t="e">
        <f>CONCATENATE("route-",VLOOKUP($D122,kong_p2_var!$B$10:$D$16,2,FALSE),"-",svc!$B121,"-",svc!I121)</f>
        <v>#N/A</v>
      </c>
      <c r="I122" t="e">
        <f>CONCATENATE(VLOOKUP($D122,kong_p2_var!$B$20:$H$26,SUBSTITUTE(I$1,"target_","") + 1,FALSE),":",$E122)</f>
        <v>#N/A</v>
      </c>
      <c r="J122" t="e">
        <f>CONCATENATE(VLOOKUP($D122,kong_p2_var!$B$20:$H$26,SUBSTITUTE(J$1,"target_","") + 1,FALSE),":",$E122)</f>
        <v>#N/A</v>
      </c>
      <c r="K122" t="e">
        <f>CONCATENATE(VLOOKUP($D122,kong_p2_var!$B$20:$H$26,SUBSTITUTE(K$1,"target_","") + 1,FALSE),":",$E122)</f>
        <v>#N/A</v>
      </c>
      <c r="L122" t="e">
        <f>IF($C122="dmz","",CONCATENATE(VLOOKUP($D122,kong_p2_var!$B$20:$H$26,SUBSTITUTE(L$1,"target_","") + 1,FALSE),":",$E122))</f>
        <v>#N/A</v>
      </c>
      <c r="M122" t="e">
        <f>IF($C122="dmz","",CONCATENATE(VLOOKUP($D122,kong_p2_var!$B$20:$H$26,SUBSTITUTE(M$1,"target_","") + 1,FALSE),":",$E122))</f>
        <v>#N/A</v>
      </c>
      <c r="N122" t="e">
        <f>IF($C122="dmz","",CONCATENATE(VLOOKUP($D122,kong_p2_var!$B$20:$H$26,SUBSTITUTE(N$1,"target_","") + 1,FALSE),":",$E122))</f>
        <v>#N/A</v>
      </c>
      <c r="O122" t="e">
        <f>VLOOKUP($D122,kong_p2_var!$B$10:$D$16,3,FALSE)</f>
        <v>#N/A</v>
      </c>
      <c r="P122" t="str">
        <f>CONCATENATE("/",C122,MID(D122,2,15),"/",svc!$I121)</f>
        <v>/0/</v>
      </c>
      <c r="Q122" t="e">
        <f>VLOOKUP(C122,kong_p2_var!$B$6:$C$7,2,FALSE)</f>
        <v>#N/A</v>
      </c>
      <c r="R122" t="e">
        <f>SUBSTITUTE(SUBSTITUTE(kong_p2_var!$J$1,"&lt;upstream_name&gt;",$F122),"&lt;kong_api_url&gt;",$Q122)</f>
        <v>#N/A</v>
      </c>
      <c r="S122" t="e">
        <f>SUBSTITUTE(SUBSTITUTE(SUBSTITUTE(SUBSTITUTE(kong_p2_var!$J$2,"&lt;kong_api_url&gt;",$Q122),"&lt;upstream_name&gt;",$F122),"&lt;port&gt;",$E122),"&lt;service_name&gt;",$G122)</f>
        <v>#N/A</v>
      </c>
      <c r="T122" t="e">
        <f>SUBSTITUTE(SUBSTITUTE(SUBSTITUTE(SUBSTITUTE(SUBSTITUTE(kong_p2_var!$J$3,"&lt;kong_api_url&gt;",$Q122),"&lt;route_name&gt;",$H122),"&lt;service_name&gt;",$G122),"&lt;host&gt;",$O122),"&lt;path&gt;",$P122)</f>
        <v>#N/A</v>
      </c>
      <c r="U122" t="e">
        <f t="shared" si="25"/>
        <v>#N/A</v>
      </c>
      <c r="V122" t="e">
        <f t="shared" si="26"/>
        <v>#N/A</v>
      </c>
      <c r="W122" t="e">
        <f t="shared" si="27"/>
        <v>#N/A</v>
      </c>
      <c r="X122" t="e">
        <f t="shared" si="28"/>
        <v>#N/A</v>
      </c>
      <c r="Y122" t="e">
        <f t="shared" si="29"/>
        <v>#N/A</v>
      </c>
      <c r="Z122" t="e">
        <f t="shared" si="30"/>
        <v>#N/A</v>
      </c>
    </row>
    <row r="123" spans="1:26">
      <c r="A123">
        <f>IF(ISNUMBER(SEARCH("rest_api",svc!R122)),1,0)</f>
        <v>0</v>
      </c>
      <c r="C123">
        <f>svc!D122</f>
        <v>0</v>
      </c>
      <c r="D123">
        <f>svc!$B122</f>
        <v>0</v>
      </c>
      <c r="E123">
        <f>svc!G122</f>
        <v>0</v>
      </c>
      <c r="F123" t="str">
        <f>CONCATENATE("ups-",svc!$B122,"-",svc!I122)</f>
        <v>ups--</v>
      </c>
      <c r="G123" t="str">
        <f>CONCATENATE("svc-",svc!$B122,"-",svc!I122)</f>
        <v>svc--</v>
      </c>
      <c r="H123" t="e">
        <f>CONCATENATE("route-",VLOOKUP($D123,kong_p2_var!$B$10:$D$16,2,FALSE),"-",svc!$B122,"-",svc!I122)</f>
        <v>#N/A</v>
      </c>
      <c r="I123" t="e">
        <f>CONCATENATE(VLOOKUP($D123,kong_p2_var!$B$20:$H$26,SUBSTITUTE(I$1,"target_","") + 1,FALSE),":",$E123)</f>
        <v>#N/A</v>
      </c>
      <c r="J123" t="e">
        <f>CONCATENATE(VLOOKUP($D123,kong_p2_var!$B$20:$H$26,SUBSTITUTE(J$1,"target_","") + 1,FALSE),":",$E123)</f>
        <v>#N/A</v>
      </c>
      <c r="K123" t="e">
        <f>CONCATENATE(VLOOKUP($D123,kong_p2_var!$B$20:$H$26,SUBSTITUTE(K$1,"target_","") + 1,FALSE),":",$E123)</f>
        <v>#N/A</v>
      </c>
      <c r="L123" t="e">
        <f>IF($C123="dmz","",CONCATENATE(VLOOKUP($D123,kong_p2_var!$B$20:$H$26,SUBSTITUTE(L$1,"target_","") + 1,FALSE),":",$E123))</f>
        <v>#N/A</v>
      </c>
      <c r="M123" t="e">
        <f>IF($C123="dmz","",CONCATENATE(VLOOKUP($D123,kong_p2_var!$B$20:$H$26,SUBSTITUTE(M$1,"target_","") + 1,FALSE),":",$E123))</f>
        <v>#N/A</v>
      </c>
      <c r="N123" t="e">
        <f>IF($C123="dmz","",CONCATENATE(VLOOKUP($D123,kong_p2_var!$B$20:$H$26,SUBSTITUTE(N$1,"target_","") + 1,FALSE),":",$E123))</f>
        <v>#N/A</v>
      </c>
      <c r="O123" t="e">
        <f>VLOOKUP($D123,kong_p2_var!$B$10:$D$16,3,FALSE)</f>
        <v>#N/A</v>
      </c>
      <c r="P123" t="str">
        <f>CONCATENATE("/",C123,MID(D123,2,15),"/",svc!$I122)</f>
        <v>/0/</v>
      </c>
      <c r="Q123" t="e">
        <f>VLOOKUP(C123,kong_p2_var!$B$6:$C$7,2,FALSE)</f>
        <v>#N/A</v>
      </c>
      <c r="R123" t="e">
        <f>SUBSTITUTE(SUBSTITUTE(kong_p2_var!$J$1,"&lt;upstream_name&gt;",$F123),"&lt;kong_api_url&gt;",$Q123)</f>
        <v>#N/A</v>
      </c>
      <c r="S123" t="e">
        <f>SUBSTITUTE(SUBSTITUTE(SUBSTITUTE(SUBSTITUTE(kong_p2_var!$J$2,"&lt;kong_api_url&gt;",$Q123),"&lt;upstream_name&gt;",$F123),"&lt;port&gt;",$E123),"&lt;service_name&gt;",$G123)</f>
        <v>#N/A</v>
      </c>
      <c r="T123" t="e">
        <f>SUBSTITUTE(SUBSTITUTE(SUBSTITUTE(SUBSTITUTE(SUBSTITUTE(kong_p2_var!$J$3,"&lt;kong_api_url&gt;",$Q123),"&lt;route_name&gt;",$H123),"&lt;service_name&gt;",$G123),"&lt;host&gt;",$O123),"&lt;path&gt;",$P123)</f>
        <v>#N/A</v>
      </c>
      <c r="U123" t="e">
        <f t="shared" si="25"/>
        <v>#N/A</v>
      </c>
      <c r="V123" t="e">
        <f t="shared" si="26"/>
        <v>#N/A</v>
      </c>
      <c r="W123" t="e">
        <f t="shared" si="27"/>
        <v>#N/A</v>
      </c>
      <c r="X123" t="e">
        <f t="shared" si="28"/>
        <v>#N/A</v>
      </c>
      <c r="Y123" t="e">
        <f t="shared" si="29"/>
        <v>#N/A</v>
      </c>
      <c r="Z123" t="e">
        <f t="shared" si="30"/>
        <v>#N/A</v>
      </c>
    </row>
    <row r="124" spans="1:26">
      <c r="A124">
        <f>IF(ISNUMBER(SEARCH("rest_api",svc!R123)),1,0)</f>
        <v>0</v>
      </c>
      <c r="C124">
        <f>svc!D123</f>
        <v>0</v>
      </c>
      <c r="D124">
        <f>svc!$B123</f>
        <v>0</v>
      </c>
      <c r="E124">
        <f>svc!G123</f>
        <v>0</v>
      </c>
      <c r="F124" t="str">
        <f>CONCATENATE("ups-",svc!$B123,"-",svc!I123)</f>
        <v>ups--</v>
      </c>
      <c r="G124" t="str">
        <f>CONCATENATE("svc-",svc!$B123,"-",svc!I123)</f>
        <v>svc--</v>
      </c>
      <c r="H124" t="e">
        <f>CONCATENATE("route-",VLOOKUP($D124,kong_p2_var!$B$10:$D$16,2,FALSE),"-",svc!$B123,"-",svc!I123)</f>
        <v>#N/A</v>
      </c>
      <c r="I124" t="e">
        <f>CONCATENATE(VLOOKUP($D124,kong_p2_var!$B$20:$H$26,SUBSTITUTE(I$1,"target_","") + 1,FALSE),":",$E124)</f>
        <v>#N/A</v>
      </c>
      <c r="J124" t="e">
        <f>CONCATENATE(VLOOKUP($D124,kong_p2_var!$B$20:$H$26,SUBSTITUTE(J$1,"target_","") + 1,FALSE),":",$E124)</f>
        <v>#N/A</v>
      </c>
      <c r="K124" t="e">
        <f>CONCATENATE(VLOOKUP($D124,kong_p2_var!$B$20:$H$26,SUBSTITUTE(K$1,"target_","") + 1,FALSE),":",$E124)</f>
        <v>#N/A</v>
      </c>
      <c r="L124" t="e">
        <f>IF($C124="dmz","",CONCATENATE(VLOOKUP($D124,kong_p2_var!$B$20:$H$26,SUBSTITUTE(L$1,"target_","") + 1,FALSE),":",$E124))</f>
        <v>#N/A</v>
      </c>
      <c r="M124" t="e">
        <f>IF($C124="dmz","",CONCATENATE(VLOOKUP($D124,kong_p2_var!$B$20:$H$26,SUBSTITUTE(M$1,"target_","") + 1,FALSE),":",$E124))</f>
        <v>#N/A</v>
      </c>
      <c r="N124" t="e">
        <f>IF($C124="dmz","",CONCATENATE(VLOOKUP($D124,kong_p2_var!$B$20:$H$26,SUBSTITUTE(N$1,"target_","") + 1,FALSE),":",$E124))</f>
        <v>#N/A</v>
      </c>
      <c r="O124" t="e">
        <f>VLOOKUP($D124,kong_p2_var!$B$10:$D$16,3,FALSE)</f>
        <v>#N/A</v>
      </c>
      <c r="P124" t="str">
        <f>CONCATENATE("/",C124,MID(D124,2,15),"/",svc!$I123)</f>
        <v>/0/</v>
      </c>
      <c r="Q124" t="e">
        <f>VLOOKUP(C124,kong_p2_var!$B$6:$C$7,2,FALSE)</f>
        <v>#N/A</v>
      </c>
      <c r="R124" t="e">
        <f>SUBSTITUTE(SUBSTITUTE(kong_p2_var!$J$1,"&lt;upstream_name&gt;",$F124),"&lt;kong_api_url&gt;",$Q124)</f>
        <v>#N/A</v>
      </c>
      <c r="S124" t="e">
        <f>SUBSTITUTE(SUBSTITUTE(SUBSTITUTE(SUBSTITUTE(kong_p2_var!$J$2,"&lt;kong_api_url&gt;",$Q124),"&lt;upstream_name&gt;",$F124),"&lt;port&gt;",$E124),"&lt;service_name&gt;",$G124)</f>
        <v>#N/A</v>
      </c>
      <c r="T124" t="e">
        <f>SUBSTITUTE(SUBSTITUTE(SUBSTITUTE(SUBSTITUTE(SUBSTITUTE(kong_p2_var!$J$3,"&lt;kong_api_url&gt;",$Q124),"&lt;route_name&gt;",$H124),"&lt;service_name&gt;",$G124),"&lt;host&gt;",$O124),"&lt;path&gt;",$P124)</f>
        <v>#N/A</v>
      </c>
      <c r="U124" t="e">
        <f t="shared" si="25"/>
        <v>#N/A</v>
      </c>
      <c r="V124" t="e">
        <f t="shared" si="26"/>
        <v>#N/A</v>
      </c>
      <c r="W124" t="e">
        <f t="shared" si="27"/>
        <v>#N/A</v>
      </c>
      <c r="X124" t="e">
        <f t="shared" si="28"/>
        <v>#N/A</v>
      </c>
      <c r="Y124" t="e">
        <f t="shared" si="29"/>
        <v>#N/A</v>
      </c>
      <c r="Z124" t="e">
        <f t="shared" si="30"/>
        <v>#N/A</v>
      </c>
    </row>
    <row r="125" spans="1:26">
      <c r="A125">
        <f>IF(ISNUMBER(SEARCH("rest_api",svc!R124)),1,0)</f>
        <v>0</v>
      </c>
      <c r="C125">
        <f>svc!D124</f>
        <v>0</v>
      </c>
      <c r="D125">
        <f>svc!$B124</f>
        <v>0</v>
      </c>
      <c r="E125">
        <f>svc!G124</f>
        <v>0</v>
      </c>
      <c r="F125" t="str">
        <f>CONCATENATE("ups-",svc!$B124,"-",svc!I124)</f>
        <v>ups--</v>
      </c>
      <c r="G125" t="str">
        <f>CONCATENATE("svc-",svc!$B124,"-",svc!I124)</f>
        <v>svc--</v>
      </c>
      <c r="H125" t="e">
        <f>CONCATENATE("route-",VLOOKUP($D125,kong_p2_var!$B$10:$D$16,2,FALSE),"-",svc!$B124,"-",svc!I124)</f>
        <v>#N/A</v>
      </c>
      <c r="I125" t="e">
        <f>CONCATENATE(VLOOKUP($D125,kong_p2_var!$B$20:$H$26,SUBSTITUTE(I$1,"target_","") + 1,FALSE),":",$E125)</f>
        <v>#N/A</v>
      </c>
      <c r="J125" t="e">
        <f>CONCATENATE(VLOOKUP($D125,kong_p2_var!$B$20:$H$26,SUBSTITUTE(J$1,"target_","") + 1,FALSE),":",$E125)</f>
        <v>#N/A</v>
      </c>
      <c r="K125" t="e">
        <f>CONCATENATE(VLOOKUP($D125,kong_p2_var!$B$20:$H$26,SUBSTITUTE(K$1,"target_","") + 1,FALSE),":",$E125)</f>
        <v>#N/A</v>
      </c>
      <c r="L125" t="e">
        <f>IF($C125="dmz","",CONCATENATE(VLOOKUP($D125,kong_p2_var!$B$20:$H$26,SUBSTITUTE(L$1,"target_","") + 1,FALSE),":",$E125))</f>
        <v>#N/A</v>
      </c>
      <c r="M125" t="e">
        <f>IF($C125="dmz","",CONCATENATE(VLOOKUP($D125,kong_p2_var!$B$20:$H$26,SUBSTITUTE(M$1,"target_","") + 1,FALSE),":",$E125))</f>
        <v>#N/A</v>
      </c>
      <c r="N125" t="e">
        <f>IF($C125="dmz","",CONCATENATE(VLOOKUP($D125,kong_p2_var!$B$20:$H$26,SUBSTITUTE(N$1,"target_","") + 1,FALSE),":",$E125))</f>
        <v>#N/A</v>
      </c>
      <c r="O125" t="e">
        <f>VLOOKUP($D125,kong_p2_var!$B$10:$D$16,3,FALSE)</f>
        <v>#N/A</v>
      </c>
      <c r="P125" t="str">
        <f>CONCATENATE("/",C125,MID(D125,2,15),"/",svc!$I124)</f>
        <v>/0/</v>
      </c>
      <c r="Q125" t="e">
        <f>VLOOKUP(C125,kong_p2_var!$B$6:$C$7,2,FALSE)</f>
        <v>#N/A</v>
      </c>
      <c r="R125" t="e">
        <f>SUBSTITUTE(SUBSTITUTE(kong_p2_var!$J$1,"&lt;upstream_name&gt;",$F125),"&lt;kong_api_url&gt;",$Q125)</f>
        <v>#N/A</v>
      </c>
      <c r="S125" t="e">
        <f>SUBSTITUTE(SUBSTITUTE(SUBSTITUTE(SUBSTITUTE(kong_p2_var!$J$2,"&lt;kong_api_url&gt;",$Q125),"&lt;upstream_name&gt;",$F125),"&lt;port&gt;",$E125),"&lt;service_name&gt;",$G125)</f>
        <v>#N/A</v>
      </c>
      <c r="T125" t="e">
        <f>SUBSTITUTE(SUBSTITUTE(SUBSTITUTE(SUBSTITUTE(SUBSTITUTE(kong_p2_var!$J$3,"&lt;kong_api_url&gt;",$Q125),"&lt;route_name&gt;",$H125),"&lt;service_name&gt;",$G125),"&lt;host&gt;",$O125),"&lt;path&gt;",$P125)</f>
        <v>#N/A</v>
      </c>
      <c r="U125" t="e">
        <f t="shared" si="25"/>
        <v>#N/A</v>
      </c>
      <c r="V125" t="e">
        <f t="shared" si="26"/>
        <v>#N/A</v>
      </c>
      <c r="W125" t="e">
        <f t="shared" si="27"/>
        <v>#N/A</v>
      </c>
      <c r="X125" t="e">
        <f t="shared" si="28"/>
        <v>#N/A</v>
      </c>
      <c r="Y125" t="e">
        <f t="shared" si="29"/>
        <v>#N/A</v>
      </c>
      <c r="Z125" t="e">
        <f t="shared" si="30"/>
        <v>#N/A</v>
      </c>
    </row>
    <row r="126" spans="1:26">
      <c r="A126">
        <f>IF(ISNUMBER(SEARCH("rest_api",svc!R125)),1,0)</f>
        <v>0</v>
      </c>
      <c r="C126">
        <f>svc!D125</f>
        <v>0</v>
      </c>
      <c r="D126">
        <f>svc!$B125</f>
        <v>0</v>
      </c>
      <c r="E126">
        <f>svc!G125</f>
        <v>0</v>
      </c>
      <c r="F126" t="str">
        <f>CONCATENATE("ups-",svc!$B125,"-",svc!I125)</f>
        <v>ups--</v>
      </c>
      <c r="G126" t="str">
        <f>CONCATENATE("svc-",svc!$B125,"-",svc!I125)</f>
        <v>svc--</v>
      </c>
      <c r="H126" t="e">
        <f>CONCATENATE("route-",VLOOKUP($D126,kong_p2_var!$B$10:$D$16,2,FALSE),"-",svc!$B125,"-",svc!I125)</f>
        <v>#N/A</v>
      </c>
      <c r="I126" t="e">
        <f>CONCATENATE(VLOOKUP($D126,kong_p2_var!$B$20:$H$26,SUBSTITUTE(I$1,"target_","") + 1,FALSE),":",$E126)</f>
        <v>#N/A</v>
      </c>
      <c r="J126" t="e">
        <f>CONCATENATE(VLOOKUP($D126,kong_p2_var!$B$20:$H$26,SUBSTITUTE(J$1,"target_","") + 1,FALSE),":",$E126)</f>
        <v>#N/A</v>
      </c>
      <c r="K126" t="e">
        <f>CONCATENATE(VLOOKUP($D126,kong_p2_var!$B$20:$H$26,SUBSTITUTE(K$1,"target_","") + 1,FALSE),":",$E126)</f>
        <v>#N/A</v>
      </c>
      <c r="L126" t="e">
        <f>IF($C126="dmz","",CONCATENATE(VLOOKUP($D126,kong_p2_var!$B$20:$H$26,SUBSTITUTE(L$1,"target_","") + 1,FALSE),":",$E126))</f>
        <v>#N/A</v>
      </c>
      <c r="M126" t="e">
        <f>IF($C126="dmz","",CONCATENATE(VLOOKUP($D126,kong_p2_var!$B$20:$H$26,SUBSTITUTE(M$1,"target_","") + 1,FALSE),":",$E126))</f>
        <v>#N/A</v>
      </c>
      <c r="N126" t="e">
        <f>IF($C126="dmz","",CONCATENATE(VLOOKUP($D126,kong_p2_var!$B$20:$H$26,SUBSTITUTE(N$1,"target_","") + 1,FALSE),":",$E126))</f>
        <v>#N/A</v>
      </c>
      <c r="O126" t="e">
        <f>VLOOKUP($D126,kong_p2_var!$B$10:$D$16,3,FALSE)</f>
        <v>#N/A</v>
      </c>
      <c r="P126" t="str">
        <f>CONCATENATE("/",C126,MID(D126,2,15),"/",svc!$I125)</f>
        <v>/0/</v>
      </c>
      <c r="Q126" t="e">
        <f>VLOOKUP(C126,kong_p2_var!$B$6:$C$7,2,FALSE)</f>
        <v>#N/A</v>
      </c>
      <c r="R126" t="e">
        <f>SUBSTITUTE(SUBSTITUTE(kong_p2_var!$J$1,"&lt;upstream_name&gt;",$F126),"&lt;kong_api_url&gt;",$Q126)</f>
        <v>#N/A</v>
      </c>
      <c r="S126" t="e">
        <f>SUBSTITUTE(SUBSTITUTE(SUBSTITUTE(SUBSTITUTE(kong_p2_var!$J$2,"&lt;kong_api_url&gt;",$Q126),"&lt;upstream_name&gt;",$F126),"&lt;port&gt;",$E126),"&lt;service_name&gt;",$G126)</f>
        <v>#N/A</v>
      </c>
      <c r="T126" t="e">
        <f>SUBSTITUTE(SUBSTITUTE(SUBSTITUTE(SUBSTITUTE(SUBSTITUTE(kong_p2_var!$J$3,"&lt;kong_api_url&gt;",$Q126),"&lt;route_name&gt;",$H126),"&lt;service_name&gt;",$G126),"&lt;host&gt;",$O126),"&lt;path&gt;",$P126)</f>
        <v>#N/A</v>
      </c>
      <c r="U126" t="e">
        <f t="shared" si="25"/>
        <v>#N/A</v>
      </c>
      <c r="V126" t="e">
        <f t="shared" si="26"/>
        <v>#N/A</v>
      </c>
      <c r="W126" t="e">
        <f t="shared" si="27"/>
        <v>#N/A</v>
      </c>
      <c r="X126" t="e">
        <f t="shared" si="28"/>
        <v>#N/A</v>
      </c>
      <c r="Y126" t="e">
        <f t="shared" si="29"/>
        <v>#N/A</v>
      </c>
      <c r="Z126" t="e">
        <f t="shared" si="30"/>
        <v>#N/A</v>
      </c>
    </row>
    <row r="127" spans="1:26">
      <c r="A127">
        <f>IF(ISNUMBER(SEARCH("rest_api",svc!R126)),1,0)</f>
        <v>0</v>
      </c>
      <c r="C127">
        <f>svc!D126</f>
        <v>0</v>
      </c>
      <c r="D127">
        <f>svc!$B126</f>
        <v>0</v>
      </c>
      <c r="E127">
        <f>svc!G126</f>
        <v>0</v>
      </c>
      <c r="F127" t="str">
        <f>CONCATENATE("ups-",svc!$B126,"-",svc!I126)</f>
        <v>ups--</v>
      </c>
      <c r="G127" t="str">
        <f>CONCATENATE("svc-",svc!$B126,"-",svc!I126)</f>
        <v>svc--</v>
      </c>
      <c r="H127" t="e">
        <f>CONCATENATE("route-",VLOOKUP($D127,kong_p2_var!$B$10:$D$16,2,FALSE),"-",svc!$B126,"-",svc!I126)</f>
        <v>#N/A</v>
      </c>
      <c r="I127" t="e">
        <f>CONCATENATE(VLOOKUP($D127,kong_p2_var!$B$20:$H$26,SUBSTITUTE(I$1,"target_","") + 1,FALSE),":",$E127)</f>
        <v>#N/A</v>
      </c>
      <c r="J127" t="e">
        <f>CONCATENATE(VLOOKUP($D127,kong_p2_var!$B$20:$H$26,SUBSTITUTE(J$1,"target_","") + 1,FALSE),":",$E127)</f>
        <v>#N/A</v>
      </c>
      <c r="K127" t="e">
        <f>CONCATENATE(VLOOKUP($D127,kong_p2_var!$B$20:$H$26,SUBSTITUTE(K$1,"target_","") + 1,FALSE),":",$E127)</f>
        <v>#N/A</v>
      </c>
      <c r="L127" t="e">
        <f>IF($C127="dmz","",CONCATENATE(VLOOKUP($D127,kong_p2_var!$B$20:$H$26,SUBSTITUTE(L$1,"target_","") + 1,FALSE),":",$E127))</f>
        <v>#N/A</v>
      </c>
      <c r="M127" t="e">
        <f>IF($C127="dmz","",CONCATENATE(VLOOKUP($D127,kong_p2_var!$B$20:$H$26,SUBSTITUTE(M$1,"target_","") + 1,FALSE),":",$E127))</f>
        <v>#N/A</v>
      </c>
      <c r="N127" t="e">
        <f>IF($C127="dmz","",CONCATENATE(VLOOKUP($D127,kong_p2_var!$B$20:$H$26,SUBSTITUTE(N$1,"target_","") + 1,FALSE),":",$E127))</f>
        <v>#N/A</v>
      </c>
      <c r="O127" t="e">
        <f>VLOOKUP($D127,kong_p2_var!$B$10:$D$16,3,FALSE)</f>
        <v>#N/A</v>
      </c>
      <c r="P127" t="str">
        <f>CONCATENATE("/",C127,MID(D127,2,15),"/",svc!$I126)</f>
        <v>/0/</v>
      </c>
      <c r="Q127" t="e">
        <f>VLOOKUP(C127,kong_p2_var!$B$6:$C$7,2,FALSE)</f>
        <v>#N/A</v>
      </c>
      <c r="R127" t="e">
        <f>SUBSTITUTE(SUBSTITUTE(kong_p2_var!$J$1,"&lt;upstream_name&gt;",$F127),"&lt;kong_api_url&gt;",$Q127)</f>
        <v>#N/A</v>
      </c>
      <c r="S127" t="e">
        <f>SUBSTITUTE(SUBSTITUTE(SUBSTITUTE(SUBSTITUTE(kong_p2_var!$J$2,"&lt;kong_api_url&gt;",$Q127),"&lt;upstream_name&gt;",$F127),"&lt;port&gt;",$E127),"&lt;service_name&gt;",$G127)</f>
        <v>#N/A</v>
      </c>
      <c r="T127" t="e">
        <f>SUBSTITUTE(SUBSTITUTE(SUBSTITUTE(SUBSTITUTE(SUBSTITUTE(kong_p2_var!$J$3,"&lt;kong_api_url&gt;",$Q127),"&lt;route_name&gt;",$H127),"&lt;service_name&gt;",$G127),"&lt;host&gt;",$O127),"&lt;path&gt;",$P127)</f>
        <v>#N/A</v>
      </c>
      <c r="U127" t="e">
        <f t="shared" si="25"/>
        <v>#N/A</v>
      </c>
      <c r="V127" t="e">
        <f t="shared" si="26"/>
        <v>#N/A</v>
      </c>
      <c r="W127" t="e">
        <f t="shared" si="27"/>
        <v>#N/A</v>
      </c>
      <c r="X127" t="e">
        <f t="shared" si="28"/>
        <v>#N/A</v>
      </c>
      <c r="Y127" t="e">
        <f t="shared" si="29"/>
        <v>#N/A</v>
      </c>
      <c r="Z127" t="e">
        <f t="shared" si="30"/>
        <v>#N/A</v>
      </c>
    </row>
    <row r="128" spans="1:26">
      <c r="A128">
        <f>IF(ISNUMBER(SEARCH("rest_api",svc!R127)),1,0)</f>
        <v>0</v>
      </c>
      <c r="C128">
        <f>svc!D127</f>
        <v>0</v>
      </c>
      <c r="D128">
        <f>svc!$B127</f>
        <v>0</v>
      </c>
      <c r="E128">
        <f>svc!G127</f>
        <v>0</v>
      </c>
      <c r="F128" t="str">
        <f>CONCATENATE("ups-",svc!$B127,"-",svc!I127)</f>
        <v>ups--</v>
      </c>
      <c r="G128" t="str">
        <f>CONCATENATE("svc-",svc!$B127,"-",svc!I127)</f>
        <v>svc--</v>
      </c>
      <c r="H128" t="e">
        <f>CONCATENATE("route-",VLOOKUP($D128,kong_p2_var!$B$10:$D$16,2,FALSE),"-",svc!$B127,"-",svc!I127)</f>
        <v>#N/A</v>
      </c>
      <c r="I128" t="e">
        <f>CONCATENATE(VLOOKUP($D128,kong_p2_var!$B$20:$H$26,SUBSTITUTE(I$1,"target_","") + 1,FALSE),":",$E128)</f>
        <v>#N/A</v>
      </c>
      <c r="J128" t="e">
        <f>CONCATENATE(VLOOKUP($D128,kong_p2_var!$B$20:$H$26,SUBSTITUTE(J$1,"target_","") + 1,FALSE),":",$E128)</f>
        <v>#N/A</v>
      </c>
      <c r="K128" t="e">
        <f>CONCATENATE(VLOOKUP($D128,kong_p2_var!$B$20:$H$26,SUBSTITUTE(K$1,"target_","") + 1,FALSE),":",$E128)</f>
        <v>#N/A</v>
      </c>
      <c r="L128" t="e">
        <f>IF($C128="dmz","",CONCATENATE(VLOOKUP($D128,kong_p2_var!$B$20:$H$26,SUBSTITUTE(L$1,"target_","") + 1,FALSE),":",$E128))</f>
        <v>#N/A</v>
      </c>
      <c r="M128" t="e">
        <f>IF($C128="dmz","",CONCATENATE(VLOOKUP($D128,kong_p2_var!$B$20:$H$26,SUBSTITUTE(M$1,"target_","") + 1,FALSE),":",$E128))</f>
        <v>#N/A</v>
      </c>
      <c r="N128" t="e">
        <f>IF($C128="dmz","",CONCATENATE(VLOOKUP($D128,kong_p2_var!$B$20:$H$26,SUBSTITUTE(N$1,"target_","") + 1,FALSE),":",$E128))</f>
        <v>#N/A</v>
      </c>
      <c r="O128" t="e">
        <f>VLOOKUP($D128,kong_p2_var!$B$10:$D$16,3,FALSE)</f>
        <v>#N/A</v>
      </c>
      <c r="P128" t="str">
        <f>CONCATENATE("/",C128,MID(D128,2,15),"/",svc!$I127)</f>
        <v>/0/</v>
      </c>
      <c r="Q128" t="e">
        <f>VLOOKUP(C128,kong_p2_var!$B$6:$C$7,2,FALSE)</f>
        <v>#N/A</v>
      </c>
      <c r="R128" t="e">
        <f>SUBSTITUTE(SUBSTITUTE(kong_p2_var!$J$1,"&lt;upstream_name&gt;",$F128),"&lt;kong_api_url&gt;",$Q128)</f>
        <v>#N/A</v>
      </c>
      <c r="S128" t="e">
        <f>SUBSTITUTE(SUBSTITUTE(SUBSTITUTE(SUBSTITUTE(kong_p2_var!$J$2,"&lt;kong_api_url&gt;",$Q128),"&lt;upstream_name&gt;",$F128),"&lt;port&gt;",$E128),"&lt;service_name&gt;",$G128)</f>
        <v>#N/A</v>
      </c>
      <c r="T128" t="e">
        <f>SUBSTITUTE(SUBSTITUTE(SUBSTITUTE(SUBSTITUTE(SUBSTITUTE(kong_p2_var!$J$3,"&lt;kong_api_url&gt;",$Q128),"&lt;route_name&gt;",$H128),"&lt;service_name&gt;",$G128),"&lt;host&gt;",$O128),"&lt;path&gt;",$P128)</f>
        <v>#N/A</v>
      </c>
      <c r="U128" t="e">
        <f t="shared" si="25"/>
        <v>#N/A</v>
      </c>
      <c r="V128" t="e">
        <f t="shared" si="26"/>
        <v>#N/A</v>
      </c>
      <c r="W128" t="e">
        <f t="shared" si="27"/>
        <v>#N/A</v>
      </c>
      <c r="X128" t="e">
        <f t="shared" si="28"/>
        <v>#N/A</v>
      </c>
      <c r="Y128" t="e">
        <f t="shared" si="29"/>
        <v>#N/A</v>
      </c>
      <c r="Z128" t="e">
        <f t="shared" si="30"/>
        <v>#N/A</v>
      </c>
    </row>
    <row r="129" spans="1:26">
      <c r="A129">
        <f>IF(ISNUMBER(SEARCH("rest_api",svc!R128)),1,0)</f>
        <v>0</v>
      </c>
      <c r="C129">
        <f>svc!D128</f>
        <v>0</v>
      </c>
      <c r="D129">
        <f>svc!$B128</f>
        <v>0</v>
      </c>
      <c r="E129">
        <f>svc!G128</f>
        <v>0</v>
      </c>
      <c r="F129" t="str">
        <f>CONCATENATE("ups-",svc!$B128,"-",svc!I128)</f>
        <v>ups--</v>
      </c>
      <c r="G129" t="str">
        <f>CONCATENATE("svc-",svc!$B128,"-",svc!I128)</f>
        <v>svc--</v>
      </c>
      <c r="H129" t="e">
        <f>CONCATENATE("route-",VLOOKUP($D129,kong_p2_var!$B$10:$D$16,2,FALSE),"-",svc!$B128,"-",svc!I128)</f>
        <v>#N/A</v>
      </c>
      <c r="I129" t="e">
        <f>CONCATENATE(VLOOKUP($D129,kong_p2_var!$B$20:$H$26,SUBSTITUTE(I$1,"target_","") + 1,FALSE),":",$E129)</f>
        <v>#N/A</v>
      </c>
      <c r="J129" t="e">
        <f>CONCATENATE(VLOOKUP($D129,kong_p2_var!$B$20:$H$26,SUBSTITUTE(J$1,"target_","") + 1,FALSE),":",$E129)</f>
        <v>#N/A</v>
      </c>
      <c r="K129" t="e">
        <f>CONCATENATE(VLOOKUP($D129,kong_p2_var!$B$20:$H$26,SUBSTITUTE(K$1,"target_","") + 1,FALSE),":",$E129)</f>
        <v>#N/A</v>
      </c>
      <c r="L129" t="e">
        <f>IF($C129="dmz","",CONCATENATE(VLOOKUP($D129,kong_p2_var!$B$20:$H$26,SUBSTITUTE(L$1,"target_","") + 1,FALSE),":",$E129))</f>
        <v>#N/A</v>
      </c>
      <c r="M129" t="e">
        <f>IF($C129="dmz","",CONCATENATE(VLOOKUP($D129,kong_p2_var!$B$20:$H$26,SUBSTITUTE(M$1,"target_","") + 1,FALSE),":",$E129))</f>
        <v>#N/A</v>
      </c>
      <c r="N129" t="e">
        <f>IF($C129="dmz","",CONCATENATE(VLOOKUP($D129,kong_p2_var!$B$20:$H$26,SUBSTITUTE(N$1,"target_","") + 1,FALSE),":",$E129))</f>
        <v>#N/A</v>
      </c>
      <c r="O129" t="e">
        <f>VLOOKUP($D129,kong_p2_var!$B$10:$D$16,3,FALSE)</f>
        <v>#N/A</v>
      </c>
      <c r="P129" t="str">
        <f>CONCATENATE("/",C129,MID(D129,2,15),"/",svc!$I128)</f>
        <v>/0/</v>
      </c>
      <c r="Q129" t="e">
        <f>VLOOKUP(C129,kong_p2_var!$B$6:$C$7,2,FALSE)</f>
        <v>#N/A</v>
      </c>
      <c r="R129" t="e">
        <f>SUBSTITUTE(SUBSTITUTE(kong_p2_var!$J$1,"&lt;upstream_name&gt;",$F129),"&lt;kong_api_url&gt;",$Q129)</f>
        <v>#N/A</v>
      </c>
      <c r="S129" t="e">
        <f>SUBSTITUTE(SUBSTITUTE(SUBSTITUTE(SUBSTITUTE(kong_p2_var!$J$2,"&lt;kong_api_url&gt;",$Q129),"&lt;upstream_name&gt;",$F129),"&lt;port&gt;",$E129),"&lt;service_name&gt;",$G129)</f>
        <v>#N/A</v>
      </c>
      <c r="T129" t="e">
        <f>SUBSTITUTE(SUBSTITUTE(SUBSTITUTE(SUBSTITUTE(SUBSTITUTE(kong_p2_var!$J$3,"&lt;kong_api_url&gt;",$Q129),"&lt;route_name&gt;",$H129),"&lt;service_name&gt;",$G129),"&lt;host&gt;",$O129),"&lt;path&gt;",$P129)</f>
        <v>#N/A</v>
      </c>
      <c r="U129" t="e">
        <f t="shared" si="25"/>
        <v>#N/A</v>
      </c>
      <c r="V129" t="e">
        <f t="shared" si="26"/>
        <v>#N/A</v>
      </c>
      <c r="W129" t="e">
        <f t="shared" si="27"/>
        <v>#N/A</v>
      </c>
      <c r="X129" t="e">
        <f t="shared" si="28"/>
        <v>#N/A</v>
      </c>
      <c r="Y129" t="e">
        <f t="shared" si="29"/>
        <v>#N/A</v>
      </c>
      <c r="Z129" t="e">
        <f t="shared" si="30"/>
        <v>#N/A</v>
      </c>
    </row>
    <row r="130" spans="1:26">
      <c r="A130">
        <f>IF(ISNUMBER(SEARCH("rest_api",svc!R129)),1,0)</f>
        <v>0</v>
      </c>
      <c r="C130">
        <f>svc!D129</f>
        <v>0</v>
      </c>
      <c r="D130">
        <f>svc!$B129</f>
        <v>0</v>
      </c>
      <c r="E130">
        <f>svc!G129</f>
        <v>0</v>
      </c>
      <c r="F130" t="str">
        <f>CONCATENATE("ups-",svc!$B129,"-",svc!I129)</f>
        <v>ups--</v>
      </c>
      <c r="G130" t="str">
        <f>CONCATENATE("svc-",svc!$B129,"-",svc!I129)</f>
        <v>svc--</v>
      </c>
      <c r="H130" t="e">
        <f>CONCATENATE("route-",VLOOKUP($D130,kong_p2_var!$B$10:$D$16,2,FALSE),"-",svc!$B129,"-",svc!I129)</f>
        <v>#N/A</v>
      </c>
      <c r="I130" t="e">
        <f>CONCATENATE(VLOOKUP($D130,kong_p2_var!$B$20:$H$26,SUBSTITUTE(I$1,"target_","") + 1,FALSE),":",$E130)</f>
        <v>#N/A</v>
      </c>
      <c r="J130" t="e">
        <f>CONCATENATE(VLOOKUP($D130,kong_p2_var!$B$20:$H$26,SUBSTITUTE(J$1,"target_","") + 1,FALSE),":",$E130)</f>
        <v>#N/A</v>
      </c>
      <c r="K130" t="e">
        <f>CONCATENATE(VLOOKUP($D130,kong_p2_var!$B$20:$H$26,SUBSTITUTE(K$1,"target_","") + 1,FALSE),":",$E130)</f>
        <v>#N/A</v>
      </c>
      <c r="L130" t="e">
        <f>IF($C130="dmz","",CONCATENATE(VLOOKUP($D130,kong_p2_var!$B$20:$H$26,SUBSTITUTE(L$1,"target_","") + 1,FALSE),":",$E130))</f>
        <v>#N/A</v>
      </c>
      <c r="M130" t="e">
        <f>IF($C130="dmz","",CONCATENATE(VLOOKUP($D130,kong_p2_var!$B$20:$H$26,SUBSTITUTE(M$1,"target_","") + 1,FALSE),":",$E130))</f>
        <v>#N/A</v>
      </c>
      <c r="N130" t="e">
        <f>IF($C130="dmz","",CONCATENATE(VLOOKUP($D130,kong_p2_var!$B$20:$H$26,SUBSTITUTE(N$1,"target_","") + 1,FALSE),":",$E130))</f>
        <v>#N/A</v>
      </c>
      <c r="O130" t="e">
        <f>VLOOKUP($D130,kong_p2_var!$B$10:$D$16,3,FALSE)</f>
        <v>#N/A</v>
      </c>
      <c r="P130" t="str">
        <f>CONCATENATE("/",C130,MID(D130,2,15),"/",svc!$I129)</f>
        <v>/0/</v>
      </c>
      <c r="Q130" t="e">
        <f>VLOOKUP(C130,kong_p2_var!$B$6:$C$7,2,FALSE)</f>
        <v>#N/A</v>
      </c>
      <c r="R130" t="e">
        <f>SUBSTITUTE(SUBSTITUTE(kong_p2_var!$J$1,"&lt;upstream_name&gt;",$F130),"&lt;kong_api_url&gt;",$Q130)</f>
        <v>#N/A</v>
      </c>
      <c r="S130" t="e">
        <f>SUBSTITUTE(SUBSTITUTE(SUBSTITUTE(SUBSTITUTE(kong_p2_var!$J$2,"&lt;kong_api_url&gt;",$Q130),"&lt;upstream_name&gt;",$F130),"&lt;port&gt;",$E130),"&lt;service_name&gt;",$G130)</f>
        <v>#N/A</v>
      </c>
      <c r="T130" t="e">
        <f>SUBSTITUTE(SUBSTITUTE(SUBSTITUTE(SUBSTITUTE(SUBSTITUTE(kong_p2_var!$J$3,"&lt;kong_api_url&gt;",$Q130),"&lt;route_name&gt;",$H130),"&lt;service_name&gt;",$G130),"&lt;host&gt;",$O130),"&lt;path&gt;",$P130)</f>
        <v>#N/A</v>
      </c>
      <c r="U130" t="e">
        <f t="shared" si="25"/>
        <v>#N/A</v>
      </c>
      <c r="V130" t="e">
        <f t="shared" si="26"/>
        <v>#N/A</v>
      </c>
      <c r="W130" t="e">
        <f t="shared" si="27"/>
        <v>#N/A</v>
      </c>
      <c r="X130" t="e">
        <f t="shared" si="28"/>
        <v>#N/A</v>
      </c>
      <c r="Y130" t="e">
        <f t="shared" si="29"/>
        <v>#N/A</v>
      </c>
      <c r="Z130" t="e">
        <f t="shared" si="30"/>
        <v>#N/A</v>
      </c>
    </row>
    <row r="131" spans="1:26">
      <c r="A131">
        <f>IF(ISNUMBER(SEARCH("rest_api",svc!R130)),1,0)</f>
        <v>0</v>
      </c>
      <c r="C131">
        <f>svc!D130</f>
        <v>0</v>
      </c>
      <c r="D131">
        <f>svc!$B130</f>
        <v>0</v>
      </c>
      <c r="E131">
        <f>svc!G130</f>
        <v>0</v>
      </c>
      <c r="F131" t="str">
        <f>CONCATENATE("ups-",svc!$B130,"-",svc!I130)</f>
        <v>ups--</v>
      </c>
      <c r="G131" t="str">
        <f>CONCATENATE("svc-",svc!$B130,"-",svc!I130)</f>
        <v>svc--</v>
      </c>
      <c r="H131" t="e">
        <f>CONCATENATE("route-",VLOOKUP($D131,kong_p2_var!$B$10:$D$16,2,FALSE),"-",svc!$B130,"-",svc!I130)</f>
        <v>#N/A</v>
      </c>
      <c r="I131" t="e">
        <f>CONCATENATE(VLOOKUP($D131,kong_p2_var!$B$20:$H$26,SUBSTITUTE(I$1,"target_","") + 1,FALSE),":",$E131)</f>
        <v>#N/A</v>
      </c>
      <c r="J131" t="e">
        <f>CONCATENATE(VLOOKUP($D131,kong_p2_var!$B$20:$H$26,SUBSTITUTE(J$1,"target_","") + 1,FALSE),":",$E131)</f>
        <v>#N/A</v>
      </c>
      <c r="K131" t="e">
        <f>CONCATENATE(VLOOKUP($D131,kong_p2_var!$B$20:$H$26,SUBSTITUTE(K$1,"target_","") + 1,FALSE),":",$E131)</f>
        <v>#N/A</v>
      </c>
      <c r="L131" t="e">
        <f>IF($C131="dmz","",CONCATENATE(VLOOKUP($D131,kong_p2_var!$B$20:$H$26,SUBSTITUTE(L$1,"target_","") + 1,FALSE),":",$E131))</f>
        <v>#N/A</v>
      </c>
      <c r="M131" t="e">
        <f>IF($C131="dmz","",CONCATENATE(VLOOKUP($D131,kong_p2_var!$B$20:$H$26,SUBSTITUTE(M$1,"target_","") + 1,FALSE),":",$E131))</f>
        <v>#N/A</v>
      </c>
      <c r="N131" t="e">
        <f>IF($C131="dmz","",CONCATENATE(VLOOKUP($D131,kong_p2_var!$B$20:$H$26,SUBSTITUTE(N$1,"target_","") + 1,FALSE),":",$E131))</f>
        <v>#N/A</v>
      </c>
      <c r="O131" t="e">
        <f>VLOOKUP($D131,kong_p2_var!$B$10:$D$16,3,FALSE)</f>
        <v>#N/A</v>
      </c>
      <c r="P131" t="str">
        <f>CONCATENATE("/",C131,MID(D131,2,15),"/",svc!$I130)</f>
        <v>/0/</v>
      </c>
      <c r="Q131" t="e">
        <f>VLOOKUP(C131,kong_p2_var!$B$6:$C$7,2,FALSE)</f>
        <v>#N/A</v>
      </c>
      <c r="R131" t="e">
        <f>SUBSTITUTE(SUBSTITUTE(kong_p2_var!$J$1,"&lt;upstream_name&gt;",$F131),"&lt;kong_api_url&gt;",$Q131)</f>
        <v>#N/A</v>
      </c>
      <c r="S131" t="e">
        <f>SUBSTITUTE(SUBSTITUTE(SUBSTITUTE(SUBSTITUTE(kong_p2_var!$J$2,"&lt;kong_api_url&gt;",$Q131),"&lt;upstream_name&gt;",$F131),"&lt;port&gt;",$E131),"&lt;service_name&gt;",$G131)</f>
        <v>#N/A</v>
      </c>
      <c r="T131" t="e">
        <f>SUBSTITUTE(SUBSTITUTE(SUBSTITUTE(SUBSTITUTE(SUBSTITUTE(kong_p2_var!$J$3,"&lt;kong_api_url&gt;",$Q131),"&lt;route_name&gt;",$H131),"&lt;service_name&gt;",$G131),"&lt;host&gt;",$O131),"&lt;path&gt;",$P131)</f>
        <v>#N/A</v>
      </c>
      <c r="U131" t="e">
        <f t="shared" si="25"/>
        <v>#N/A</v>
      </c>
      <c r="V131" t="e">
        <f t="shared" si="26"/>
        <v>#N/A</v>
      </c>
      <c r="W131" t="e">
        <f t="shared" si="27"/>
        <v>#N/A</v>
      </c>
      <c r="X131" t="e">
        <f t="shared" si="28"/>
        <v>#N/A</v>
      </c>
      <c r="Y131" t="e">
        <f t="shared" si="29"/>
        <v>#N/A</v>
      </c>
      <c r="Z131" t="e">
        <f t="shared" si="30"/>
        <v>#N/A</v>
      </c>
    </row>
    <row r="132" spans="1:26">
      <c r="A132">
        <f>IF(ISNUMBER(SEARCH("rest_api",svc!R131)),1,0)</f>
        <v>0</v>
      </c>
      <c r="C132">
        <f>svc!D131</f>
        <v>0</v>
      </c>
      <c r="D132">
        <f>svc!$B131</f>
        <v>0</v>
      </c>
      <c r="E132">
        <f>svc!G131</f>
        <v>0</v>
      </c>
      <c r="F132" t="str">
        <f>CONCATENATE("ups-",svc!$B131,"-",svc!I131)</f>
        <v>ups--</v>
      </c>
      <c r="G132" t="str">
        <f>CONCATENATE("svc-",svc!$B131,"-",svc!I131)</f>
        <v>svc--</v>
      </c>
      <c r="H132" t="e">
        <f>CONCATENATE("route-",VLOOKUP($D132,kong_p2_var!$B$10:$D$16,2,FALSE),"-",svc!$B131,"-",svc!I131)</f>
        <v>#N/A</v>
      </c>
      <c r="I132" t="e">
        <f>CONCATENATE(VLOOKUP($D132,kong_p2_var!$B$20:$H$26,SUBSTITUTE(I$1,"target_","") + 1,FALSE),":",$E132)</f>
        <v>#N/A</v>
      </c>
      <c r="J132" t="e">
        <f>CONCATENATE(VLOOKUP($D132,kong_p2_var!$B$20:$H$26,SUBSTITUTE(J$1,"target_","") + 1,FALSE),":",$E132)</f>
        <v>#N/A</v>
      </c>
      <c r="K132" t="e">
        <f>CONCATENATE(VLOOKUP($D132,kong_p2_var!$B$20:$H$26,SUBSTITUTE(K$1,"target_","") + 1,FALSE),":",$E132)</f>
        <v>#N/A</v>
      </c>
      <c r="L132" t="e">
        <f>IF($C132="dmz","",CONCATENATE(VLOOKUP($D132,kong_p2_var!$B$20:$H$26,SUBSTITUTE(L$1,"target_","") + 1,FALSE),":",$E132))</f>
        <v>#N/A</v>
      </c>
      <c r="M132" t="e">
        <f>IF($C132="dmz","",CONCATENATE(VLOOKUP($D132,kong_p2_var!$B$20:$H$26,SUBSTITUTE(M$1,"target_","") + 1,FALSE),":",$E132))</f>
        <v>#N/A</v>
      </c>
      <c r="N132" t="e">
        <f>IF($C132="dmz","",CONCATENATE(VLOOKUP($D132,kong_p2_var!$B$20:$H$26,SUBSTITUTE(N$1,"target_","") + 1,FALSE),":",$E132))</f>
        <v>#N/A</v>
      </c>
      <c r="O132" t="e">
        <f>VLOOKUP($D132,kong_p2_var!$B$10:$D$16,3,FALSE)</f>
        <v>#N/A</v>
      </c>
      <c r="P132" t="str">
        <f>CONCATENATE("/",C132,MID(D132,2,15),"/",svc!$I131)</f>
        <v>/0/</v>
      </c>
      <c r="Q132" t="e">
        <f>VLOOKUP(C132,kong_p2_var!$B$6:$C$7,2,FALSE)</f>
        <v>#N/A</v>
      </c>
      <c r="R132" t="e">
        <f>SUBSTITUTE(SUBSTITUTE(kong_p2_var!$J$1,"&lt;upstream_name&gt;",$F132),"&lt;kong_api_url&gt;",$Q132)</f>
        <v>#N/A</v>
      </c>
      <c r="S132" t="e">
        <f>SUBSTITUTE(SUBSTITUTE(SUBSTITUTE(SUBSTITUTE(kong_p2_var!$J$2,"&lt;kong_api_url&gt;",$Q132),"&lt;upstream_name&gt;",$F132),"&lt;port&gt;",$E132),"&lt;service_name&gt;",$G132)</f>
        <v>#N/A</v>
      </c>
      <c r="T132" t="e">
        <f>SUBSTITUTE(SUBSTITUTE(SUBSTITUTE(SUBSTITUTE(SUBSTITUTE(kong_p2_var!$J$3,"&lt;kong_api_url&gt;",$Q132),"&lt;route_name&gt;",$H132),"&lt;service_name&gt;",$G132),"&lt;host&gt;",$O132),"&lt;path&gt;",$P132)</f>
        <v>#N/A</v>
      </c>
      <c r="U132" t="e">
        <f t="shared" si="25"/>
        <v>#N/A</v>
      </c>
      <c r="V132" t="e">
        <f t="shared" si="26"/>
        <v>#N/A</v>
      </c>
      <c r="W132" t="e">
        <f t="shared" si="27"/>
        <v>#N/A</v>
      </c>
      <c r="X132" t="e">
        <f t="shared" si="28"/>
        <v>#N/A</v>
      </c>
      <c r="Y132" t="e">
        <f t="shared" si="29"/>
        <v>#N/A</v>
      </c>
      <c r="Z132" t="e">
        <f t="shared" si="30"/>
        <v>#N/A</v>
      </c>
    </row>
    <row r="133" spans="1:26">
      <c r="A133">
        <f>IF(ISNUMBER(SEARCH("rest_api",svc!R132)),1,0)</f>
        <v>0</v>
      </c>
      <c r="C133">
        <f>svc!D132</f>
        <v>0</v>
      </c>
      <c r="D133">
        <f>svc!$B132</f>
        <v>0</v>
      </c>
      <c r="E133">
        <f>svc!G132</f>
        <v>0</v>
      </c>
      <c r="F133" t="str">
        <f>CONCATENATE("ups-",svc!$B132,"-",svc!I132)</f>
        <v>ups--</v>
      </c>
      <c r="G133" t="str">
        <f>CONCATENATE("svc-",svc!$B132,"-",svc!I132)</f>
        <v>svc--</v>
      </c>
      <c r="H133" t="e">
        <f>CONCATENATE("route-",VLOOKUP($D133,kong_p2_var!$B$10:$D$16,2,FALSE),"-",svc!$B132,"-",svc!I132)</f>
        <v>#N/A</v>
      </c>
      <c r="I133" t="e">
        <f>CONCATENATE(VLOOKUP($D133,kong_p2_var!$B$20:$H$26,SUBSTITUTE(I$1,"target_","") + 1,FALSE),":",$E133)</f>
        <v>#N/A</v>
      </c>
      <c r="J133" t="e">
        <f>CONCATENATE(VLOOKUP($D133,kong_p2_var!$B$20:$H$26,SUBSTITUTE(J$1,"target_","") + 1,FALSE),":",$E133)</f>
        <v>#N/A</v>
      </c>
      <c r="K133" t="e">
        <f>CONCATENATE(VLOOKUP($D133,kong_p2_var!$B$20:$H$26,SUBSTITUTE(K$1,"target_","") + 1,FALSE),":",$E133)</f>
        <v>#N/A</v>
      </c>
      <c r="L133" t="e">
        <f>IF($C133="dmz","",CONCATENATE(VLOOKUP($D133,kong_p2_var!$B$20:$H$26,SUBSTITUTE(L$1,"target_","") + 1,FALSE),":",$E133))</f>
        <v>#N/A</v>
      </c>
      <c r="M133" t="e">
        <f>IF($C133="dmz","",CONCATENATE(VLOOKUP($D133,kong_p2_var!$B$20:$H$26,SUBSTITUTE(M$1,"target_","") + 1,FALSE),":",$E133))</f>
        <v>#N/A</v>
      </c>
      <c r="N133" t="e">
        <f>IF($C133="dmz","",CONCATENATE(VLOOKUP($D133,kong_p2_var!$B$20:$H$26,SUBSTITUTE(N$1,"target_","") + 1,FALSE),":",$E133))</f>
        <v>#N/A</v>
      </c>
      <c r="O133" t="e">
        <f>VLOOKUP($D133,kong_p2_var!$B$10:$D$16,3,FALSE)</f>
        <v>#N/A</v>
      </c>
      <c r="P133" t="str">
        <f>CONCATENATE("/",C133,MID(D133,2,15),"/",svc!$I132)</f>
        <v>/0/</v>
      </c>
      <c r="Q133" t="e">
        <f>VLOOKUP(C133,kong_p2_var!$B$6:$C$7,2,FALSE)</f>
        <v>#N/A</v>
      </c>
      <c r="R133" t="e">
        <f>SUBSTITUTE(SUBSTITUTE(kong_p2_var!$J$1,"&lt;upstream_name&gt;",$F133),"&lt;kong_api_url&gt;",$Q133)</f>
        <v>#N/A</v>
      </c>
      <c r="S133" t="e">
        <f>SUBSTITUTE(SUBSTITUTE(SUBSTITUTE(SUBSTITUTE(kong_p2_var!$J$2,"&lt;kong_api_url&gt;",$Q133),"&lt;upstream_name&gt;",$F133),"&lt;port&gt;",$E133),"&lt;service_name&gt;",$G133)</f>
        <v>#N/A</v>
      </c>
      <c r="T133" t="e">
        <f>SUBSTITUTE(SUBSTITUTE(SUBSTITUTE(SUBSTITUTE(SUBSTITUTE(kong_p2_var!$J$3,"&lt;kong_api_url&gt;",$Q133),"&lt;route_name&gt;",$H133),"&lt;service_name&gt;",$G133),"&lt;host&gt;",$O133),"&lt;path&gt;",$P133)</f>
        <v>#N/A</v>
      </c>
      <c r="U133" t="e">
        <f t="shared" si="25"/>
        <v>#N/A</v>
      </c>
      <c r="V133" t="e">
        <f t="shared" si="26"/>
        <v>#N/A</v>
      </c>
      <c r="W133" t="e">
        <f t="shared" si="27"/>
        <v>#N/A</v>
      </c>
      <c r="X133" t="e">
        <f t="shared" si="28"/>
        <v>#N/A</v>
      </c>
      <c r="Y133" t="e">
        <f t="shared" si="29"/>
        <v>#N/A</v>
      </c>
      <c r="Z133" t="e">
        <f t="shared" si="30"/>
        <v>#N/A</v>
      </c>
    </row>
    <row r="134" spans="1:26">
      <c r="A134">
        <f>IF(ISNUMBER(SEARCH("rest_api",svc!R133)),1,0)</f>
        <v>0</v>
      </c>
      <c r="C134">
        <f>svc!D133</f>
        <v>0</v>
      </c>
      <c r="D134">
        <f>svc!$B133</f>
        <v>0</v>
      </c>
      <c r="E134">
        <f>svc!G133</f>
        <v>0</v>
      </c>
      <c r="F134" t="str">
        <f>CONCATENATE("ups-",svc!$B133,"-",svc!I133)</f>
        <v>ups--</v>
      </c>
      <c r="G134" t="str">
        <f>CONCATENATE("svc-",svc!$B133,"-",svc!I133)</f>
        <v>svc--</v>
      </c>
      <c r="H134" t="e">
        <f>CONCATENATE("route-",VLOOKUP($D134,kong_p2_var!$B$10:$D$16,2,FALSE),"-",svc!$B133,"-",svc!I133)</f>
        <v>#N/A</v>
      </c>
      <c r="I134" t="e">
        <f>CONCATENATE(VLOOKUP($D134,kong_p2_var!$B$20:$H$26,SUBSTITUTE(I$1,"target_","") + 1,FALSE),":",$E134)</f>
        <v>#N/A</v>
      </c>
      <c r="J134" t="e">
        <f>CONCATENATE(VLOOKUP($D134,kong_p2_var!$B$20:$H$26,SUBSTITUTE(J$1,"target_","") + 1,FALSE),":",$E134)</f>
        <v>#N/A</v>
      </c>
      <c r="K134" t="e">
        <f>CONCATENATE(VLOOKUP($D134,kong_p2_var!$B$20:$H$26,SUBSTITUTE(K$1,"target_","") + 1,FALSE),":",$E134)</f>
        <v>#N/A</v>
      </c>
      <c r="L134" t="e">
        <f>IF($C134="dmz","",CONCATENATE(VLOOKUP($D134,kong_p2_var!$B$20:$H$26,SUBSTITUTE(L$1,"target_","") + 1,FALSE),":",$E134))</f>
        <v>#N/A</v>
      </c>
      <c r="M134" t="e">
        <f>IF($C134="dmz","",CONCATENATE(VLOOKUP($D134,kong_p2_var!$B$20:$H$26,SUBSTITUTE(M$1,"target_","") + 1,FALSE),":",$E134))</f>
        <v>#N/A</v>
      </c>
      <c r="N134" t="e">
        <f>IF($C134="dmz","",CONCATENATE(VLOOKUP($D134,kong_p2_var!$B$20:$H$26,SUBSTITUTE(N$1,"target_","") + 1,FALSE),":",$E134))</f>
        <v>#N/A</v>
      </c>
      <c r="O134" t="e">
        <f>VLOOKUP($D134,kong_p2_var!$B$10:$D$16,3,FALSE)</f>
        <v>#N/A</v>
      </c>
      <c r="P134" t="str">
        <f>CONCATENATE("/",C134,MID(D134,2,15),"/",svc!$I133)</f>
        <v>/0/</v>
      </c>
      <c r="Q134" t="e">
        <f>VLOOKUP(C134,kong_p2_var!$B$6:$C$7,2,FALSE)</f>
        <v>#N/A</v>
      </c>
      <c r="R134" t="e">
        <f>SUBSTITUTE(SUBSTITUTE(kong_p2_var!$J$1,"&lt;upstream_name&gt;",$F134),"&lt;kong_api_url&gt;",$Q134)</f>
        <v>#N/A</v>
      </c>
      <c r="S134" t="e">
        <f>SUBSTITUTE(SUBSTITUTE(SUBSTITUTE(SUBSTITUTE(kong_p2_var!$J$2,"&lt;kong_api_url&gt;",$Q134),"&lt;upstream_name&gt;",$F134),"&lt;port&gt;",$E134),"&lt;service_name&gt;",$G134)</f>
        <v>#N/A</v>
      </c>
      <c r="T134" t="e">
        <f>SUBSTITUTE(SUBSTITUTE(SUBSTITUTE(SUBSTITUTE(SUBSTITUTE(kong_p2_var!$J$3,"&lt;kong_api_url&gt;",$Q134),"&lt;route_name&gt;",$H134),"&lt;service_name&gt;",$G134),"&lt;host&gt;",$O134),"&lt;path&gt;",$P134)</f>
        <v>#N/A</v>
      </c>
      <c r="U134" t="e">
        <f t="shared" si="25"/>
        <v>#N/A</v>
      </c>
      <c r="V134" t="e">
        <f t="shared" si="26"/>
        <v>#N/A</v>
      </c>
      <c r="W134" t="e">
        <f t="shared" si="27"/>
        <v>#N/A</v>
      </c>
      <c r="X134" t="e">
        <f t="shared" si="28"/>
        <v>#N/A</v>
      </c>
      <c r="Y134" t="e">
        <f t="shared" si="29"/>
        <v>#N/A</v>
      </c>
      <c r="Z134" t="e">
        <f t="shared" si="30"/>
        <v>#N/A</v>
      </c>
    </row>
  </sheetData>
  <autoFilter ref="A1:X110">
    <filterColumn colId="0">
      <filters>
        <filter val="1"/>
      </filters>
    </filterColumn>
    <filterColumn colId="3">
      <filters>
        <filter val="v504"/>
        <filter val="v510"/>
        <filter val="v630"/>
        <filter val="v804"/>
        <filter val="v810"/>
        <filter val="v904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C7" sqref="C7"/>
    </sheetView>
  </sheetViews>
  <sheetFormatPr defaultColWidth="31.28515625" defaultRowHeight="15.75"/>
  <cols>
    <col min="1" max="1" width="12.7109375" style="129" bestFit="1" customWidth="1"/>
    <col min="2" max="2" width="5.7109375" style="129" bestFit="1" customWidth="1"/>
    <col min="3" max="3" width="25.5703125" style="129" bestFit="1" customWidth="1"/>
    <col min="4" max="8" width="16.7109375" style="129" bestFit="1" customWidth="1"/>
    <col min="9" max="9" width="16.85546875" style="129" bestFit="1" customWidth="1"/>
    <col min="10" max="10" width="50.7109375" style="129" customWidth="1"/>
    <col min="11" max="15" width="16.7109375" style="129" bestFit="1" customWidth="1"/>
    <col min="16" max="16384" width="31.28515625" style="129"/>
  </cols>
  <sheetData>
    <row r="1" spans="1:10">
      <c r="I1" s="129" t="s">
        <v>383</v>
      </c>
      <c r="J1" s="129" t="s">
        <v>397</v>
      </c>
    </row>
    <row r="2" spans="1:10">
      <c r="I2" s="129" t="s">
        <v>384</v>
      </c>
      <c r="J2" s="129" t="s">
        <v>399</v>
      </c>
    </row>
    <row r="3" spans="1:10">
      <c r="I3" s="129" t="s">
        <v>385</v>
      </c>
      <c r="J3" s="129" t="s">
        <v>398</v>
      </c>
    </row>
    <row r="4" spans="1:10">
      <c r="I4" s="129" t="s">
        <v>410</v>
      </c>
      <c r="J4" s="129" t="s">
        <v>461</v>
      </c>
    </row>
    <row r="6" spans="1:10">
      <c r="A6" s="129" t="s">
        <v>396</v>
      </c>
      <c r="B6" s="129" t="s">
        <v>362</v>
      </c>
      <c r="C6" s="129" t="s">
        <v>544</v>
      </c>
    </row>
    <row r="7" spans="1:10">
      <c r="A7" s="129" t="s">
        <v>396</v>
      </c>
      <c r="B7" s="129" t="s">
        <v>395</v>
      </c>
      <c r="C7" s="129" t="s">
        <v>543</v>
      </c>
    </row>
    <row r="9" spans="1:10">
      <c r="C9" s="129" t="s">
        <v>386</v>
      </c>
    </row>
    <row r="10" spans="1:10">
      <c r="A10" s="129" t="s">
        <v>356</v>
      </c>
      <c r="B10" s="129" t="s">
        <v>46</v>
      </c>
      <c r="C10" s="129" t="s">
        <v>359</v>
      </c>
      <c r="D10" s="129" t="s">
        <v>505</v>
      </c>
    </row>
    <row r="11" spans="1:10">
      <c r="A11" s="129" t="s">
        <v>356</v>
      </c>
      <c r="B11" s="129" t="s">
        <v>365</v>
      </c>
      <c r="C11" s="129" t="s">
        <v>357</v>
      </c>
      <c r="D11" s="129" t="s">
        <v>506</v>
      </c>
    </row>
    <row r="12" spans="1:10">
      <c r="A12" s="129" t="s">
        <v>356</v>
      </c>
      <c r="B12" s="129" t="s">
        <v>366</v>
      </c>
      <c r="C12" s="129" t="s">
        <v>358</v>
      </c>
      <c r="D12" s="129" t="s">
        <v>507</v>
      </c>
    </row>
    <row r="13" spans="1:10">
      <c r="A13" s="129" t="s">
        <v>356</v>
      </c>
      <c r="B13" s="129" t="s">
        <v>357</v>
      </c>
      <c r="C13" s="129" t="s">
        <v>365</v>
      </c>
      <c r="D13" s="129" t="s">
        <v>508</v>
      </c>
    </row>
    <row r="14" spans="1:10">
      <c r="A14" s="129" t="s">
        <v>356</v>
      </c>
      <c r="B14" s="129" t="s">
        <v>358</v>
      </c>
      <c r="C14" s="129" t="s">
        <v>366</v>
      </c>
      <c r="D14" s="129" t="s">
        <v>509</v>
      </c>
    </row>
    <row r="15" spans="1:10">
      <c r="A15" s="129" t="s">
        <v>356</v>
      </c>
      <c r="B15" s="129" t="s">
        <v>359</v>
      </c>
      <c r="C15" s="129" t="s">
        <v>46</v>
      </c>
      <c r="D15" s="129" t="s">
        <v>510</v>
      </c>
    </row>
    <row r="16" spans="1:10">
      <c r="A16" s="129" t="s">
        <v>356</v>
      </c>
      <c r="B16" s="129" t="s">
        <v>360</v>
      </c>
      <c r="C16" s="129" t="s">
        <v>46</v>
      </c>
      <c r="D16" s="129" t="s">
        <v>511</v>
      </c>
    </row>
    <row r="19" spans="1:8">
      <c r="B19" s="129" t="s">
        <v>364</v>
      </c>
      <c r="C19" s="129" t="s">
        <v>368</v>
      </c>
      <c r="D19" s="129" t="s">
        <v>369</v>
      </c>
      <c r="E19" s="129" t="s">
        <v>370</v>
      </c>
      <c r="F19" s="129" t="s">
        <v>371</v>
      </c>
      <c r="G19" s="129" t="s">
        <v>372</v>
      </c>
      <c r="H19" s="129" t="s">
        <v>373</v>
      </c>
    </row>
    <row r="20" spans="1:8">
      <c r="A20" s="129" t="s">
        <v>361</v>
      </c>
      <c r="B20" s="129" t="s">
        <v>46</v>
      </c>
      <c r="C20" s="130" t="s">
        <v>518</v>
      </c>
      <c r="D20" s="130" t="s">
        <v>513</v>
      </c>
      <c r="E20" s="130" t="s">
        <v>514</v>
      </c>
      <c r="F20" s="130" t="s">
        <v>515</v>
      </c>
      <c r="G20" s="130" t="s">
        <v>516</v>
      </c>
      <c r="H20" s="130" t="s">
        <v>517</v>
      </c>
    </row>
    <row r="21" spans="1:8">
      <c r="A21" s="129" t="s">
        <v>361</v>
      </c>
      <c r="B21" s="129" t="s">
        <v>365</v>
      </c>
      <c r="C21" s="130" t="s">
        <v>519</v>
      </c>
      <c r="D21" s="130" t="s">
        <v>520</v>
      </c>
      <c r="E21" s="130" t="s">
        <v>521</v>
      </c>
      <c r="F21" s="130" t="s">
        <v>522</v>
      </c>
      <c r="G21" s="130" t="s">
        <v>523</v>
      </c>
      <c r="H21" s="130" t="s">
        <v>524</v>
      </c>
    </row>
    <row r="22" spans="1:8">
      <c r="A22" s="129" t="s">
        <v>361</v>
      </c>
      <c r="B22" s="129" t="s">
        <v>366</v>
      </c>
      <c r="C22" s="130" t="s">
        <v>525</v>
      </c>
      <c r="D22" s="130" t="s">
        <v>526</v>
      </c>
      <c r="E22" s="130" t="s">
        <v>527</v>
      </c>
      <c r="F22" s="130" t="s">
        <v>528</v>
      </c>
      <c r="G22" s="130" t="s">
        <v>529</v>
      </c>
      <c r="H22" s="130" t="s">
        <v>530</v>
      </c>
    </row>
    <row r="23" spans="1:8">
      <c r="A23" s="129" t="s">
        <v>361</v>
      </c>
      <c r="B23" s="129" t="s">
        <v>357</v>
      </c>
      <c r="C23" s="130" t="s">
        <v>531</v>
      </c>
      <c r="D23" s="130" t="s">
        <v>532</v>
      </c>
      <c r="E23" s="130" t="s">
        <v>533</v>
      </c>
      <c r="F23" s="130"/>
      <c r="G23" s="130"/>
      <c r="H23" s="130"/>
    </row>
    <row r="24" spans="1:8">
      <c r="A24" s="129" t="s">
        <v>361</v>
      </c>
      <c r="B24" s="129" t="s">
        <v>358</v>
      </c>
      <c r="C24" s="130" t="s">
        <v>534</v>
      </c>
      <c r="D24" s="130" t="s">
        <v>535</v>
      </c>
      <c r="E24" s="130" t="s">
        <v>536</v>
      </c>
      <c r="F24" s="130"/>
      <c r="G24" s="130"/>
      <c r="H24" s="130"/>
    </row>
    <row r="25" spans="1:8">
      <c r="A25" s="129" t="s">
        <v>361</v>
      </c>
      <c r="B25" s="129" t="s">
        <v>359</v>
      </c>
      <c r="C25" s="130" t="s">
        <v>537</v>
      </c>
      <c r="D25" s="130" t="s">
        <v>538</v>
      </c>
      <c r="E25" s="130" t="s">
        <v>539</v>
      </c>
      <c r="F25" s="130"/>
      <c r="G25" s="130"/>
      <c r="H25" s="130"/>
    </row>
    <row r="26" spans="1:8">
      <c r="A26" s="129" t="s">
        <v>361</v>
      </c>
      <c r="B26" s="129" t="s">
        <v>360</v>
      </c>
      <c r="C26" s="130" t="s">
        <v>540</v>
      </c>
      <c r="D26" s="130" t="s">
        <v>541</v>
      </c>
      <c r="E26" s="130" t="s">
        <v>542</v>
      </c>
      <c r="F26" s="130"/>
      <c r="G26" s="130"/>
      <c r="H26" s="13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38"/>
  <sheetViews>
    <sheetView workbookViewId="0">
      <pane ySplit="1" topLeftCell="A107" activePane="bottomLeft" state="frozen"/>
      <selection pane="bottomLeft" activeCell="A114" sqref="A114"/>
    </sheetView>
  </sheetViews>
  <sheetFormatPr defaultRowHeight="15.75"/>
  <cols>
    <col min="1" max="1" width="14.28515625" bestFit="1" customWidth="1"/>
    <col min="2" max="3" width="13.85546875" customWidth="1"/>
    <col min="4" max="4" width="12.42578125" bestFit="1" customWidth="1"/>
    <col min="5" max="5" width="7.85546875" bestFit="1" customWidth="1"/>
    <col min="6" max="6" width="37" customWidth="1"/>
    <col min="7" max="7" width="37.140625" customWidth="1"/>
    <col min="8" max="8" width="42.42578125" bestFit="1" customWidth="1"/>
    <col min="9" max="13" width="21.28515625" bestFit="1" customWidth="1"/>
    <col min="14" max="14" width="19.5703125" customWidth="1"/>
    <col min="15" max="15" width="13.7109375" bestFit="1" customWidth="1"/>
    <col min="16" max="16" width="56" bestFit="1" customWidth="1"/>
    <col min="17" max="17" width="25.85546875" customWidth="1"/>
    <col min="18" max="26" width="30.7109375" customWidth="1"/>
    <col min="27" max="53" width="9.7109375" customWidth="1"/>
  </cols>
  <sheetData>
    <row r="1" spans="1:26" s="123" customFormat="1" ht="16.5" thickBot="1">
      <c r="A1" s="123" t="s">
        <v>380</v>
      </c>
      <c r="C1" s="123" t="s">
        <v>393</v>
      </c>
      <c r="D1" s="122" t="s">
        <v>364</v>
      </c>
      <c r="E1" s="123" t="s">
        <v>382</v>
      </c>
      <c r="F1" s="123" t="s">
        <v>355</v>
      </c>
      <c r="G1" s="123" t="s">
        <v>381</v>
      </c>
      <c r="H1" s="123" t="s">
        <v>387</v>
      </c>
      <c r="I1" s="123" t="s">
        <v>374</v>
      </c>
      <c r="J1" s="123" t="s">
        <v>375</v>
      </c>
      <c r="K1" s="123" t="s">
        <v>376</v>
      </c>
      <c r="L1" s="123" t="s">
        <v>377</v>
      </c>
      <c r="M1" s="123" t="s">
        <v>378</v>
      </c>
      <c r="N1" s="123" t="s">
        <v>379</v>
      </c>
      <c r="O1" s="123" t="s">
        <v>391</v>
      </c>
      <c r="P1" s="123" t="s">
        <v>392</v>
      </c>
      <c r="Q1" s="123" t="s">
        <v>396</v>
      </c>
      <c r="R1" s="123" t="s">
        <v>388</v>
      </c>
      <c r="S1" s="123" t="s">
        <v>389</v>
      </c>
      <c r="T1" s="123" t="s">
        <v>390</v>
      </c>
      <c r="U1" s="123" t="s">
        <v>411</v>
      </c>
      <c r="V1" s="123" t="s">
        <v>412</v>
      </c>
      <c r="W1" s="123" t="s">
        <v>413</v>
      </c>
      <c r="X1" s="123" t="s">
        <v>414</v>
      </c>
      <c r="Y1" s="123" t="s">
        <v>415</v>
      </c>
      <c r="Z1" s="123" t="s">
        <v>416</v>
      </c>
    </row>
    <row r="2" spans="1:26">
      <c r="A2">
        <f>IF(ISNUMBER(SEARCH("rest_api",svc!R2)),1,0)</f>
        <v>1</v>
      </c>
      <c r="C2" t="str">
        <f>svc!D2</f>
        <v>dmz</v>
      </c>
      <c r="D2" t="str">
        <f>svc!$B2</f>
        <v>v504</v>
      </c>
      <c r="E2">
        <f>svc!G2</f>
        <v>31011</v>
      </c>
      <c r="F2" t="str">
        <f>CONCATENATE("ups-",svc!$B2,"-",svc!I2)</f>
        <v>ups-v504-bes_signalr_server</v>
      </c>
      <c r="G2" t="str">
        <f>CONCATENATE("svc-",svc!$B2,"-",svc!I2)</f>
        <v>svc-v504-bes_signalr_server</v>
      </c>
      <c r="H2" t="str">
        <f>CONCATENATE("route-",VLOOKUP($D2,kong_p1_var!$B$10:$D$16,2,FALSE),"-",svc!$B2,"-",svc!I2)</f>
        <v>route-v510-v504-bes_signalr_server</v>
      </c>
      <c r="I2" t="str">
        <f>CONCATENATE(VLOOKUP($D2,kong_p1_var!$B$20:$H$26,SUBSTITUTE(I$1,"target_","") + 1,FALSE),":",$E2)</f>
        <v>172.16.148.102:31011</v>
      </c>
      <c r="J2" t="str">
        <f>CONCATENATE(VLOOKUP($D2,kong_p1_var!$B$20:$H$26,SUBSTITUTE(J$1,"target_","") + 1,FALSE),":",$E2)</f>
        <v>172.16.148.103:31011</v>
      </c>
      <c r="K2" t="str">
        <f>CONCATENATE(VLOOKUP($D2,kong_p1_var!$B$20:$H$26,SUBSTITUTE(K$1,"target_","") + 1,FALSE),":",$E2)</f>
        <v>172.16.148.104:31011</v>
      </c>
      <c r="L2" t="str">
        <f>IF($C2="dmz","",CONCATENATE(VLOOKUP($D2,kong_p1_var!$B$20:$H$26,SUBSTITUTE(L$1,"target_","") + 1,FALSE),":",$E2))</f>
        <v/>
      </c>
      <c r="M2" t="str">
        <f>IF($C2="dmz","",CONCATENATE(VLOOKUP($D2,kong_p1_var!$B$20:$H$26,SUBSTITUTE(M$1,"target_","") + 1,FALSE),":",$E2))</f>
        <v/>
      </c>
      <c r="N2" t="str">
        <f>IF($C2="dmz","",CONCATENATE(VLOOKUP($D2,kong_p1_var!$B$20:$H$26,SUBSTITUTE(N$1,"target_","") + 1,FALSE),":",$E2))</f>
        <v/>
      </c>
      <c r="O2" t="str">
        <f>VLOOKUP($D2,kong_p1_var!$B$10:$D$16,3,FALSE)</f>
        <v>172.16.148.71</v>
      </c>
      <c r="P2" t="str">
        <f>CONCATENATE("/",C2,MID(D2,2,15),"/",svc!$I2)</f>
        <v>/dmz504/bes_signalr_server</v>
      </c>
      <c r="Q2" t="str">
        <f>VLOOKUP(C2,kong_p1_var!$B$6:$C$7,2,FALSE)</f>
        <v>http://172.16.149.80:8001</v>
      </c>
      <c r="R2" t="str">
        <f>SUBSTITUTE(SUBSTITUTE(kong_p1_var!$J$1,"&lt;upstream_name&gt;",$F2),"&lt;kong_api_url&gt;",$Q2)</f>
        <v>curl -X PUT http://172.16.149.80:8001/upstreams/ups-v504-bes_signalr_server</v>
      </c>
      <c r="S2" t="str">
        <f>SUBSTITUTE(SUBSTITUTE(SUBSTITUTE(SUBSTITUTE(kong_p1_var!$J$2,"&lt;kong_api_url&gt;",$Q2),"&lt;upstream_name&gt;",$F2),"&lt;port&gt;",$E2),"&lt;service_name&gt;",$G2)</f>
        <v>curl -X PUT http://172.16.149.80:8001/services/svc-v504-bes_signalr_server -H "Content-Type: application/json" -d '{"protocol":"http","host":"ups-v504-bes_signalr_server","port":31011}'</v>
      </c>
      <c r="T2" t="str">
        <f>SUBSTITUTE(SUBSTITUTE(SUBSTITUTE(SUBSTITUTE(SUBSTITUTE(kong_p1_var!$J$3,"&lt;kong_api_url&gt;",$Q2),"&lt;route_name&gt;",$H2),"&lt;service_name&gt;",$G2),"&lt;host&gt;",$O2),"&lt;path&gt;",$P2)</f>
        <v>curl -X PUT http://172.16.149.80:8001/services/svc-v504-bes_signalr_server/routes/route-v510-v504-bes_signalr_server -H "Content-Type: application/json" -d '{"protocols":["http"],"hosts":["172.16.148.71"],"paths":["/dmz504/bes_signalr_server"]}'</v>
      </c>
      <c r="U2" t="str">
        <f t="shared" ref="U2:Z2" si="0">IF(I2="","","curl -X POST " &amp; $Q2 &amp; "/upstreams/"&amp; $F2 &amp;"/targets -d 'target="&amp; I2 &amp; "'")</f>
        <v>curl -X POST http://172.16.149.80:8001/upstreams/ups-v504-bes_signalr_server/targets -d 'target=172.16.148.102:31011'</v>
      </c>
      <c r="V2" t="str">
        <f t="shared" si="0"/>
        <v>curl -X POST http://172.16.149.80:8001/upstreams/ups-v504-bes_signalr_server/targets -d 'target=172.16.148.103:31011'</v>
      </c>
      <c r="W2" t="str">
        <f t="shared" si="0"/>
        <v>curl -X POST http://172.16.149.80:8001/upstreams/ups-v504-bes_signalr_server/targets -d 'target=172.16.148.104:31011'</v>
      </c>
      <c r="X2" t="str">
        <f t="shared" si="0"/>
        <v/>
      </c>
      <c r="Y2" t="str">
        <f t="shared" si="0"/>
        <v/>
      </c>
      <c r="Z2" t="str">
        <f t="shared" si="0"/>
        <v/>
      </c>
    </row>
    <row r="3" spans="1:26">
      <c r="A3">
        <f>IF(ISNUMBER(SEARCH("rest_api",svc!R3)),1,0)</f>
        <v>1</v>
      </c>
      <c r="C3" t="str">
        <f>svc!D3</f>
        <v>dmz</v>
      </c>
      <c r="D3" t="str">
        <f>svc!$B3</f>
        <v>v504</v>
      </c>
      <c r="E3">
        <f>svc!G3</f>
        <v>31026</v>
      </c>
      <c r="F3" t="str">
        <f>CONCATENATE("ups-",svc!$B3,"-",svc!I3)</f>
        <v>ups-v504-bes_wmm</v>
      </c>
      <c r="G3" t="str">
        <f>CONCATENATE("svc-",svc!$B3,"-",svc!I3)</f>
        <v>svc-v504-bes_wmm</v>
      </c>
      <c r="H3" t="str">
        <f>CONCATENATE("route-",VLOOKUP($D3,kong_p1_var!$B$10:$D$16,2,FALSE),"-",svc!$B3,"-",svc!I3)</f>
        <v>route-v510-v504-bes_wmm</v>
      </c>
      <c r="I3" t="str">
        <f>CONCATENATE(VLOOKUP($D3,kong_p1_var!$B$20:$H$26,SUBSTITUTE(I$1,"target_","") + 1,FALSE),":",$E3)</f>
        <v>172.16.148.102:31026</v>
      </c>
      <c r="J3" t="str">
        <f>CONCATENATE(VLOOKUP($D3,kong_p1_var!$B$20:$H$26,SUBSTITUTE(J$1,"target_","") + 1,FALSE),":",$E3)</f>
        <v>172.16.148.103:31026</v>
      </c>
      <c r="K3" t="str">
        <f>CONCATENATE(VLOOKUP($D3,kong_p1_var!$B$20:$H$26,SUBSTITUTE(K$1,"target_","") + 1,FALSE),":",$E3)</f>
        <v>172.16.148.104:31026</v>
      </c>
      <c r="L3" t="str">
        <f>IF($C3="dmz","",CONCATENATE(VLOOKUP($D3,kong_p1_var!$B$20:$H$26,SUBSTITUTE(L$1,"target_","") + 1,FALSE),":",$E3))</f>
        <v/>
      </c>
      <c r="M3" t="str">
        <f>IF($C3="dmz","",CONCATENATE(VLOOKUP($D3,kong_p1_var!$B$20:$H$26,SUBSTITUTE(M$1,"target_","") + 1,FALSE),":",$E3))</f>
        <v/>
      </c>
      <c r="N3" t="str">
        <f>IF($C3="dmz","",CONCATENATE(VLOOKUP($D3,kong_p1_var!$B$20:$H$26,SUBSTITUTE(N$1,"target_","") + 1,FALSE),":",$E3))</f>
        <v/>
      </c>
      <c r="O3" t="str">
        <f>VLOOKUP($D3,kong_p1_var!$B$10:$D$16,3,FALSE)</f>
        <v>172.16.148.71</v>
      </c>
      <c r="P3" t="str">
        <f>CONCATENATE("/",C3,MID(D3,2,15),"/",svc!$I3)</f>
        <v>/dmz504/bes_wmm</v>
      </c>
      <c r="Q3" t="str">
        <f>VLOOKUP(C3,kong_p1_var!$B$6:$C$7,2,FALSE)</f>
        <v>http://172.16.149.80:8001</v>
      </c>
      <c r="R3" t="str">
        <f>SUBSTITUTE(SUBSTITUTE(kong_p1_var!$J$1,"&lt;upstream_name&gt;",$F3),"&lt;kong_api_url&gt;",$Q3)</f>
        <v>curl -X PUT http://172.16.149.80:8001/upstreams/ups-v504-bes_wmm</v>
      </c>
      <c r="S3" t="str">
        <f>SUBSTITUTE(SUBSTITUTE(SUBSTITUTE(SUBSTITUTE(kong_p1_var!$J$2,"&lt;kong_api_url&gt;",$Q3),"&lt;upstream_name&gt;",$F3),"&lt;port&gt;",$E3),"&lt;service_name&gt;",$G3)</f>
        <v>curl -X PUT http://172.16.149.80:8001/services/svc-v504-bes_wmm -H "Content-Type: application/json" -d '{"protocol":"http","host":"ups-v504-bes_wmm","port":31026}'</v>
      </c>
      <c r="T3" t="str">
        <f>SUBSTITUTE(SUBSTITUTE(SUBSTITUTE(SUBSTITUTE(SUBSTITUTE(kong_p1_var!$J$3,"&lt;kong_api_url&gt;",$Q3),"&lt;route_name&gt;",$H3),"&lt;service_name&gt;",$G3),"&lt;host&gt;",$O3),"&lt;path&gt;",$P3)</f>
        <v>curl -X PUT http://172.16.149.80:8001/services/svc-v504-bes_wmm/routes/route-v510-v504-bes_wmm -H "Content-Type: application/json" -d '{"protocols":["http"],"hosts":["172.16.148.71"],"paths":["/dmz504/bes_wmm"]}'</v>
      </c>
      <c r="U3" t="str">
        <f t="shared" ref="U3:U66" si="1">IF(I3="","","curl -X POST " &amp; $Q3 &amp; "/upstreams/"&amp; $F3 &amp;"/targets -d 'target="&amp; I3 &amp; "'")</f>
        <v>curl -X POST http://172.16.149.80:8001/upstreams/ups-v504-bes_wmm/targets -d 'target=172.16.148.102:31026'</v>
      </c>
      <c r="V3" t="str">
        <f t="shared" ref="V3:V66" si="2">IF(J3="","","curl -X POST " &amp; $Q3 &amp; "/upstreams/"&amp; $F3 &amp;"/targets -d 'target="&amp; J3 &amp; "'")</f>
        <v>curl -X POST http://172.16.149.80:8001/upstreams/ups-v504-bes_wmm/targets -d 'target=172.16.148.103:31026'</v>
      </c>
      <c r="W3" t="str">
        <f t="shared" ref="W3:W66" si="3">IF(K3="","","curl -X POST " &amp; $Q3 &amp; "/upstreams/"&amp; $F3 &amp;"/targets -d 'target="&amp; K3 &amp; "'")</f>
        <v>curl -X POST http://172.16.149.80:8001/upstreams/ups-v504-bes_wmm/targets -d 'target=172.16.148.104:31026'</v>
      </c>
      <c r="X3" t="str">
        <f t="shared" ref="X3:X66" si="4">IF(L3="","","curl -X POST " &amp; $Q3 &amp; "/upstreams/"&amp; $F3 &amp;"/targets -d 'target="&amp; L3 &amp; "'")</f>
        <v/>
      </c>
      <c r="Y3" t="str">
        <f t="shared" ref="Y3:Y66" si="5">IF(M3="","","curl -X POST " &amp; $Q3 &amp; "/upstreams/"&amp; $F3 &amp;"/targets -d 'target="&amp; M3 &amp; "'")</f>
        <v/>
      </c>
      <c r="Z3" t="str">
        <f t="shared" ref="Z3:Z66" si="6">IF(N3="","","curl -X POST " &amp; $Q3 &amp; "/upstreams/"&amp; $F3 &amp;"/targets -d 'target="&amp; N3 &amp; "'")</f>
        <v/>
      </c>
    </row>
    <row r="4" spans="1:26">
      <c r="A4">
        <f>IF(ISNUMBER(SEARCH("rest_api",svc!R4)),1,0)</f>
        <v>1</v>
      </c>
      <c r="C4" t="str">
        <f>svc!D4</f>
        <v>dmz</v>
      </c>
      <c r="D4" t="str">
        <f>svc!$B4</f>
        <v>v804</v>
      </c>
      <c r="E4">
        <f>svc!G4</f>
        <v>31026</v>
      </c>
      <c r="F4" t="str">
        <f>CONCATENATE("ups-",svc!$B4,"-",svc!I4)</f>
        <v>ups-v804-bes_wmm</v>
      </c>
      <c r="G4" t="str">
        <f>CONCATENATE("svc-",svc!$B4,"-",svc!I4)</f>
        <v>svc-v804-bes_wmm</v>
      </c>
      <c r="H4" t="str">
        <f>CONCATENATE("route-",VLOOKUP($D4,kong_p1_var!$B$10:$D$16,2,FALSE),"-",svc!$B4,"-",svc!I4)</f>
        <v>route-v810-v804-bes_wmm</v>
      </c>
      <c r="I4" t="str">
        <f>CONCATENATE(VLOOKUP($D4,kong_p1_var!$B$20:$H$26,SUBSTITUTE(I$1,"target_","") + 1,FALSE),":",$E4)</f>
        <v>172.16.149.70:31026</v>
      </c>
      <c r="J4" t="str">
        <f>CONCATENATE(VLOOKUP($D4,kong_p1_var!$B$20:$H$26,SUBSTITUTE(J$1,"target_","") + 1,FALSE),":",$E4)</f>
        <v>172.16.149.71:31026</v>
      </c>
      <c r="K4" t="str">
        <f>CONCATENATE(VLOOKUP($D4,kong_p1_var!$B$20:$H$26,SUBSTITUTE(K$1,"target_","") + 1,FALSE),":",$E4)</f>
        <v>172.16.149.72:31026</v>
      </c>
      <c r="L4" t="str">
        <f>IF($C4="dmz","",CONCATENATE(VLOOKUP($D4,kong_p1_var!$B$20:$H$26,SUBSTITUTE(L$1,"target_","") + 1,FALSE),":",$E4))</f>
        <v/>
      </c>
      <c r="M4" t="str">
        <f>IF($C4="dmz","",CONCATENATE(VLOOKUP($D4,kong_p1_var!$B$20:$H$26,SUBSTITUTE(M$1,"target_","") + 1,FALSE),":",$E4))</f>
        <v/>
      </c>
      <c r="N4" t="str">
        <f>IF($C4="dmz","",CONCATENATE(VLOOKUP($D4,kong_p1_var!$B$20:$H$26,SUBSTITUTE(N$1,"target_","") + 1,FALSE),":",$E4))</f>
        <v/>
      </c>
      <c r="O4" t="str">
        <f>VLOOKUP($D4,kong_p1_var!$B$10:$D$16,3,FALSE)</f>
        <v>172.16.151.71</v>
      </c>
      <c r="P4" t="str">
        <f>CONCATENATE("/",C4,MID(D4,2,15),"/",svc!$I4)</f>
        <v>/dmz804/bes_wmm</v>
      </c>
      <c r="Q4" t="str">
        <f>VLOOKUP(C4,kong_p1_var!$B$6:$C$7,2,FALSE)</f>
        <v>http://172.16.149.80:8001</v>
      </c>
      <c r="R4" t="str">
        <f>SUBSTITUTE(SUBSTITUTE(kong_p1_var!$J$1,"&lt;upstream_name&gt;",$F4),"&lt;kong_api_url&gt;",$Q4)</f>
        <v>curl -X PUT http://172.16.149.80:8001/upstreams/ups-v804-bes_wmm</v>
      </c>
      <c r="S4" t="str">
        <f>SUBSTITUTE(SUBSTITUTE(SUBSTITUTE(SUBSTITUTE(kong_p1_var!$J$2,"&lt;kong_api_url&gt;",$Q4),"&lt;upstream_name&gt;",$F4),"&lt;port&gt;",$E4),"&lt;service_name&gt;",$G4)</f>
        <v>curl -X PUT http://172.16.149.80:8001/services/svc-v804-bes_wmm -H "Content-Type: application/json" -d '{"protocol":"http","host":"ups-v804-bes_wmm","port":31026}'</v>
      </c>
      <c r="T4" t="str">
        <f>SUBSTITUTE(SUBSTITUTE(SUBSTITUTE(SUBSTITUTE(SUBSTITUTE(kong_p1_var!$J$3,"&lt;kong_api_url&gt;",$Q4),"&lt;route_name&gt;",$H4),"&lt;service_name&gt;",$G4),"&lt;host&gt;",$O4),"&lt;path&gt;",$P4)</f>
        <v>curl -X PUT http://172.16.149.80:8001/services/svc-v804-bes_wmm/routes/route-v810-v804-bes_wmm -H "Content-Type: application/json" -d '{"protocols":["http"],"hosts":["172.16.151.71"],"paths":["/dmz804/bes_wmm"]}'</v>
      </c>
      <c r="U4" t="str">
        <f t="shared" si="1"/>
        <v>curl -X POST http://172.16.149.80:8001/upstreams/ups-v804-bes_wmm/targets -d 'target=172.16.149.70:31026'</v>
      </c>
      <c r="V4" t="str">
        <f t="shared" si="2"/>
        <v>curl -X POST http://172.16.149.80:8001/upstreams/ups-v804-bes_wmm/targets -d 'target=172.16.149.71:31026'</v>
      </c>
      <c r="W4" t="str">
        <f t="shared" si="3"/>
        <v>curl -X POST http://172.16.149.80:8001/upstreams/ups-v804-bes_wmm/targets -d 'target=172.16.149.72:31026'</v>
      </c>
      <c r="X4" t="str">
        <f t="shared" si="4"/>
        <v/>
      </c>
      <c r="Y4" t="str">
        <f t="shared" si="5"/>
        <v/>
      </c>
      <c r="Z4" t="str">
        <f t="shared" si="6"/>
        <v/>
      </c>
    </row>
    <row r="5" spans="1:26">
      <c r="A5">
        <f>IF(ISNUMBER(SEARCH("rest_api",svc!R5)),1,0)</f>
        <v>0</v>
      </c>
      <c r="C5" t="str">
        <f>svc!D5</f>
        <v>dmz</v>
      </c>
      <c r="D5" t="str">
        <f>svc!$B5</f>
        <v>v504</v>
      </c>
      <c r="E5">
        <f>svc!G5</f>
        <v>31010</v>
      </c>
      <c r="F5" t="str">
        <f>CONCATENATE("ups-",svc!$B5,"-",svc!I5)</f>
        <v>ups-v504-bescore_portal</v>
      </c>
      <c r="G5" t="str">
        <f>CONCATENATE("svc-",svc!$B5,"-",svc!I5)</f>
        <v>svc-v504-bescore_portal</v>
      </c>
      <c r="H5" t="str">
        <f>CONCATENATE("route-",VLOOKUP($D5,kong_p2_var!$B$10:$D$16,2,FALSE),"-",svc!$B5,"-",svc!I5)</f>
        <v>route-v510-v504-bescore_portal</v>
      </c>
      <c r="I5" t="str">
        <f>CONCATENATE(VLOOKUP($D5,kong_p2_var!$B$20:$H$26,SUBSTITUTE(I$1,"target_","") + 1,FALSE),":",$E5)</f>
        <v>172.20.148.102:31010</v>
      </c>
      <c r="J5" t="str">
        <f>CONCATENATE(VLOOKUP($D5,kong_p2_var!$B$20:$H$26,SUBSTITUTE(J$1,"target_","") + 1,FALSE),":",$E5)</f>
        <v>172.20.148.103:31010</v>
      </c>
      <c r="K5" t="str">
        <f>CONCATENATE(VLOOKUP($D5,kong_p2_var!$B$20:$H$26,SUBSTITUTE(K$1,"target_","") + 1,FALSE),":",$E5)</f>
        <v>172.20.148.104:31010</v>
      </c>
      <c r="L5" t="str">
        <f>IF($C5="dmz","",CONCATENATE(VLOOKUP($D5,kong_p2_var!$B$20:$H$26,SUBSTITUTE(L$1,"target_","") + 1,FALSE),":",$E5))</f>
        <v/>
      </c>
      <c r="M5" t="str">
        <f>IF($C5="dmz","",CONCATENATE(VLOOKUP($D5,kong_p2_var!$B$20:$H$26,SUBSTITUTE(M$1,"target_","") + 1,FALSE),":",$E5))</f>
        <v/>
      </c>
      <c r="N5" t="str">
        <f>IF($C5="dmz","",CONCATENATE(VLOOKUP($D5,kong_p2_var!$B$20:$H$26,SUBSTITUTE(N$1,"target_","") + 1,FALSE),":",$E5))</f>
        <v/>
      </c>
      <c r="O5" t="str">
        <f>VLOOKUP($D5,kong_p2_var!$B$10:$D$16,3,FALSE)</f>
        <v>172.20.148.71</v>
      </c>
      <c r="P5" t="str">
        <f>CONCATENATE("/",C5,MID(D5,2,15),"/",svc!$I5)</f>
        <v>/dmz504/bescore_portal</v>
      </c>
      <c r="Q5" t="str">
        <f>VLOOKUP(C5,kong_p2_var!$B$6:$C$7,2,FALSE)</f>
        <v>http://172.20.149.80:8001</v>
      </c>
      <c r="R5" t="str">
        <f>SUBSTITUTE(SUBSTITUTE(kong_p2_var!$J$1,"&lt;upstream_name&gt;",$F5),"&lt;kong_api_url&gt;",$Q5)</f>
        <v>curl -X PUT http://172.20.149.80:8001/upstreams/ups-v504-bescore_portal</v>
      </c>
      <c r="S5" t="str">
        <f>SUBSTITUTE(SUBSTITUTE(SUBSTITUTE(SUBSTITUTE(kong_p2_var!$J$2,"&lt;kong_api_url&gt;",$Q5),"&lt;upstream_name&gt;",$F5),"&lt;port&gt;",$E5),"&lt;service_name&gt;",$G5)</f>
        <v>curl -X PUT http://172.20.149.80:8001/services/svc-v504-bescore_portal -H "Content-Type: application/json" -d '{"protocol":"http","host":"ups-v504-bescore_portal","port":31010}'</v>
      </c>
      <c r="T5" t="str">
        <f>SUBSTITUTE(SUBSTITUTE(SUBSTITUTE(SUBSTITUTE(SUBSTITUTE(kong_p2_var!$J$3,"&lt;kong_api_url&gt;",$Q5),"&lt;route_name&gt;",$H5),"&lt;service_name&gt;",$G5),"&lt;host&gt;",$O5),"&lt;path&gt;",$P5)</f>
        <v>curl -X PUT http://172.20.149.80:8001/services/svc-v504-bescore_portal/routes/route-v510-v504-bescore_portal -H "Content-Type: application/json" -d '{"protocols":["http"],"hosts":["172.20.148.71"],"paths":["/dmz504/bescore_portal"]}'</v>
      </c>
      <c r="U5" t="str">
        <f t="shared" si="1"/>
        <v>curl -X POST http://172.20.149.80:8001/upstreams/ups-v504-bescore_portal/targets -d 'target=172.20.148.102:31010'</v>
      </c>
      <c r="V5" t="str">
        <f t="shared" si="2"/>
        <v>curl -X POST http://172.20.149.80:8001/upstreams/ups-v504-bescore_portal/targets -d 'target=172.20.148.103:31010'</v>
      </c>
      <c r="W5" t="str">
        <f t="shared" si="3"/>
        <v>curl -X POST http://172.20.149.80:8001/upstreams/ups-v504-bescore_portal/targets -d 'target=172.20.148.104:31010'</v>
      </c>
      <c r="X5" t="str">
        <f t="shared" si="4"/>
        <v/>
      </c>
      <c r="Y5" t="str">
        <f t="shared" si="5"/>
        <v/>
      </c>
      <c r="Z5" t="str">
        <f t="shared" si="6"/>
        <v/>
      </c>
    </row>
    <row r="6" spans="1:26">
      <c r="A6">
        <f>IF(ISNUMBER(SEARCH("rest_api",svc!R6)),1,0)</f>
        <v>0</v>
      </c>
      <c r="C6" t="str">
        <f>svc!D6</f>
        <v>dmz</v>
      </c>
      <c r="D6" t="str">
        <f>svc!$B6</f>
        <v>v504</v>
      </c>
      <c r="E6">
        <f>svc!G6</f>
        <v>31010</v>
      </c>
      <c r="F6" t="str">
        <f>CONCATENATE("ups-",svc!$B6,"-",svc!I6)</f>
        <v>ups-v504-bescore_portal</v>
      </c>
      <c r="G6" t="str">
        <f>CONCATENATE("svc-",svc!$B6,"-",svc!I6)</f>
        <v>svc-v504-bescore_portal</v>
      </c>
      <c r="H6" t="str">
        <f>CONCATENATE("route-",VLOOKUP($D6,kong_p2_var!$B$10:$D$16,2,FALSE),"-",svc!$B6,"-",svc!I6)</f>
        <v>route-v510-v504-bescore_portal</v>
      </c>
      <c r="I6" t="str">
        <f>CONCATENATE(VLOOKUP($D6,kong_p2_var!$B$20:$H$26,SUBSTITUTE(I$1,"target_","") + 1,FALSE),":",$E6)</f>
        <v>172.20.148.102:31010</v>
      </c>
      <c r="J6" t="str">
        <f>CONCATENATE(VLOOKUP($D6,kong_p2_var!$B$20:$H$26,SUBSTITUTE(J$1,"target_","") + 1,FALSE),":",$E6)</f>
        <v>172.20.148.103:31010</v>
      </c>
      <c r="K6" t="str">
        <f>CONCATENATE(VLOOKUP($D6,kong_p2_var!$B$20:$H$26,SUBSTITUTE(K$1,"target_","") + 1,FALSE),":",$E6)</f>
        <v>172.20.148.104:31010</v>
      </c>
      <c r="L6" t="str">
        <f>IF($C6="dmz","",CONCATENATE(VLOOKUP($D6,kong_p2_var!$B$20:$H$26,SUBSTITUTE(L$1,"target_","") + 1,FALSE),":",$E6))</f>
        <v/>
      </c>
      <c r="M6" t="str">
        <f>IF($C6="dmz","",CONCATENATE(VLOOKUP($D6,kong_p2_var!$B$20:$H$26,SUBSTITUTE(M$1,"target_","") + 1,FALSE),":",$E6))</f>
        <v/>
      </c>
      <c r="N6" t="str">
        <f>IF($C6="dmz","",CONCATENATE(VLOOKUP($D6,kong_p2_var!$B$20:$H$26,SUBSTITUTE(N$1,"target_","") + 1,FALSE),":",$E6))</f>
        <v/>
      </c>
      <c r="O6" t="str">
        <f>VLOOKUP($D6,kong_p2_var!$B$10:$D$16,3,FALSE)</f>
        <v>172.20.148.71</v>
      </c>
      <c r="P6" t="str">
        <f>CONCATENATE("/",C6,MID(D6,2,15),"/",svc!$I6)</f>
        <v>/dmz504/bescore_portal</v>
      </c>
      <c r="Q6" t="str">
        <f>VLOOKUP(C6,kong_p2_var!$B$6:$C$7,2,FALSE)</f>
        <v>http://172.20.149.80:8001</v>
      </c>
      <c r="R6" t="str">
        <f>SUBSTITUTE(SUBSTITUTE(kong_p2_var!$J$1,"&lt;upstream_name&gt;",$F6),"&lt;kong_api_url&gt;",$Q6)</f>
        <v>curl -X PUT http://172.20.149.80:8001/upstreams/ups-v504-bescore_portal</v>
      </c>
      <c r="S6" t="str">
        <f>SUBSTITUTE(SUBSTITUTE(SUBSTITUTE(SUBSTITUTE(kong_p2_var!$J$2,"&lt;kong_api_url&gt;",$Q6),"&lt;upstream_name&gt;",$F6),"&lt;port&gt;",$E6),"&lt;service_name&gt;",$G6)</f>
        <v>curl -X PUT http://172.20.149.80:8001/services/svc-v504-bescore_portal -H "Content-Type: application/json" -d '{"protocol":"http","host":"ups-v504-bescore_portal","port":31010}'</v>
      </c>
      <c r="T6" t="str">
        <f>SUBSTITUTE(SUBSTITUTE(SUBSTITUTE(SUBSTITUTE(SUBSTITUTE(kong_p2_var!$J$3,"&lt;kong_api_url&gt;",$Q6),"&lt;route_name&gt;",$H6),"&lt;service_name&gt;",$G6),"&lt;host&gt;",$O6),"&lt;path&gt;",$P6)</f>
        <v>curl -X PUT http://172.20.149.80:8001/services/svc-v504-bescore_portal/routes/route-v510-v504-bescore_portal -H "Content-Type: application/json" -d '{"protocols":["http"],"hosts":["172.20.148.71"],"paths":["/dmz504/bescore_portal"]}'</v>
      </c>
      <c r="U6" t="str">
        <f t="shared" si="1"/>
        <v>curl -X POST http://172.20.149.80:8001/upstreams/ups-v504-bescore_portal/targets -d 'target=172.20.148.102:31010'</v>
      </c>
      <c r="V6" t="str">
        <f t="shared" si="2"/>
        <v>curl -X POST http://172.20.149.80:8001/upstreams/ups-v504-bescore_portal/targets -d 'target=172.20.148.103:31010'</v>
      </c>
      <c r="W6" t="str">
        <f t="shared" si="3"/>
        <v>curl -X POST http://172.20.149.80:8001/upstreams/ups-v504-bescore_portal/targets -d 'target=172.20.148.104:31010'</v>
      </c>
      <c r="X6" t="str">
        <f t="shared" si="4"/>
        <v/>
      </c>
      <c r="Y6" t="str">
        <f t="shared" si="5"/>
        <v/>
      </c>
      <c r="Z6" t="str">
        <f t="shared" si="6"/>
        <v/>
      </c>
    </row>
    <row r="7" spans="1:26">
      <c r="A7">
        <f>IF(ISNUMBER(SEARCH("rest_api",svc!R7)),1,0)</f>
        <v>0</v>
      </c>
      <c r="C7" t="str">
        <f>svc!D7</f>
        <v>dmz</v>
      </c>
      <c r="D7" t="str">
        <f>svc!$B7</f>
        <v>v504</v>
      </c>
      <c r="E7">
        <f>svc!G7</f>
        <v>31028</v>
      </c>
      <c r="F7" t="str">
        <f>CONCATENATE("ups-",svc!$B7,"-",svc!I7)</f>
        <v>ups-v504-ccms_portal</v>
      </c>
      <c r="G7" t="str">
        <f>CONCATENATE("svc-",svc!$B7,"-",svc!I7)</f>
        <v>svc-v504-ccms_portal</v>
      </c>
      <c r="H7" t="str">
        <f>CONCATENATE("route-",VLOOKUP($D7,kong_p2_var!$B$10:$D$16,2,FALSE),"-",svc!$B7,"-",svc!I7)</f>
        <v>route-v510-v504-ccms_portal</v>
      </c>
      <c r="I7" t="str">
        <f>CONCATENATE(VLOOKUP($D7,kong_p2_var!$B$20:$H$26,SUBSTITUTE(I$1,"target_","") + 1,FALSE),":",$E7)</f>
        <v>172.20.148.102:31028</v>
      </c>
      <c r="J7" t="str">
        <f>CONCATENATE(VLOOKUP($D7,kong_p2_var!$B$20:$H$26,SUBSTITUTE(J$1,"target_","") + 1,FALSE),":",$E7)</f>
        <v>172.20.148.103:31028</v>
      </c>
      <c r="K7" t="str">
        <f>CONCATENATE(VLOOKUP($D7,kong_p2_var!$B$20:$H$26,SUBSTITUTE(K$1,"target_","") + 1,FALSE),":",$E7)</f>
        <v>172.20.148.104:31028</v>
      </c>
      <c r="L7" t="str">
        <f>IF($C7="dmz","",CONCATENATE(VLOOKUP($D7,kong_p2_var!$B$20:$H$26,SUBSTITUTE(L$1,"target_","") + 1,FALSE),":",$E7))</f>
        <v/>
      </c>
      <c r="M7" t="str">
        <f>IF($C7="dmz","",CONCATENATE(VLOOKUP($D7,kong_p2_var!$B$20:$H$26,SUBSTITUTE(M$1,"target_","") + 1,FALSE),":",$E7))</f>
        <v/>
      </c>
      <c r="N7" t="str">
        <f>IF($C7="dmz","",CONCATENATE(VLOOKUP($D7,kong_p2_var!$B$20:$H$26,SUBSTITUTE(N$1,"target_","") + 1,FALSE),":",$E7))</f>
        <v/>
      </c>
      <c r="O7" t="str">
        <f>VLOOKUP($D7,kong_p2_var!$B$10:$D$16,3,FALSE)</f>
        <v>172.20.148.71</v>
      </c>
      <c r="P7" t="str">
        <f>CONCATENATE("/",C7,MID(D7,2,15),"/",svc!$I7)</f>
        <v>/dmz504/ccms_portal</v>
      </c>
      <c r="Q7" t="str">
        <f>VLOOKUP(C7,kong_p2_var!$B$6:$C$7,2,FALSE)</f>
        <v>http://172.20.149.80:8001</v>
      </c>
      <c r="R7" t="str">
        <f>SUBSTITUTE(SUBSTITUTE(kong_p2_var!$J$1,"&lt;upstream_name&gt;",$F7),"&lt;kong_api_url&gt;",$Q7)</f>
        <v>curl -X PUT http://172.20.149.80:8001/upstreams/ups-v504-ccms_portal</v>
      </c>
      <c r="S7" t="str">
        <f>SUBSTITUTE(SUBSTITUTE(SUBSTITUTE(SUBSTITUTE(kong_p2_var!$J$2,"&lt;kong_api_url&gt;",$Q7),"&lt;upstream_name&gt;",$F7),"&lt;port&gt;",$E7),"&lt;service_name&gt;",$G7)</f>
        <v>curl -X PUT http://172.20.149.80:8001/services/svc-v504-ccms_portal -H "Content-Type: application/json" -d '{"protocol":"http","host":"ups-v504-ccms_portal","port":31028}'</v>
      </c>
      <c r="T7" t="str">
        <f>SUBSTITUTE(SUBSTITUTE(SUBSTITUTE(SUBSTITUTE(SUBSTITUTE(kong_p2_var!$J$3,"&lt;kong_api_url&gt;",$Q7),"&lt;route_name&gt;",$H7),"&lt;service_name&gt;",$G7),"&lt;host&gt;",$O7),"&lt;path&gt;",$P7)</f>
        <v>curl -X PUT http://172.20.149.80:8001/services/svc-v504-ccms_portal/routes/route-v510-v504-ccms_portal -H "Content-Type: application/json" -d '{"protocols":["http"],"hosts":["172.20.148.71"],"paths":["/dmz504/ccms_portal"]}'</v>
      </c>
      <c r="U7" t="str">
        <f t="shared" si="1"/>
        <v>curl -X POST http://172.20.149.80:8001/upstreams/ups-v504-ccms_portal/targets -d 'target=172.20.148.102:31028'</v>
      </c>
      <c r="V7" t="str">
        <f t="shared" si="2"/>
        <v>curl -X POST http://172.20.149.80:8001/upstreams/ups-v504-ccms_portal/targets -d 'target=172.20.148.103:31028'</v>
      </c>
      <c r="W7" t="str">
        <f t="shared" si="3"/>
        <v>curl -X POST http://172.20.149.80:8001/upstreams/ups-v504-ccms_portal/targets -d 'target=172.20.148.104:31028'</v>
      </c>
      <c r="X7" t="str">
        <f t="shared" si="4"/>
        <v/>
      </c>
      <c r="Y7" t="str">
        <f t="shared" si="5"/>
        <v/>
      </c>
      <c r="Z7" t="str">
        <f t="shared" si="6"/>
        <v/>
      </c>
    </row>
    <row r="8" spans="1:26">
      <c r="A8">
        <f>IF(ISNUMBER(SEARCH("rest_api",svc!R8)),1,0)</f>
        <v>0</v>
      </c>
      <c r="C8" t="str">
        <f>svc!D8</f>
        <v>dmz</v>
      </c>
      <c r="D8" t="str">
        <f>svc!$B8</f>
        <v>v504</v>
      </c>
      <c r="E8">
        <f>svc!G8</f>
        <v>31028</v>
      </c>
      <c r="F8" t="str">
        <f>CONCATENATE("ups-",svc!$B8,"-",svc!I8)</f>
        <v>ups-v504-ccms_portal</v>
      </c>
      <c r="G8" t="str">
        <f>CONCATENATE("svc-",svc!$B8,"-",svc!I8)</f>
        <v>svc-v504-ccms_portal</v>
      </c>
      <c r="H8" t="str">
        <f>CONCATENATE("route-",VLOOKUP($D8,kong_p2_var!$B$10:$D$16,2,FALSE),"-",svc!$B8,"-",svc!I8)</f>
        <v>route-v510-v504-ccms_portal</v>
      </c>
      <c r="I8" t="str">
        <f>CONCATENATE(VLOOKUP($D8,kong_p2_var!$B$20:$H$26,SUBSTITUTE(I$1,"target_","") + 1,FALSE),":",$E8)</f>
        <v>172.20.148.102:31028</v>
      </c>
      <c r="J8" t="str">
        <f>CONCATENATE(VLOOKUP($D8,kong_p2_var!$B$20:$H$26,SUBSTITUTE(J$1,"target_","") + 1,FALSE),":",$E8)</f>
        <v>172.20.148.103:31028</v>
      </c>
      <c r="K8" t="str">
        <f>CONCATENATE(VLOOKUP($D8,kong_p2_var!$B$20:$H$26,SUBSTITUTE(K$1,"target_","") + 1,FALSE),":",$E8)</f>
        <v>172.20.148.104:31028</v>
      </c>
      <c r="L8" t="str">
        <f>IF($C8="dmz","",CONCATENATE(VLOOKUP($D8,kong_p2_var!$B$20:$H$26,SUBSTITUTE(L$1,"target_","") + 1,FALSE),":",$E8))</f>
        <v/>
      </c>
      <c r="M8" t="str">
        <f>IF($C8="dmz","",CONCATENATE(VLOOKUP($D8,kong_p2_var!$B$20:$H$26,SUBSTITUTE(M$1,"target_","") + 1,FALSE),":",$E8))</f>
        <v/>
      </c>
      <c r="N8" t="str">
        <f>IF($C8="dmz","",CONCATENATE(VLOOKUP($D8,kong_p2_var!$B$20:$H$26,SUBSTITUTE(N$1,"target_","") + 1,FALSE),":",$E8))</f>
        <v/>
      </c>
      <c r="O8" t="str">
        <f>VLOOKUP($D8,kong_p2_var!$B$10:$D$16,3,FALSE)</f>
        <v>172.20.148.71</v>
      </c>
      <c r="P8" t="str">
        <f>CONCATENATE("/",C8,MID(D8,2,15),"/",svc!$I8)</f>
        <v>/dmz504/ccms_portal</v>
      </c>
      <c r="Q8" t="str">
        <f>VLOOKUP(C8,kong_p2_var!$B$6:$C$7,2,FALSE)</f>
        <v>http://172.20.149.80:8001</v>
      </c>
      <c r="R8" t="str">
        <f>SUBSTITUTE(SUBSTITUTE(kong_p2_var!$J$1,"&lt;upstream_name&gt;",$F8),"&lt;kong_api_url&gt;",$Q8)</f>
        <v>curl -X PUT http://172.20.149.80:8001/upstreams/ups-v504-ccms_portal</v>
      </c>
      <c r="S8" t="str">
        <f>SUBSTITUTE(SUBSTITUTE(SUBSTITUTE(SUBSTITUTE(kong_p2_var!$J$2,"&lt;kong_api_url&gt;",$Q8),"&lt;upstream_name&gt;",$F8),"&lt;port&gt;",$E8),"&lt;service_name&gt;",$G8)</f>
        <v>curl -X PUT http://172.20.149.80:8001/services/svc-v504-ccms_portal -H "Content-Type: application/json" -d '{"protocol":"http","host":"ups-v504-ccms_portal","port":31028}'</v>
      </c>
      <c r="T8" t="str">
        <f>SUBSTITUTE(SUBSTITUTE(SUBSTITUTE(SUBSTITUTE(SUBSTITUTE(kong_p2_var!$J$3,"&lt;kong_api_url&gt;",$Q8),"&lt;route_name&gt;",$H8),"&lt;service_name&gt;",$G8),"&lt;host&gt;",$O8),"&lt;path&gt;",$P8)</f>
        <v>curl -X PUT http://172.20.149.80:8001/services/svc-v504-ccms_portal/routes/route-v510-v504-ccms_portal -H "Content-Type: application/json" -d '{"protocols":["http"],"hosts":["172.20.148.71"],"paths":["/dmz504/ccms_portal"]}'</v>
      </c>
      <c r="U8" t="str">
        <f t="shared" si="1"/>
        <v>curl -X POST http://172.20.149.80:8001/upstreams/ups-v504-ccms_portal/targets -d 'target=172.20.148.102:31028'</v>
      </c>
      <c r="V8" t="str">
        <f t="shared" si="2"/>
        <v>curl -X POST http://172.20.149.80:8001/upstreams/ups-v504-ccms_portal/targets -d 'target=172.20.148.103:31028'</v>
      </c>
      <c r="W8" t="str">
        <f t="shared" si="3"/>
        <v>curl -X POST http://172.20.149.80:8001/upstreams/ups-v504-ccms_portal/targets -d 'target=172.20.148.104:31028'</v>
      </c>
      <c r="X8" t="str">
        <f t="shared" si="4"/>
        <v/>
      </c>
      <c r="Y8" t="str">
        <f t="shared" si="5"/>
        <v/>
      </c>
      <c r="Z8" t="str">
        <f t="shared" si="6"/>
        <v/>
      </c>
    </row>
    <row r="9" spans="1:26">
      <c r="A9">
        <f>IF(ISNUMBER(SEARCH("rest_api",svc!R9)),1,0)</f>
        <v>1</v>
      </c>
      <c r="C9" t="str">
        <f>svc!D9</f>
        <v>dmz</v>
      </c>
      <c r="D9" t="str">
        <f>svc!$B9</f>
        <v>v904</v>
      </c>
      <c r="E9">
        <f>svc!G9</f>
        <v>31211</v>
      </c>
      <c r="F9" t="str">
        <f>CONCATENATE("ups-",svc!$B9,"-",svc!I9)</f>
        <v>ups-v904-ccs_middleware</v>
      </c>
      <c r="G9" t="str">
        <f>CONCATENATE("svc-",svc!$B9,"-",svc!I9)</f>
        <v>svc-v904-ccs_middleware</v>
      </c>
      <c r="H9" t="str">
        <f>CONCATENATE("route-",VLOOKUP($D9,kong_p1_var!$B$10:$D$16,2,FALSE),"-",svc!$B9,"-",svc!I9)</f>
        <v>route-v910-v904-ccs_middleware</v>
      </c>
      <c r="I9" t="str">
        <f>CONCATENATE(VLOOKUP($D9,kong_p1_var!$B$20:$H$26,SUBSTITUTE(I$1,"target_","") + 1,FALSE),":",$E9)</f>
        <v>172.16.149.102:31211</v>
      </c>
      <c r="J9" t="str">
        <f>CONCATENATE(VLOOKUP($D9,kong_p1_var!$B$20:$H$26,SUBSTITUTE(J$1,"target_","") + 1,FALSE),":",$E9)</f>
        <v>172.16.149.103:31211</v>
      </c>
      <c r="K9" t="str">
        <f>CONCATENATE(VLOOKUP($D9,kong_p1_var!$B$20:$H$26,SUBSTITUTE(K$1,"target_","") + 1,FALSE),":",$E9)</f>
        <v>172.16.149.104:31211</v>
      </c>
      <c r="L9" t="str">
        <f>IF($C9="dmz","",CONCATENATE(VLOOKUP($D9,kong_p1_var!$B$20:$H$26,SUBSTITUTE(L$1,"target_","") + 1,FALSE),":",$E9))</f>
        <v/>
      </c>
      <c r="M9" t="str">
        <f>IF($C9="dmz","",CONCATENATE(VLOOKUP($D9,kong_p1_var!$B$20:$H$26,SUBSTITUTE(M$1,"target_","") + 1,FALSE),":",$E9))</f>
        <v/>
      </c>
      <c r="N9" t="str">
        <f>IF($C9="dmz","",CONCATENATE(VLOOKUP($D9,kong_p1_var!$B$20:$H$26,SUBSTITUTE(N$1,"target_","") + 1,FALSE),":",$E9))</f>
        <v/>
      </c>
      <c r="O9" t="str">
        <f>VLOOKUP($D9,kong_p1_var!$B$10:$D$16,3,FALSE)</f>
        <v>172.16.150.39</v>
      </c>
      <c r="P9" t="str">
        <f>CONCATENATE("/",C9,MID(D9,2,15),"/",svc!$I9)</f>
        <v>/dmz904/ccs_middleware</v>
      </c>
      <c r="Q9" t="str">
        <f>VLOOKUP(C9,kong_p1_var!$B$6:$C$7,2,FALSE)</f>
        <v>http://172.16.149.80:8001</v>
      </c>
      <c r="R9" t="str">
        <f>SUBSTITUTE(SUBSTITUTE(kong_p1_var!$J$1,"&lt;upstream_name&gt;",$F9),"&lt;kong_api_url&gt;",$Q9)</f>
        <v>curl -X PUT http://172.16.149.80:8001/upstreams/ups-v904-ccs_middleware</v>
      </c>
      <c r="S9" t="str">
        <f>SUBSTITUTE(SUBSTITUTE(SUBSTITUTE(SUBSTITUTE(kong_p1_var!$J$2,"&lt;kong_api_url&gt;",$Q9),"&lt;upstream_name&gt;",$F9),"&lt;port&gt;",$E9),"&lt;service_name&gt;",$G9)</f>
        <v>curl -X PUT http://172.16.149.80:8001/services/svc-v904-ccs_middleware -H "Content-Type: application/json" -d '{"protocol":"http","host":"ups-v904-ccs_middleware","port":31211}'</v>
      </c>
      <c r="T9" t="str">
        <f>SUBSTITUTE(SUBSTITUTE(SUBSTITUTE(SUBSTITUTE(SUBSTITUTE(kong_p1_var!$J$3,"&lt;kong_api_url&gt;",$Q9),"&lt;route_name&gt;",$H9),"&lt;service_name&gt;",$G9),"&lt;host&gt;",$O9),"&lt;path&gt;",$P9)</f>
        <v>curl -X PUT http://172.16.149.80:8001/services/svc-v904-ccs_middleware/routes/route-v910-v904-ccs_middleware -H "Content-Type: application/json" -d '{"protocols":["http"],"hosts":["172.16.150.39"],"paths":["/dmz904/ccs_middleware"]}'</v>
      </c>
      <c r="U9" t="str">
        <f t="shared" si="1"/>
        <v>curl -X POST http://172.16.149.80:8001/upstreams/ups-v904-ccs_middleware/targets -d 'target=172.16.149.102:31211'</v>
      </c>
      <c r="V9" t="str">
        <f t="shared" si="2"/>
        <v>curl -X POST http://172.16.149.80:8001/upstreams/ups-v904-ccs_middleware/targets -d 'target=172.16.149.103:31211'</v>
      </c>
      <c r="W9" t="str">
        <f t="shared" si="3"/>
        <v>curl -X POST http://172.16.149.80:8001/upstreams/ups-v904-ccs_middleware/targets -d 'target=172.16.149.104:31211'</v>
      </c>
      <c r="X9" t="str">
        <f t="shared" si="4"/>
        <v/>
      </c>
      <c r="Y9" t="str">
        <f t="shared" si="5"/>
        <v/>
      </c>
      <c r="Z9" t="str">
        <f t="shared" si="6"/>
        <v/>
      </c>
    </row>
    <row r="10" spans="1:26">
      <c r="A10">
        <f>IF(ISNUMBER(SEARCH("rest_api",svc!R10)),1,0)</f>
        <v>1</v>
      </c>
      <c r="C10" t="str">
        <f>svc!D10</f>
        <v>dmz</v>
      </c>
      <c r="D10" t="str">
        <f>svc!$B10</f>
        <v>v630</v>
      </c>
      <c r="E10">
        <f>svc!G10</f>
        <v>31119</v>
      </c>
      <c r="F10" t="str">
        <f>CONCATENATE("ups-",svc!$B10,"-",svc!I10)</f>
        <v>ups-v630-das_middleware</v>
      </c>
      <c r="G10" t="str">
        <f>CONCATENATE("svc-",svc!$B10,"-",svc!I10)</f>
        <v>svc-v630-das_middleware</v>
      </c>
      <c r="H10" t="str">
        <f>CONCATENATE("route-",VLOOKUP($D10,kong_p1_var!$B$10:$D$16,2,FALSE),"-",svc!$B10,"-",svc!I10)</f>
        <v>route-v510-v630-das_middleware</v>
      </c>
      <c r="I10" t="str">
        <f>CONCATENATE(VLOOKUP($D10,kong_p1_var!$B$20:$H$26,SUBSTITUTE(I$1,"target_","") + 1,FALSE),":",$E10)</f>
        <v>172.16.151.110:31119</v>
      </c>
      <c r="J10" t="str">
        <f>CONCATENATE(VLOOKUP($D10,kong_p1_var!$B$20:$H$26,SUBSTITUTE(J$1,"target_","") + 1,FALSE),":",$E10)</f>
        <v>172.16.151.111:31119</v>
      </c>
      <c r="K10" t="str">
        <f>CONCATENATE(VLOOKUP($D10,kong_p1_var!$B$20:$H$26,SUBSTITUTE(K$1,"target_","") + 1,FALSE),":",$E10)</f>
        <v>172.16.151.112:31119</v>
      </c>
      <c r="L10" t="str">
        <f>IF($C10="dmz","",CONCATENATE(VLOOKUP($D10,kong_p1_var!$B$20:$H$26,SUBSTITUTE(L$1,"target_","") + 1,FALSE),":",$E10))</f>
        <v/>
      </c>
      <c r="M10" t="str">
        <f>IF($C10="dmz","",CONCATENATE(VLOOKUP($D10,kong_p1_var!$B$20:$H$26,SUBSTITUTE(M$1,"target_","") + 1,FALSE),":",$E10))</f>
        <v/>
      </c>
      <c r="N10" t="str">
        <f>IF($C10="dmz","",CONCATENATE(VLOOKUP($D10,kong_p1_var!$B$20:$H$26,SUBSTITUTE(N$1,"target_","") + 1,FALSE),":",$E10))</f>
        <v/>
      </c>
      <c r="O10" t="str">
        <f>VLOOKUP($D10,kong_p1_var!$B$10:$D$16,3,FALSE)</f>
        <v>172.16.150.71</v>
      </c>
      <c r="P10" t="str">
        <f>CONCATENATE("/",C10,MID(D10,2,15),"/",svc!$I10)</f>
        <v>/dmz630/das_middleware</v>
      </c>
      <c r="Q10" t="str">
        <f>VLOOKUP(C10,kong_p1_var!$B$6:$C$7,2,FALSE)</f>
        <v>http://172.16.149.80:8001</v>
      </c>
      <c r="R10" t="str">
        <f>SUBSTITUTE(SUBSTITUTE(kong_p1_var!$J$1,"&lt;upstream_name&gt;",$F10),"&lt;kong_api_url&gt;",$Q10)</f>
        <v>curl -X PUT http://172.16.149.80:8001/upstreams/ups-v630-das_middleware</v>
      </c>
      <c r="S10" t="str">
        <f>SUBSTITUTE(SUBSTITUTE(SUBSTITUTE(SUBSTITUTE(kong_p1_var!$J$2,"&lt;kong_api_url&gt;",$Q10),"&lt;upstream_name&gt;",$F10),"&lt;port&gt;",$E10),"&lt;service_name&gt;",$G10)</f>
        <v>curl -X PUT http://172.16.149.80:8001/services/svc-v630-das_middleware -H "Content-Type: application/json" -d '{"protocol":"http","host":"ups-v630-das_middleware","port":31119}'</v>
      </c>
      <c r="T10" t="str">
        <f>SUBSTITUTE(SUBSTITUTE(SUBSTITUTE(SUBSTITUTE(SUBSTITUTE(kong_p1_var!$J$3,"&lt;kong_api_url&gt;",$Q10),"&lt;route_name&gt;",$H10),"&lt;service_name&gt;",$G10),"&lt;host&gt;",$O10),"&lt;path&gt;",$P10)</f>
        <v>curl -X PUT http://172.16.149.80:8001/services/svc-v630-das_middleware/routes/route-v510-v630-das_middleware -H "Content-Type: application/json" -d '{"protocols":["http"],"hosts":["172.16.150.71"],"paths":["/dmz630/das_middleware"]}'</v>
      </c>
      <c r="U10" t="str">
        <f t="shared" si="1"/>
        <v>curl -X POST http://172.16.149.80:8001/upstreams/ups-v630-das_middleware/targets -d 'target=172.16.151.110:31119'</v>
      </c>
      <c r="V10" t="str">
        <f t="shared" si="2"/>
        <v>curl -X POST http://172.16.149.80:8001/upstreams/ups-v630-das_middleware/targets -d 'target=172.16.151.111:31119'</v>
      </c>
      <c r="W10" t="str">
        <f t="shared" si="3"/>
        <v>curl -X POST http://172.16.149.80:8001/upstreams/ups-v630-das_middleware/targets -d 'target=172.16.151.112:31119'</v>
      </c>
      <c r="X10" t="str">
        <f t="shared" si="4"/>
        <v/>
      </c>
      <c r="Y10" t="str">
        <f t="shared" si="5"/>
        <v/>
      </c>
      <c r="Z10" t="str">
        <f t="shared" si="6"/>
        <v/>
      </c>
    </row>
    <row r="11" spans="1:26">
      <c r="A11">
        <f>IF(ISNUMBER(SEARCH("rest_api",svc!R109)),1,0)</f>
        <v>1</v>
      </c>
      <c r="C11" t="str">
        <f>svc!D109</f>
        <v>dmz</v>
      </c>
      <c r="D11" t="str">
        <f>svc!$B109</f>
        <v>v630</v>
      </c>
      <c r="E11">
        <f>svc!G109</f>
        <v>31129</v>
      </c>
      <c r="F11" t="str">
        <f>CONCATENATE("ups-",svc!$B109,"-",svc!I109)</f>
        <v>ups-v630-das_middleware_video</v>
      </c>
      <c r="G11" t="str">
        <f>CONCATENATE("svc-",svc!$B109,"-",svc!I109)</f>
        <v>svc-v630-das_middleware_video</v>
      </c>
      <c r="H11" t="str">
        <f>CONCATENATE("route-",VLOOKUP($D11,kong_p1_var!$B$10:$D$16,2,FALSE),"-",svc!$B109,"-",svc!I109)</f>
        <v>route-v510-v630-das_middleware_video</v>
      </c>
      <c r="I11" t="str">
        <f>CONCATENATE(VLOOKUP($D11,kong_p1_var!$B$20:$H$26,SUBSTITUTE(I$1,"target_","") + 1,FALSE),":",$E11)</f>
        <v>172.16.151.110:31129</v>
      </c>
      <c r="J11" t="str">
        <f>CONCATENATE(VLOOKUP($D11,kong_p1_var!$B$20:$H$26,SUBSTITUTE(J$1,"target_","") + 1,FALSE),":",$E11)</f>
        <v>172.16.151.111:31129</v>
      </c>
      <c r="K11" t="str">
        <f>CONCATENATE(VLOOKUP($D11,kong_p1_var!$B$20:$H$26,SUBSTITUTE(K$1,"target_","") + 1,FALSE),":",$E11)</f>
        <v>172.16.151.112:31129</v>
      </c>
      <c r="L11" t="str">
        <f>IF($C11="dmz","",CONCATENATE(VLOOKUP($D11,kong_p1_var!$B$20:$H$26,SUBSTITUTE(L$1,"target_","") + 1,FALSE),":",$E11))</f>
        <v/>
      </c>
      <c r="M11" t="str">
        <f>IF($C11="dmz","",CONCATENATE(VLOOKUP($D11,kong_p1_var!$B$20:$H$26,SUBSTITUTE(M$1,"target_","") + 1,FALSE),":",$E11))</f>
        <v/>
      </c>
      <c r="N11" t="str">
        <f>IF($C11="dmz","",CONCATENATE(VLOOKUP($D11,kong_p1_var!$B$20:$H$26,SUBSTITUTE(N$1,"target_","") + 1,FALSE),":",$E11))</f>
        <v/>
      </c>
      <c r="O11" t="str">
        <f>VLOOKUP($D11,kong_p1_var!$B$10:$D$16,3,FALSE)</f>
        <v>172.16.150.71</v>
      </c>
      <c r="P11" t="str">
        <f>CONCATENATE("/",C11,MID(D11,2,15),"/",svc!$I109)</f>
        <v>/dmz630/das_middleware_video</v>
      </c>
      <c r="Q11" t="str">
        <f>VLOOKUP(C11,kong_p1_var!$B$6:$C$7,2,FALSE)</f>
        <v>http://172.16.149.80:8001</v>
      </c>
      <c r="R11" t="str">
        <f>SUBSTITUTE(SUBSTITUTE(kong_p1_var!$J$1,"&lt;upstream_name&gt;",$F11),"&lt;kong_api_url&gt;",$Q11)</f>
        <v>curl -X PUT http://172.16.149.80:8001/upstreams/ups-v630-das_middleware_video</v>
      </c>
      <c r="S11" t="str">
        <f>SUBSTITUTE(SUBSTITUTE(SUBSTITUTE(SUBSTITUTE(kong_p1_var!$J$2,"&lt;kong_api_url&gt;",$Q11),"&lt;upstream_name&gt;",$F11),"&lt;port&gt;",$E11),"&lt;service_name&gt;",$G11)</f>
        <v>curl -X PUT http://172.16.149.80:8001/services/svc-v630-das_middleware_video -H "Content-Type: application/json" -d '{"protocol":"http","host":"ups-v630-das_middleware_video","port":31129}'</v>
      </c>
      <c r="T11" t="str">
        <f>SUBSTITUTE(SUBSTITUTE(SUBSTITUTE(SUBSTITUTE(SUBSTITUTE(kong_p1_var!$J$3,"&lt;kong_api_url&gt;",$Q11),"&lt;route_name&gt;",$H11),"&lt;service_name&gt;",$G11),"&lt;host&gt;",$O11),"&lt;path&gt;",$P11)</f>
        <v>curl -X PUT http://172.16.149.80:8001/services/svc-v630-das_middleware_video/routes/route-v510-v630-das_middleware_video -H "Content-Type: application/json" -d '{"protocols":["http"],"hosts":["172.16.150.71"],"paths":["/dmz630/das_middleware_video"]}'</v>
      </c>
      <c r="U11" t="str">
        <f t="shared" si="1"/>
        <v>curl -X POST http://172.16.149.80:8001/upstreams/ups-v630-das_middleware_video/targets -d 'target=172.16.151.110:31129'</v>
      </c>
      <c r="V11" t="str">
        <f t="shared" si="2"/>
        <v>curl -X POST http://172.16.149.80:8001/upstreams/ups-v630-das_middleware_video/targets -d 'target=172.16.151.111:31129'</v>
      </c>
      <c r="W11" t="str">
        <f t="shared" si="3"/>
        <v>curl -X POST http://172.16.149.80:8001/upstreams/ups-v630-das_middleware_video/targets -d 'target=172.16.151.112:31129'</v>
      </c>
      <c r="X11" t="str">
        <f t="shared" si="4"/>
        <v/>
      </c>
      <c r="Y11" t="str">
        <f t="shared" si="5"/>
        <v/>
      </c>
      <c r="Z11" t="str">
        <f t="shared" si="6"/>
        <v/>
      </c>
    </row>
    <row r="12" spans="1:26">
      <c r="A12">
        <f>IF(ISNUMBER(SEARCH("rest_api",svc!R11)),1,0)</f>
        <v>0</v>
      </c>
      <c r="C12" t="str">
        <f>svc!D11</f>
        <v>dmz</v>
      </c>
      <c r="D12" t="str">
        <f>svc!$B11</f>
        <v>v504</v>
      </c>
      <c r="E12">
        <f>svc!G11</f>
        <v>31013</v>
      </c>
      <c r="F12" t="str">
        <f>CONCATENATE("ups-",svc!$B11,"-",svc!I11)</f>
        <v>ups-v504-ecms_portal</v>
      </c>
      <c r="G12" t="str">
        <f>CONCATENATE("svc-",svc!$B11,"-",svc!I11)</f>
        <v>svc-v504-ecms_portal</v>
      </c>
      <c r="H12" t="str">
        <f>CONCATENATE("route-",VLOOKUP($D12,kong_p2_var!$B$10:$D$16,2,FALSE),"-",svc!$B11,"-",svc!I11)</f>
        <v>route-v510-v504-ecms_portal</v>
      </c>
      <c r="I12" t="str">
        <f>CONCATENATE(VLOOKUP($D12,kong_p2_var!$B$20:$H$26,SUBSTITUTE(I$1,"target_","") + 1,FALSE),":",$E12)</f>
        <v>172.20.148.102:31013</v>
      </c>
      <c r="J12" t="str">
        <f>CONCATENATE(VLOOKUP($D12,kong_p2_var!$B$20:$H$26,SUBSTITUTE(J$1,"target_","") + 1,FALSE),":",$E12)</f>
        <v>172.20.148.103:31013</v>
      </c>
      <c r="K12" t="str">
        <f>CONCATENATE(VLOOKUP($D12,kong_p2_var!$B$20:$H$26,SUBSTITUTE(K$1,"target_","") + 1,FALSE),":",$E12)</f>
        <v>172.20.148.104:31013</v>
      </c>
      <c r="L12" t="str">
        <f>IF($C12="dmz","",CONCATENATE(VLOOKUP($D12,kong_p2_var!$B$20:$H$26,SUBSTITUTE(L$1,"target_","") + 1,FALSE),":",$E12))</f>
        <v/>
      </c>
      <c r="M12" t="str">
        <f>IF($C12="dmz","",CONCATENATE(VLOOKUP($D12,kong_p2_var!$B$20:$H$26,SUBSTITUTE(M$1,"target_","") + 1,FALSE),":",$E12))</f>
        <v/>
      </c>
      <c r="N12" t="str">
        <f>IF($C12="dmz","",CONCATENATE(VLOOKUP($D12,kong_p2_var!$B$20:$H$26,SUBSTITUTE(N$1,"target_","") + 1,FALSE),":",$E12))</f>
        <v/>
      </c>
      <c r="O12" t="str">
        <f>VLOOKUP($D12,kong_p2_var!$B$10:$D$16,3,FALSE)</f>
        <v>172.20.148.71</v>
      </c>
      <c r="P12" t="str">
        <f>CONCATENATE("/",C12,MID(D12,2,15),"/",svc!$I11)</f>
        <v>/dmz504/ecms_portal</v>
      </c>
      <c r="Q12" t="str">
        <f>VLOOKUP(C12,kong_p2_var!$B$6:$C$7,2,FALSE)</f>
        <v>http://172.20.149.80:8001</v>
      </c>
      <c r="R12" t="str">
        <f>SUBSTITUTE(SUBSTITUTE(kong_p2_var!$J$1,"&lt;upstream_name&gt;",$F12),"&lt;kong_api_url&gt;",$Q12)</f>
        <v>curl -X PUT http://172.20.149.80:8001/upstreams/ups-v504-ecms_portal</v>
      </c>
      <c r="S12" t="str">
        <f>SUBSTITUTE(SUBSTITUTE(SUBSTITUTE(SUBSTITUTE(kong_p2_var!$J$2,"&lt;kong_api_url&gt;",$Q12),"&lt;upstream_name&gt;",$F12),"&lt;port&gt;",$E12),"&lt;service_name&gt;",$G12)</f>
        <v>curl -X PUT http://172.20.149.80:8001/services/svc-v504-ecms_portal -H "Content-Type: application/json" -d '{"protocol":"http","host":"ups-v504-ecms_portal","port":31013}'</v>
      </c>
      <c r="T12" t="str">
        <f>SUBSTITUTE(SUBSTITUTE(SUBSTITUTE(SUBSTITUTE(SUBSTITUTE(kong_p2_var!$J$3,"&lt;kong_api_url&gt;",$Q12),"&lt;route_name&gt;",$H12),"&lt;service_name&gt;",$G12),"&lt;host&gt;",$O12),"&lt;path&gt;",$P12)</f>
        <v>curl -X PUT http://172.20.149.80:8001/services/svc-v504-ecms_portal/routes/route-v510-v504-ecms_portal -H "Content-Type: application/json" -d '{"protocols":["http"],"hosts":["172.20.148.71"],"paths":["/dmz504/ecms_portal"]}'</v>
      </c>
      <c r="U12" t="str">
        <f t="shared" si="1"/>
        <v>curl -X POST http://172.20.149.80:8001/upstreams/ups-v504-ecms_portal/targets -d 'target=172.20.148.102:31013'</v>
      </c>
      <c r="V12" t="str">
        <f t="shared" si="2"/>
        <v>curl -X POST http://172.20.149.80:8001/upstreams/ups-v504-ecms_portal/targets -d 'target=172.20.148.103:31013'</v>
      </c>
      <c r="W12" t="str">
        <f t="shared" si="3"/>
        <v>curl -X POST http://172.20.149.80:8001/upstreams/ups-v504-ecms_portal/targets -d 'target=172.20.148.104:31013'</v>
      </c>
      <c r="X12" t="str">
        <f t="shared" si="4"/>
        <v/>
      </c>
      <c r="Y12" t="str">
        <f t="shared" si="5"/>
        <v/>
      </c>
      <c r="Z12" t="str">
        <f t="shared" si="6"/>
        <v/>
      </c>
    </row>
    <row r="13" spans="1:26">
      <c r="A13">
        <f>IF(ISNUMBER(SEARCH("rest_api",svc!R12)),1,0)</f>
        <v>0</v>
      </c>
      <c r="C13" t="str">
        <f>svc!D12</f>
        <v>dmz</v>
      </c>
      <c r="D13" t="str">
        <f>svc!$B12</f>
        <v>v504</v>
      </c>
      <c r="E13">
        <f>svc!G12</f>
        <v>31013</v>
      </c>
      <c r="F13" t="str">
        <f>CONCATENATE("ups-",svc!$B12,"-",svc!I12)</f>
        <v>ups-v504-ecms_portal</v>
      </c>
      <c r="G13" t="str">
        <f>CONCATENATE("svc-",svc!$B12,"-",svc!I12)</f>
        <v>svc-v504-ecms_portal</v>
      </c>
      <c r="H13" t="str">
        <f>CONCATENATE("route-",VLOOKUP($D13,kong_p2_var!$B$10:$D$16,2,FALSE),"-",svc!$B12,"-",svc!I12)</f>
        <v>route-v510-v504-ecms_portal</v>
      </c>
      <c r="I13" t="str">
        <f>CONCATENATE(VLOOKUP($D13,kong_p2_var!$B$20:$H$26,SUBSTITUTE(I$1,"target_","") + 1,FALSE),":",$E13)</f>
        <v>172.20.148.102:31013</v>
      </c>
      <c r="J13" t="str">
        <f>CONCATENATE(VLOOKUP($D13,kong_p2_var!$B$20:$H$26,SUBSTITUTE(J$1,"target_","") + 1,FALSE),":",$E13)</f>
        <v>172.20.148.103:31013</v>
      </c>
      <c r="K13" t="str">
        <f>CONCATENATE(VLOOKUP($D13,kong_p2_var!$B$20:$H$26,SUBSTITUTE(K$1,"target_","") + 1,FALSE),":",$E13)</f>
        <v>172.20.148.104:31013</v>
      </c>
      <c r="L13" t="str">
        <f>IF($C13="dmz","",CONCATENATE(VLOOKUP($D13,kong_p2_var!$B$20:$H$26,SUBSTITUTE(L$1,"target_","") + 1,FALSE),":",$E13))</f>
        <v/>
      </c>
      <c r="M13" t="str">
        <f>IF($C13="dmz","",CONCATENATE(VLOOKUP($D13,kong_p2_var!$B$20:$H$26,SUBSTITUTE(M$1,"target_","") + 1,FALSE),":",$E13))</f>
        <v/>
      </c>
      <c r="N13" t="str">
        <f>IF($C13="dmz","",CONCATENATE(VLOOKUP($D13,kong_p2_var!$B$20:$H$26,SUBSTITUTE(N$1,"target_","") + 1,FALSE),":",$E13))</f>
        <v/>
      </c>
      <c r="O13" t="str">
        <f>VLOOKUP($D13,kong_p2_var!$B$10:$D$16,3,FALSE)</f>
        <v>172.20.148.71</v>
      </c>
      <c r="P13" t="str">
        <f>CONCATENATE("/",C13,MID(D13,2,15),"/",svc!$I12)</f>
        <v>/dmz504/ecms_portal</v>
      </c>
      <c r="Q13" t="str">
        <f>VLOOKUP(C13,kong_p2_var!$B$6:$C$7,2,FALSE)</f>
        <v>http://172.20.149.80:8001</v>
      </c>
      <c r="R13" t="str">
        <f>SUBSTITUTE(SUBSTITUTE(kong_p2_var!$J$1,"&lt;upstream_name&gt;",$F13),"&lt;kong_api_url&gt;",$Q13)</f>
        <v>curl -X PUT http://172.20.149.80:8001/upstreams/ups-v504-ecms_portal</v>
      </c>
      <c r="S13" t="str">
        <f>SUBSTITUTE(SUBSTITUTE(SUBSTITUTE(SUBSTITUTE(kong_p2_var!$J$2,"&lt;kong_api_url&gt;",$Q13),"&lt;upstream_name&gt;",$F13),"&lt;port&gt;",$E13),"&lt;service_name&gt;",$G13)</f>
        <v>curl -X PUT http://172.20.149.80:8001/services/svc-v504-ecms_portal -H "Content-Type: application/json" -d '{"protocol":"http","host":"ups-v504-ecms_portal","port":31013}'</v>
      </c>
      <c r="T13" t="str">
        <f>SUBSTITUTE(SUBSTITUTE(SUBSTITUTE(SUBSTITUTE(SUBSTITUTE(kong_p2_var!$J$3,"&lt;kong_api_url&gt;",$Q13),"&lt;route_name&gt;",$H13),"&lt;service_name&gt;",$G13),"&lt;host&gt;",$O13),"&lt;path&gt;",$P13)</f>
        <v>curl -X PUT http://172.20.149.80:8001/services/svc-v504-ecms_portal/routes/route-v510-v504-ecms_portal -H "Content-Type: application/json" -d '{"protocols":["http"],"hosts":["172.20.148.71"],"paths":["/dmz504/ecms_portal"]}'</v>
      </c>
      <c r="U13" t="str">
        <f t="shared" si="1"/>
        <v>curl -X POST http://172.20.149.80:8001/upstreams/ups-v504-ecms_portal/targets -d 'target=172.20.148.102:31013'</v>
      </c>
      <c r="V13" t="str">
        <f t="shared" si="2"/>
        <v>curl -X POST http://172.20.149.80:8001/upstreams/ups-v504-ecms_portal/targets -d 'target=172.20.148.103:31013'</v>
      </c>
      <c r="W13" t="str">
        <f t="shared" si="3"/>
        <v>curl -X POST http://172.20.149.80:8001/upstreams/ups-v504-ecms_portal/targets -d 'target=172.20.148.104:31013'</v>
      </c>
      <c r="X13" t="str">
        <f t="shared" si="4"/>
        <v/>
      </c>
      <c r="Y13" t="str">
        <f t="shared" si="5"/>
        <v/>
      </c>
      <c r="Z13" t="str">
        <f t="shared" si="6"/>
        <v/>
      </c>
    </row>
    <row r="14" spans="1:26">
      <c r="A14">
        <f>IF(ISNUMBER(SEARCH("rest_api",svc!R13)),1,0)</f>
        <v>0</v>
      </c>
      <c r="C14" t="str">
        <f>svc!D13</f>
        <v>dmz</v>
      </c>
      <c r="D14" t="str">
        <f>svc!$B13</f>
        <v>v804</v>
      </c>
      <c r="E14">
        <f>svc!G13</f>
        <v>31029</v>
      </c>
      <c r="F14" t="str">
        <f>CONCATENATE("ups-",svc!$B13,"-",svc!I13)</f>
        <v>ups-v804-ffts_web</v>
      </c>
      <c r="G14" t="str">
        <f>CONCATENATE("svc-",svc!$B13,"-",svc!I13)</f>
        <v>svc-v804-ffts_web</v>
      </c>
      <c r="H14" t="str">
        <f>CONCATENATE("route-",VLOOKUP($D14,kong_p2_var!$B$10:$D$16,2,FALSE),"-",svc!$B13,"-",svc!I13)</f>
        <v>route-v810-v804-ffts_web</v>
      </c>
      <c r="I14" t="str">
        <f>CONCATENATE(VLOOKUP($D14,kong_p2_var!$B$20:$H$26,SUBSTITUTE(I$1,"target_","") + 1,FALSE),":",$E14)</f>
        <v>172.20.149.70:31029</v>
      </c>
      <c r="J14" t="str">
        <f>CONCATENATE(VLOOKUP($D14,kong_p2_var!$B$20:$H$26,SUBSTITUTE(J$1,"target_","") + 1,FALSE),":",$E14)</f>
        <v>172.20.149.71:31029</v>
      </c>
      <c r="K14" t="str">
        <f>CONCATENATE(VLOOKUP($D14,kong_p2_var!$B$20:$H$26,SUBSTITUTE(K$1,"target_","") + 1,FALSE),":",$E14)</f>
        <v>172.20.149.72:31029</v>
      </c>
      <c r="L14" t="str">
        <f>IF($C14="dmz","",CONCATENATE(VLOOKUP($D14,kong_p2_var!$B$20:$H$26,SUBSTITUTE(L$1,"target_","") + 1,FALSE),":",$E14))</f>
        <v/>
      </c>
      <c r="M14" t="str">
        <f>IF($C14="dmz","",CONCATENATE(VLOOKUP($D14,kong_p2_var!$B$20:$H$26,SUBSTITUTE(M$1,"target_","") + 1,FALSE),":",$E14))</f>
        <v/>
      </c>
      <c r="N14" t="str">
        <f>IF($C14="dmz","",CONCATENATE(VLOOKUP($D14,kong_p2_var!$B$20:$H$26,SUBSTITUTE(N$1,"target_","") + 1,FALSE),":",$E14))</f>
        <v/>
      </c>
      <c r="O14" t="str">
        <f>VLOOKUP($D14,kong_p2_var!$B$10:$D$16,3,FALSE)</f>
        <v>172.20.151.71</v>
      </c>
      <c r="P14" t="str">
        <f>CONCATENATE("/",C14,MID(D14,2,15),"/",svc!$I13)</f>
        <v>/dmz804/ffts_web</v>
      </c>
      <c r="Q14" t="str">
        <f>VLOOKUP(C14,kong_p2_var!$B$6:$C$7,2,FALSE)</f>
        <v>http://172.20.149.80:8001</v>
      </c>
      <c r="R14" t="str">
        <f>SUBSTITUTE(SUBSTITUTE(kong_p2_var!$J$1,"&lt;upstream_name&gt;",$F14),"&lt;kong_api_url&gt;",$Q14)</f>
        <v>curl -X PUT http://172.20.149.80:8001/upstreams/ups-v804-ffts_web</v>
      </c>
      <c r="S14" t="str">
        <f>SUBSTITUTE(SUBSTITUTE(SUBSTITUTE(SUBSTITUTE(kong_p2_var!$J$2,"&lt;kong_api_url&gt;",$Q14),"&lt;upstream_name&gt;",$F14),"&lt;port&gt;",$E14),"&lt;service_name&gt;",$G14)</f>
        <v>curl -X PUT http://172.20.149.80:8001/services/svc-v804-ffts_web -H "Content-Type: application/json" -d '{"protocol":"http","host":"ups-v804-ffts_web","port":31029}'</v>
      </c>
      <c r="T14" t="str">
        <f>SUBSTITUTE(SUBSTITUTE(SUBSTITUTE(SUBSTITUTE(SUBSTITUTE(kong_p2_var!$J$3,"&lt;kong_api_url&gt;",$Q14),"&lt;route_name&gt;",$H14),"&lt;service_name&gt;",$G14),"&lt;host&gt;",$O14),"&lt;path&gt;",$P14)</f>
        <v>curl -X PUT http://172.20.149.80:8001/services/svc-v804-ffts_web/routes/route-v810-v804-ffts_web -H "Content-Type: application/json" -d '{"protocols":["http"],"hosts":["172.20.151.71"],"paths":["/dmz804/ffts_web"]}'</v>
      </c>
      <c r="U14" t="str">
        <f t="shared" si="1"/>
        <v>curl -X POST http://172.20.149.80:8001/upstreams/ups-v804-ffts_web/targets -d 'target=172.20.149.70:31029'</v>
      </c>
      <c r="V14" t="str">
        <f t="shared" si="2"/>
        <v>curl -X POST http://172.20.149.80:8001/upstreams/ups-v804-ffts_web/targets -d 'target=172.20.149.71:31029'</v>
      </c>
      <c r="W14" t="str">
        <f t="shared" si="3"/>
        <v>curl -X POST http://172.20.149.80:8001/upstreams/ups-v804-ffts_web/targets -d 'target=172.20.149.72:31029'</v>
      </c>
      <c r="X14" t="str">
        <f t="shared" si="4"/>
        <v/>
      </c>
      <c r="Y14" t="str">
        <f t="shared" si="5"/>
        <v/>
      </c>
      <c r="Z14" t="str">
        <f t="shared" si="6"/>
        <v/>
      </c>
    </row>
    <row r="15" spans="1:26">
      <c r="A15">
        <f>IF(ISNUMBER(SEARCH("rest_api",svc!R14)),1,0)</f>
        <v>1</v>
      </c>
      <c r="C15" t="str">
        <f>svc!D14</f>
        <v>dmz</v>
      </c>
      <c r="D15" t="str">
        <f>svc!$B14</f>
        <v>v504</v>
      </c>
      <c r="E15">
        <f>svc!G14</f>
        <v>31400</v>
      </c>
      <c r="F15" t="str">
        <f>CONCATENATE("ups-",svc!$B14,"-",svc!I14)</f>
        <v>ups-v504-notification_result</v>
      </c>
      <c r="G15" t="str">
        <f>CONCATENATE("svc-",svc!$B14,"-",svc!I14)</f>
        <v>svc-v504-notification_result</v>
      </c>
      <c r="H15" t="str">
        <f>CONCATENATE("route-",VLOOKUP($D15,kong_p1_var!$B$10:$D$16,2,FALSE),"-",svc!$B14,"-",svc!I14)</f>
        <v>route-v510-v504-notification_result</v>
      </c>
      <c r="I15" t="str">
        <f>CONCATENATE(VLOOKUP($D15,kong_p1_var!$B$20:$H$26,SUBSTITUTE(I$1,"target_","") + 1,FALSE),":",$E15)</f>
        <v>172.16.148.102:31400</v>
      </c>
      <c r="J15" t="str">
        <f>CONCATENATE(VLOOKUP($D15,kong_p1_var!$B$20:$H$26,SUBSTITUTE(J$1,"target_","") + 1,FALSE),":",$E15)</f>
        <v>172.16.148.103:31400</v>
      </c>
      <c r="K15" t="str">
        <f>CONCATENATE(VLOOKUP($D15,kong_p1_var!$B$20:$H$26,SUBSTITUTE(K$1,"target_","") + 1,FALSE),":",$E15)</f>
        <v>172.16.148.104:31400</v>
      </c>
      <c r="L15" t="str">
        <f>IF($C15="dmz","",CONCATENATE(VLOOKUP($D15,kong_p1_var!$B$20:$H$26,SUBSTITUTE(L$1,"target_","") + 1,FALSE),":",$E15))</f>
        <v/>
      </c>
      <c r="M15" t="str">
        <f>IF($C15="dmz","",CONCATENATE(VLOOKUP($D15,kong_p1_var!$B$20:$H$26,SUBSTITUTE(M$1,"target_","") + 1,FALSE),":",$E15))</f>
        <v/>
      </c>
      <c r="N15" t="str">
        <f>IF($C15="dmz","",CONCATENATE(VLOOKUP($D15,kong_p1_var!$B$20:$H$26,SUBSTITUTE(N$1,"target_","") + 1,FALSE),":",$E15))</f>
        <v/>
      </c>
      <c r="O15" t="str">
        <f>VLOOKUP($D15,kong_p1_var!$B$10:$D$16,3,FALSE)</f>
        <v>172.16.148.71</v>
      </c>
      <c r="P15" t="str">
        <f>CONCATENATE("/",C15,MID(D15,2,15),"/",svc!$I14)</f>
        <v>/dmz504/notification_result</v>
      </c>
      <c r="Q15" t="str">
        <f>VLOOKUP(C15,kong_p1_var!$B$6:$C$7,2,FALSE)</f>
        <v>http://172.16.149.80:8001</v>
      </c>
      <c r="R15" t="str">
        <f>SUBSTITUTE(SUBSTITUTE(kong_p1_var!$J$1,"&lt;upstream_name&gt;",$F15),"&lt;kong_api_url&gt;",$Q15)</f>
        <v>curl -X PUT http://172.16.149.80:8001/upstreams/ups-v504-notification_result</v>
      </c>
      <c r="S15" t="str">
        <f>SUBSTITUTE(SUBSTITUTE(SUBSTITUTE(SUBSTITUTE(kong_p1_var!$J$2,"&lt;kong_api_url&gt;",$Q15),"&lt;upstream_name&gt;",$F15),"&lt;port&gt;",$E15),"&lt;service_name&gt;",$G15)</f>
        <v>curl -X PUT http://172.16.149.80:8001/services/svc-v504-notification_result -H "Content-Type: application/json" -d '{"protocol":"http","host":"ups-v504-notification_result","port":31400}'</v>
      </c>
      <c r="T15" t="str">
        <f>SUBSTITUTE(SUBSTITUTE(SUBSTITUTE(SUBSTITUTE(SUBSTITUTE(kong_p1_var!$J$3,"&lt;kong_api_url&gt;",$Q15),"&lt;route_name&gt;",$H15),"&lt;service_name&gt;",$G15),"&lt;host&gt;",$O15),"&lt;path&gt;",$P15)</f>
        <v>curl -X PUT http://172.16.149.80:8001/services/svc-v504-notification_result/routes/route-v510-v504-notification_result -H "Content-Type: application/json" -d '{"protocols":["http"],"hosts":["172.16.148.71"],"paths":["/dmz504/notification_result"]}'</v>
      </c>
      <c r="U15" t="str">
        <f t="shared" si="1"/>
        <v>curl -X POST http://172.16.149.80:8001/upstreams/ups-v504-notification_result/targets -d 'target=172.16.148.102:31400'</v>
      </c>
      <c r="V15" t="str">
        <f t="shared" si="2"/>
        <v>curl -X POST http://172.16.149.80:8001/upstreams/ups-v504-notification_result/targets -d 'target=172.16.148.103:31400'</v>
      </c>
      <c r="W15" t="str">
        <f t="shared" si="3"/>
        <v>curl -X POST http://172.16.149.80:8001/upstreams/ups-v504-notification_result/targets -d 'target=172.16.148.104:31400'</v>
      </c>
      <c r="X15" t="str">
        <f t="shared" si="4"/>
        <v/>
      </c>
      <c r="Y15" t="str">
        <f t="shared" si="5"/>
        <v/>
      </c>
      <c r="Z15" t="str">
        <f t="shared" si="6"/>
        <v/>
      </c>
    </row>
    <row r="16" spans="1:26">
      <c r="A16">
        <f>IF(ISNUMBER(SEARCH("rest_api",svc!R15)),1,0)</f>
        <v>1</v>
      </c>
      <c r="C16" t="str">
        <f>svc!D15</f>
        <v>dmz</v>
      </c>
      <c r="D16" t="str">
        <f>svc!$B15</f>
        <v>v504</v>
      </c>
      <c r="E16">
        <f>svc!G15</f>
        <v>31031</v>
      </c>
      <c r="F16" t="str">
        <f>CONCATENATE("ups-",svc!$B15,"-",svc!I15)</f>
        <v>ups-v504-payment_middleware</v>
      </c>
      <c r="G16" t="str">
        <f>CONCATENATE("svc-",svc!$B15,"-",svc!I15)</f>
        <v>svc-v504-payment_middleware</v>
      </c>
      <c r="H16" t="str">
        <f>CONCATENATE("route-",VLOOKUP($D16,kong_p1_var!$B$10:$D$16,2,FALSE),"-",svc!$B15,"-",svc!I15)</f>
        <v>route-v510-v504-payment_middleware</v>
      </c>
      <c r="I16" t="str">
        <f>CONCATENATE(VLOOKUP($D16,kong_p1_var!$B$20:$H$26,SUBSTITUTE(I$1,"target_","") + 1,FALSE),":",$E16)</f>
        <v>172.16.148.102:31031</v>
      </c>
      <c r="J16" t="str">
        <f>CONCATENATE(VLOOKUP($D16,kong_p1_var!$B$20:$H$26,SUBSTITUTE(J$1,"target_","") + 1,FALSE),":",$E16)</f>
        <v>172.16.148.103:31031</v>
      </c>
      <c r="K16" t="str">
        <f>CONCATENATE(VLOOKUP($D16,kong_p1_var!$B$20:$H$26,SUBSTITUTE(K$1,"target_","") + 1,FALSE),":",$E16)</f>
        <v>172.16.148.104:31031</v>
      </c>
      <c r="L16" t="str">
        <f>IF($C16="dmz","",CONCATENATE(VLOOKUP($D16,kong_p1_var!$B$20:$H$26,SUBSTITUTE(L$1,"target_","") + 1,FALSE),":",$E16))</f>
        <v/>
      </c>
      <c r="M16" t="str">
        <f>IF($C16="dmz","",CONCATENATE(VLOOKUP($D16,kong_p1_var!$B$20:$H$26,SUBSTITUTE(M$1,"target_","") + 1,FALSE),":",$E16))</f>
        <v/>
      </c>
      <c r="N16" t="str">
        <f>IF($C16="dmz","",CONCATENATE(VLOOKUP($D16,kong_p1_var!$B$20:$H$26,SUBSTITUTE(N$1,"target_","") + 1,FALSE),":",$E16))</f>
        <v/>
      </c>
      <c r="O16" t="str">
        <f>VLOOKUP($D16,kong_p1_var!$B$10:$D$16,3,FALSE)</f>
        <v>172.16.148.71</v>
      </c>
      <c r="P16" t="str">
        <f>CONCATENATE("/",C16,MID(D16,2,15),"/",svc!$I15)</f>
        <v>/dmz504/payment_middleware</v>
      </c>
      <c r="Q16" t="str">
        <f>VLOOKUP(C16,kong_p1_var!$B$6:$C$7,2,FALSE)</f>
        <v>http://172.16.149.80:8001</v>
      </c>
      <c r="R16" t="str">
        <f>SUBSTITUTE(SUBSTITUTE(kong_p1_var!$J$1,"&lt;upstream_name&gt;",$F16),"&lt;kong_api_url&gt;",$Q16)</f>
        <v>curl -X PUT http://172.16.149.80:8001/upstreams/ups-v504-payment_middleware</v>
      </c>
      <c r="S16" t="str">
        <f>SUBSTITUTE(SUBSTITUTE(SUBSTITUTE(SUBSTITUTE(kong_p1_var!$J$2,"&lt;kong_api_url&gt;",$Q16),"&lt;upstream_name&gt;",$F16),"&lt;port&gt;",$E16),"&lt;service_name&gt;",$G16)</f>
        <v>curl -X PUT http://172.16.149.80:8001/services/svc-v504-payment_middleware -H "Content-Type: application/json" -d '{"protocol":"http","host":"ups-v504-payment_middleware","port":31031}'</v>
      </c>
      <c r="T16" t="str">
        <f>SUBSTITUTE(SUBSTITUTE(SUBSTITUTE(SUBSTITUTE(SUBSTITUTE(kong_p1_var!$J$3,"&lt;kong_api_url&gt;",$Q16),"&lt;route_name&gt;",$H16),"&lt;service_name&gt;",$G16),"&lt;host&gt;",$O16),"&lt;path&gt;",$P16)</f>
        <v>curl -X PUT http://172.16.149.80:8001/services/svc-v504-payment_middleware/routes/route-v510-v504-payment_middleware -H "Content-Type: application/json" -d '{"protocols":["http"],"hosts":["172.16.148.71"],"paths":["/dmz504/payment_middleware"]}'</v>
      </c>
      <c r="U16" t="str">
        <f t="shared" si="1"/>
        <v>curl -X POST http://172.16.149.80:8001/upstreams/ups-v504-payment_middleware/targets -d 'target=172.16.148.102:31031'</v>
      </c>
      <c r="V16" t="str">
        <f t="shared" si="2"/>
        <v>curl -X POST http://172.16.149.80:8001/upstreams/ups-v504-payment_middleware/targets -d 'target=172.16.148.103:31031'</v>
      </c>
      <c r="W16" t="str">
        <f t="shared" si="3"/>
        <v>curl -X POST http://172.16.149.80:8001/upstreams/ups-v504-payment_middleware/targets -d 'target=172.16.148.104:31031'</v>
      </c>
      <c r="X16" t="str">
        <f t="shared" si="4"/>
        <v/>
      </c>
      <c r="Y16" t="str">
        <f t="shared" si="5"/>
        <v/>
      </c>
      <c r="Z16" t="str">
        <f t="shared" si="6"/>
        <v/>
      </c>
    </row>
    <row r="17" spans="1:26" hidden="1">
      <c r="A17">
        <f>IF(ISNUMBER(SEARCH("rest_api",svc!R16)),1,0)</f>
        <v>1</v>
      </c>
      <c r="C17" t="str">
        <f>svc!D16</f>
        <v>dmz</v>
      </c>
      <c r="D17" t="str">
        <f>svc!$B16</f>
        <v>v630_itoms2</v>
      </c>
      <c r="E17">
        <f>svc!G16</f>
        <v>31002</v>
      </c>
      <c r="F17" t="str">
        <f>CONCATENATE("ups-",svc!$B16,"-",svc!I16)</f>
        <v>ups-v630_itoms2-toms_middleware</v>
      </c>
      <c r="G17" t="str">
        <f>CONCATENATE("svc-",svc!$B16,"-",svc!I16)</f>
        <v>svc-v630_itoms2-toms_middleware</v>
      </c>
      <c r="H17" t="e">
        <f>CONCATENATE("route-",VLOOKUP($D17,kong_p2_var!$B$10:$D$16,2,FALSE),"-",svc!$B16,"-",svc!I16)</f>
        <v>#N/A</v>
      </c>
      <c r="I17" t="e">
        <f>CONCATENATE(VLOOKUP($D17,kong_p2_var!$B$20:$H$26,SUBSTITUTE(I$1,"target_","") + 1,FALSE),":",$E17)</f>
        <v>#N/A</v>
      </c>
      <c r="J17" t="e">
        <f>CONCATENATE(VLOOKUP($D17,kong_p2_var!$B$20:$H$26,SUBSTITUTE(J$1,"target_","") + 1,FALSE),":",$E17)</f>
        <v>#N/A</v>
      </c>
      <c r="K17" t="e">
        <f>CONCATENATE(VLOOKUP($D17,kong_p2_var!$B$20:$H$26,SUBSTITUTE(K$1,"target_","") + 1,FALSE),":",$E17)</f>
        <v>#N/A</v>
      </c>
      <c r="L17" t="str">
        <f>IF($C17="dmz","",CONCATENATE(VLOOKUP($D17,kong_p2_var!$B$20:$H$26,SUBSTITUTE(L$1,"target_","") + 1,FALSE),":",$E17))</f>
        <v/>
      </c>
      <c r="M17" t="str">
        <f>IF($C17="dmz","",CONCATENATE(VLOOKUP($D17,kong_p2_var!$B$20:$H$26,SUBSTITUTE(M$1,"target_","") + 1,FALSE),":",$E17))</f>
        <v/>
      </c>
      <c r="N17" t="str">
        <f>IF($C17="dmz","",CONCATENATE(VLOOKUP($D17,kong_p2_var!$B$20:$H$26,SUBSTITUTE(N$1,"target_","") + 1,FALSE),":",$E17))</f>
        <v/>
      </c>
      <c r="O17" t="e">
        <f>VLOOKUP($D17,kong_p2_var!$B$10:$D$16,3,FALSE)</f>
        <v>#N/A</v>
      </c>
      <c r="P17" t="str">
        <f>CONCATENATE("/",C17,MID(D17,2,15),"/",svc!$I16)</f>
        <v>/dmz630_itoms2/toms_middleware</v>
      </c>
      <c r="Q17" t="str">
        <f>VLOOKUP(C17,kong_p2_var!$B$6:$C$7,2,FALSE)</f>
        <v>http://172.20.149.80:8001</v>
      </c>
      <c r="R17" t="str">
        <f>SUBSTITUTE(SUBSTITUTE(kong_p2_var!$J$1,"&lt;upstream_name&gt;",$F17),"&lt;kong_api_url&gt;",$Q17)</f>
        <v>curl -X PUT http://172.20.149.80:8001/upstreams/ups-v630_itoms2-toms_middleware</v>
      </c>
      <c r="S17" t="str">
        <f>SUBSTITUTE(SUBSTITUTE(SUBSTITUTE(SUBSTITUTE(kong_p2_var!$J$2,"&lt;kong_api_url&gt;",$Q17),"&lt;upstream_name&gt;",$F17),"&lt;port&gt;",$E17),"&lt;service_name&gt;",$G17)</f>
        <v>curl -X PUT http://172.20.149.80:8001/services/svc-v630_itoms2-toms_middleware -H "Content-Type: application/json" -d '{"protocol":"http","host":"ups-v630_itoms2-toms_middleware","port":31002}'</v>
      </c>
      <c r="T17" t="e">
        <f>SUBSTITUTE(SUBSTITUTE(SUBSTITUTE(SUBSTITUTE(SUBSTITUTE(kong_p2_var!$J$3,"&lt;kong_api_url&gt;",$Q17),"&lt;route_name&gt;",$H17),"&lt;service_name&gt;",$G17),"&lt;host&gt;",$O17),"&lt;path&gt;",$P17)</f>
        <v>#N/A</v>
      </c>
      <c r="U17" t="e">
        <f t="shared" si="1"/>
        <v>#N/A</v>
      </c>
      <c r="V17" t="e">
        <f t="shared" si="2"/>
        <v>#N/A</v>
      </c>
      <c r="W17" t="e">
        <f t="shared" si="3"/>
        <v>#N/A</v>
      </c>
      <c r="X17" t="str">
        <f t="shared" si="4"/>
        <v/>
      </c>
      <c r="Y17" t="str">
        <f t="shared" si="5"/>
        <v/>
      </c>
      <c r="Z17" t="str">
        <f t="shared" si="6"/>
        <v/>
      </c>
    </row>
    <row r="18" spans="1:26" hidden="1">
      <c r="A18">
        <f>IF(ISNUMBER(SEARCH("rest_api",svc!R17)),1,0)</f>
        <v>0</v>
      </c>
      <c r="C18" t="str">
        <f>svc!D17</f>
        <v>dmz</v>
      </c>
      <c r="D18" t="str">
        <f>svc!$B17</f>
        <v>v504_itoms1</v>
      </c>
      <c r="E18">
        <f>svc!G17</f>
        <v>31030</v>
      </c>
      <c r="F18" t="str">
        <f>CONCATENATE("ups-",svc!$B17,"-",svc!I17)</f>
        <v>ups-v504_itoms1-toms_portal</v>
      </c>
      <c r="G18" t="str">
        <f>CONCATENATE("svc-",svc!$B17,"-",svc!I17)</f>
        <v>svc-v504_itoms1-toms_portal</v>
      </c>
      <c r="H18" t="e">
        <f>CONCATENATE("route-",VLOOKUP($D18,kong_p2_var!$B$10:$D$16,2,FALSE),"-",svc!$B17,"-",svc!I17)</f>
        <v>#N/A</v>
      </c>
      <c r="I18" t="e">
        <f>CONCATENATE(VLOOKUP($D18,kong_p2_var!$B$20:$H$26,SUBSTITUTE(I$1,"target_","") + 1,FALSE),":",$E18)</f>
        <v>#N/A</v>
      </c>
      <c r="J18" t="e">
        <f>CONCATENATE(VLOOKUP($D18,kong_p2_var!$B$20:$H$26,SUBSTITUTE(J$1,"target_","") + 1,FALSE),":",$E18)</f>
        <v>#N/A</v>
      </c>
      <c r="K18" t="e">
        <f>CONCATENATE(VLOOKUP($D18,kong_p2_var!$B$20:$H$26,SUBSTITUTE(K$1,"target_","") + 1,FALSE),":",$E18)</f>
        <v>#N/A</v>
      </c>
      <c r="L18" t="str">
        <f>IF($C18="dmz","",CONCATENATE(VLOOKUP($D18,kong_p2_var!$B$20:$H$26,SUBSTITUTE(L$1,"target_","") + 1,FALSE),":",$E18))</f>
        <v/>
      </c>
      <c r="M18" t="str">
        <f>IF($C18="dmz","",CONCATENATE(VLOOKUP($D18,kong_p2_var!$B$20:$H$26,SUBSTITUTE(M$1,"target_","") + 1,FALSE),":",$E18))</f>
        <v/>
      </c>
      <c r="N18" t="str">
        <f>IF($C18="dmz","",CONCATENATE(VLOOKUP($D18,kong_p2_var!$B$20:$H$26,SUBSTITUTE(N$1,"target_","") + 1,FALSE),":",$E18))</f>
        <v/>
      </c>
      <c r="O18" t="e">
        <f>VLOOKUP($D18,kong_p2_var!$B$10:$D$16,3,FALSE)</f>
        <v>#N/A</v>
      </c>
      <c r="P18" t="str">
        <f>CONCATENATE("/",C18,MID(D18,2,15),"/",svc!$I17)</f>
        <v>/dmz504_itoms1/toms_portal</v>
      </c>
      <c r="Q18" t="str">
        <f>VLOOKUP(C18,kong_p2_var!$B$6:$C$7,2,FALSE)</f>
        <v>http://172.20.149.80:8001</v>
      </c>
      <c r="R18" t="str">
        <f>SUBSTITUTE(SUBSTITUTE(kong_p2_var!$J$1,"&lt;upstream_name&gt;",$F18),"&lt;kong_api_url&gt;",$Q18)</f>
        <v>curl -X PUT http://172.20.149.80:8001/upstreams/ups-v504_itoms1-toms_portal</v>
      </c>
      <c r="S18" t="str">
        <f>SUBSTITUTE(SUBSTITUTE(SUBSTITUTE(SUBSTITUTE(kong_p2_var!$J$2,"&lt;kong_api_url&gt;",$Q18),"&lt;upstream_name&gt;",$F18),"&lt;port&gt;",$E18),"&lt;service_name&gt;",$G18)</f>
        <v>curl -X PUT http://172.20.149.80:8001/services/svc-v504_itoms1-toms_portal -H "Content-Type: application/json" -d '{"protocol":"http","host":"ups-v504_itoms1-toms_portal","port":31030}'</v>
      </c>
      <c r="T18" t="e">
        <f>SUBSTITUTE(SUBSTITUTE(SUBSTITUTE(SUBSTITUTE(SUBSTITUTE(kong_p2_var!$J$3,"&lt;kong_api_url&gt;",$Q18),"&lt;route_name&gt;",$H18),"&lt;service_name&gt;",$G18),"&lt;host&gt;",$O18),"&lt;path&gt;",$P18)</f>
        <v>#N/A</v>
      </c>
      <c r="U18" t="e">
        <f t="shared" si="1"/>
        <v>#N/A</v>
      </c>
      <c r="V18" t="e">
        <f t="shared" si="2"/>
        <v>#N/A</v>
      </c>
      <c r="W18" t="e">
        <f t="shared" si="3"/>
        <v>#N/A</v>
      </c>
      <c r="X18" t="str">
        <f t="shared" si="4"/>
        <v/>
      </c>
      <c r="Y18" t="str">
        <f t="shared" si="5"/>
        <v/>
      </c>
      <c r="Z18" t="str">
        <f t="shared" si="6"/>
        <v/>
      </c>
    </row>
    <row r="19" spans="1:26">
      <c r="A19">
        <f>IF(ISNUMBER(SEARCH("rest_api",svc!R18)),1,0)</f>
        <v>1</v>
      </c>
      <c r="C19" t="str">
        <f>svc!D18</f>
        <v>dmz</v>
      </c>
      <c r="D19" t="str">
        <f>svc!$B18</f>
        <v>v504</v>
      </c>
      <c r="E19">
        <f>svc!G18</f>
        <v>31401</v>
      </c>
      <c r="F19" t="str">
        <f>CONCATENATE("ups-",svc!$B18,"-",svc!I18)</f>
        <v>ups-v504-tsp_middleware</v>
      </c>
      <c r="G19" t="str">
        <f>CONCATENATE("svc-",svc!$B18,"-",svc!I18)</f>
        <v>svc-v504-tsp_middleware</v>
      </c>
      <c r="H19" t="str">
        <f>CONCATENATE("route-",VLOOKUP($D19,kong_p1_var!$B$10:$D$16,2,FALSE),"-",svc!$B18,"-",svc!I18)</f>
        <v>route-v510-v504-tsp_middleware</v>
      </c>
      <c r="I19" t="str">
        <f>CONCATENATE(VLOOKUP($D19,kong_p1_var!$B$20:$H$26,SUBSTITUTE(I$1,"target_","") + 1,FALSE),":",$E19)</f>
        <v>172.16.148.102:31401</v>
      </c>
      <c r="J19" t="str">
        <f>CONCATENATE(VLOOKUP($D19,kong_p1_var!$B$20:$H$26,SUBSTITUTE(J$1,"target_","") + 1,FALSE),":",$E19)</f>
        <v>172.16.148.103:31401</v>
      </c>
      <c r="K19" t="str">
        <f>CONCATENATE(VLOOKUP($D19,kong_p1_var!$B$20:$H$26,SUBSTITUTE(K$1,"target_","") + 1,FALSE),":",$E19)</f>
        <v>172.16.148.104:31401</v>
      </c>
      <c r="L19" t="str">
        <f>IF($C19="dmz","",CONCATENATE(VLOOKUP($D19,kong_p1_var!$B$20:$H$26,SUBSTITUTE(L$1,"target_","") + 1,FALSE),":",$E19))</f>
        <v/>
      </c>
      <c r="M19" t="str">
        <f>IF($C19="dmz","",CONCATENATE(VLOOKUP($D19,kong_p1_var!$B$20:$H$26,SUBSTITUTE(M$1,"target_","") + 1,FALSE),":",$E19))</f>
        <v/>
      </c>
      <c r="N19" t="str">
        <f>IF($C19="dmz","",CONCATENATE(VLOOKUP($D19,kong_p1_var!$B$20:$H$26,SUBSTITUTE(N$1,"target_","") + 1,FALSE),":",$E19))</f>
        <v/>
      </c>
      <c r="O19" t="str">
        <f>VLOOKUP($D19,kong_p1_var!$B$10:$D$16,3,FALSE)</f>
        <v>172.16.148.71</v>
      </c>
      <c r="P19" t="str">
        <f>CONCATENATE("/",C19,MID(D19,2,15),"/",svc!$I18)</f>
        <v>/dmz504/tsp_middleware</v>
      </c>
      <c r="Q19" t="str">
        <f>VLOOKUP(C19,kong_p1_var!$B$6:$C$7,2,FALSE)</f>
        <v>http://172.16.149.80:8001</v>
      </c>
      <c r="R19" t="str">
        <f>SUBSTITUTE(SUBSTITUTE(kong_p1_var!$J$1,"&lt;upstream_name&gt;",$F19),"&lt;kong_api_url&gt;",$Q19)</f>
        <v>curl -X PUT http://172.16.149.80:8001/upstreams/ups-v504-tsp_middleware</v>
      </c>
      <c r="S19" t="str">
        <f>SUBSTITUTE(SUBSTITUTE(SUBSTITUTE(SUBSTITUTE(kong_p1_var!$J$2,"&lt;kong_api_url&gt;",$Q19),"&lt;upstream_name&gt;",$F19),"&lt;port&gt;",$E19),"&lt;service_name&gt;",$G19)</f>
        <v>curl -X PUT http://172.16.149.80:8001/services/svc-v504-tsp_middleware -H "Content-Type: application/json" -d '{"protocol":"http","host":"ups-v504-tsp_middleware","port":31401}'</v>
      </c>
      <c r="T19" t="str">
        <f>SUBSTITUTE(SUBSTITUTE(SUBSTITUTE(SUBSTITUTE(SUBSTITUTE(kong_p1_var!$J$3,"&lt;kong_api_url&gt;",$Q19),"&lt;route_name&gt;",$H19),"&lt;service_name&gt;",$G19),"&lt;host&gt;",$O19),"&lt;path&gt;",$P19)</f>
        <v>curl -X PUT http://172.16.149.80:8001/services/svc-v504-tsp_middleware/routes/route-v510-v504-tsp_middleware -H "Content-Type: application/json" -d '{"protocols":["http"],"hosts":["172.16.148.71"],"paths":["/dmz504/tsp_middleware"]}'</v>
      </c>
      <c r="U19" t="str">
        <f t="shared" si="1"/>
        <v>curl -X POST http://172.16.149.80:8001/upstreams/ups-v504-tsp_middleware/targets -d 'target=172.16.148.102:31401'</v>
      </c>
      <c r="V19" t="str">
        <f t="shared" si="2"/>
        <v>curl -X POST http://172.16.149.80:8001/upstreams/ups-v504-tsp_middleware/targets -d 'target=172.16.148.103:31401'</v>
      </c>
      <c r="W19" t="str">
        <f t="shared" si="3"/>
        <v>curl -X POST http://172.16.149.80:8001/upstreams/ups-v504-tsp_middleware/targets -d 'target=172.16.148.104:31401'</v>
      </c>
      <c r="X19" t="str">
        <f t="shared" si="4"/>
        <v/>
      </c>
      <c r="Y19" t="str">
        <f t="shared" si="5"/>
        <v/>
      </c>
      <c r="Z19" t="str">
        <f t="shared" si="6"/>
        <v/>
      </c>
    </row>
    <row r="20" spans="1:26">
      <c r="A20">
        <f>IF(ISNUMBER(SEARCH("rest_api",svc!R19)),1,0)</f>
        <v>1</v>
      </c>
      <c r="C20" t="str">
        <f>svc!D19</f>
        <v>dmz</v>
      </c>
      <c r="D20" t="str">
        <f>svc!$B19</f>
        <v>v504</v>
      </c>
      <c r="E20">
        <f>svc!G19</f>
        <v>31402</v>
      </c>
      <c r="F20" t="str">
        <f>CONCATENATE("ups-",svc!$B19,"-",svc!I19)</f>
        <v>ups-v504-ttis_middleware</v>
      </c>
      <c r="G20" t="str">
        <f>CONCATENATE("svc-",svc!$B19,"-",svc!I19)</f>
        <v>svc-v504-ttis_middleware</v>
      </c>
      <c r="H20" t="str">
        <f>CONCATENATE("route-",VLOOKUP($D20,kong_p1_var!$B$10:$D$16,2,FALSE),"-",svc!$B19,"-",svc!I19)</f>
        <v>route-v510-v504-ttis_middleware</v>
      </c>
      <c r="I20" t="str">
        <f>CONCATENATE(VLOOKUP($D20,kong_p1_var!$B$20:$H$26,SUBSTITUTE(I$1,"target_","") + 1,FALSE),":",$E20)</f>
        <v>172.16.148.102:31402</v>
      </c>
      <c r="J20" t="str">
        <f>CONCATENATE(VLOOKUP($D20,kong_p1_var!$B$20:$H$26,SUBSTITUTE(J$1,"target_","") + 1,FALSE),":",$E20)</f>
        <v>172.16.148.103:31402</v>
      </c>
      <c r="K20" t="str">
        <f>CONCATENATE(VLOOKUP($D20,kong_p1_var!$B$20:$H$26,SUBSTITUTE(K$1,"target_","") + 1,FALSE),":",$E20)</f>
        <v>172.16.148.104:31402</v>
      </c>
      <c r="L20" t="str">
        <f>IF($C20="dmz","",CONCATENATE(VLOOKUP($D20,kong_p1_var!$B$20:$H$26,SUBSTITUTE(L$1,"target_","") + 1,FALSE),":",$E20))</f>
        <v/>
      </c>
      <c r="M20" t="str">
        <f>IF($C20="dmz","",CONCATENATE(VLOOKUP($D20,kong_p1_var!$B$20:$H$26,SUBSTITUTE(M$1,"target_","") + 1,FALSE),":",$E20))</f>
        <v/>
      </c>
      <c r="N20" t="str">
        <f>IF($C20="dmz","",CONCATENATE(VLOOKUP($D20,kong_p1_var!$B$20:$H$26,SUBSTITUTE(N$1,"target_","") + 1,FALSE),":",$E20))</f>
        <v/>
      </c>
      <c r="O20" t="str">
        <f>VLOOKUP($D20,kong_p1_var!$B$10:$D$16,3,FALSE)</f>
        <v>172.16.148.71</v>
      </c>
      <c r="P20" t="str">
        <f>CONCATENATE("/",C20,MID(D20,2,15),"/",svc!$I19)</f>
        <v>/dmz504/ttis_middleware</v>
      </c>
      <c r="Q20" t="str">
        <f>VLOOKUP(C20,kong_p1_var!$B$6:$C$7,2,FALSE)</f>
        <v>http://172.16.149.80:8001</v>
      </c>
      <c r="R20" t="str">
        <f>SUBSTITUTE(SUBSTITUTE(kong_p1_var!$J$1,"&lt;upstream_name&gt;",$F20),"&lt;kong_api_url&gt;",$Q20)</f>
        <v>curl -X PUT http://172.16.149.80:8001/upstreams/ups-v504-ttis_middleware</v>
      </c>
      <c r="S20" t="str">
        <f>SUBSTITUTE(SUBSTITUTE(SUBSTITUTE(SUBSTITUTE(kong_p1_var!$J$2,"&lt;kong_api_url&gt;",$Q20),"&lt;upstream_name&gt;",$F20),"&lt;port&gt;",$E20),"&lt;service_name&gt;",$G20)</f>
        <v>curl -X PUT http://172.16.149.80:8001/services/svc-v504-ttis_middleware -H "Content-Type: application/json" -d '{"protocol":"http","host":"ups-v504-ttis_middleware","port":31402}'</v>
      </c>
      <c r="T20" t="str">
        <f>SUBSTITUTE(SUBSTITUTE(SUBSTITUTE(SUBSTITUTE(SUBSTITUTE(kong_p1_var!$J$3,"&lt;kong_api_url&gt;",$Q20),"&lt;route_name&gt;",$H20),"&lt;service_name&gt;",$G20),"&lt;host&gt;",$O20),"&lt;path&gt;",$P20)</f>
        <v>curl -X PUT http://172.16.149.80:8001/services/svc-v504-ttis_middleware/routes/route-v510-v504-ttis_middleware -H "Content-Type: application/json" -d '{"protocols":["http"],"hosts":["172.16.148.71"],"paths":["/dmz504/ttis_middleware"]}'</v>
      </c>
      <c r="U20" t="str">
        <f t="shared" si="1"/>
        <v>curl -X POST http://172.16.149.80:8001/upstreams/ups-v504-ttis_middleware/targets -d 'target=172.16.148.102:31402'</v>
      </c>
      <c r="V20" t="str">
        <f t="shared" si="2"/>
        <v>curl -X POST http://172.16.149.80:8001/upstreams/ups-v504-ttis_middleware/targets -d 'target=172.16.148.103:31402'</v>
      </c>
      <c r="W20" t="str">
        <f t="shared" si="3"/>
        <v>curl -X POST http://172.16.149.80:8001/upstreams/ups-v504-ttis_middleware/targets -d 'target=172.16.148.104:31402'</v>
      </c>
      <c r="X20" t="str">
        <f t="shared" si="4"/>
        <v/>
      </c>
      <c r="Y20" t="str">
        <f t="shared" si="5"/>
        <v/>
      </c>
      <c r="Z20" t="str">
        <f t="shared" si="6"/>
        <v/>
      </c>
    </row>
    <row r="21" spans="1:26">
      <c r="A21">
        <f>IF(ISNUMBER(SEARCH("rest_api",svc!R20)),1,0)</f>
        <v>1</v>
      </c>
      <c r="C21" t="str">
        <f>svc!D20</f>
        <v>dmz</v>
      </c>
      <c r="D21" t="str">
        <f>svc!$B20</f>
        <v>v904</v>
      </c>
      <c r="E21">
        <f>svc!G20</f>
        <v>31403</v>
      </c>
      <c r="F21" t="str">
        <f>CONCATENATE("ups-",svc!$B20,"-",svc!I20)</f>
        <v>ups-v904-validv_middleware</v>
      </c>
      <c r="G21" t="str">
        <f>CONCATENATE("svc-",svc!$B20,"-",svc!I20)</f>
        <v>svc-v904-validv_middleware</v>
      </c>
      <c r="H21" t="str">
        <f>CONCATENATE("route-",VLOOKUP($D21,kong_p1_var!$B$10:$D$16,2,FALSE),"-",svc!$B20,"-",svc!I20)</f>
        <v>route-v910-v904-validv_middleware</v>
      </c>
      <c r="I21" t="str">
        <f>CONCATENATE(VLOOKUP($D21,kong_p1_var!$B$20:$H$26,SUBSTITUTE(I$1,"target_","") + 1,FALSE),":",$E21)</f>
        <v>172.16.149.102:31403</v>
      </c>
      <c r="J21" t="str">
        <f>CONCATENATE(VLOOKUP($D21,kong_p1_var!$B$20:$H$26,SUBSTITUTE(J$1,"target_","") + 1,FALSE),":",$E21)</f>
        <v>172.16.149.103:31403</v>
      </c>
      <c r="K21" t="str">
        <f>CONCATENATE(VLOOKUP($D21,kong_p1_var!$B$20:$H$26,SUBSTITUTE(K$1,"target_","") + 1,FALSE),":",$E21)</f>
        <v>172.16.149.104:31403</v>
      </c>
      <c r="L21" t="str">
        <f>IF($C21="dmz","",CONCATENATE(VLOOKUP($D21,kong_p1_var!$B$20:$H$26,SUBSTITUTE(L$1,"target_","") + 1,FALSE),":",$E21))</f>
        <v/>
      </c>
      <c r="M21" t="str">
        <f>IF($C21="dmz","",CONCATENATE(VLOOKUP($D21,kong_p1_var!$B$20:$H$26,SUBSTITUTE(M$1,"target_","") + 1,FALSE),":",$E21))</f>
        <v/>
      </c>
      <c r="N21" t="str">
        <f>IF($C21="dmz","",CONCATENATE(VLOOKUP($D21,kong_p1_var!$B$20:$H$26,SUBSTITUTE(N$1,"target_","") + 1,FALSE),":",$E21))</f>
        <v/>
      </c>
      <c r="O21" t="str">
        <f>VLOOKUP($D21,kong_p1_var!$B$10:$D$16,3,FALSE)</f>
        <v>172.16.150.39</v>
      </c>
      <c r="P21" t="str">
        <f>CONCATENATE("/",C21,MID(D21,2,15),"/",svc!$I20)</f>
        <v>/dmz904/validv_middleware</v>
      </c>
      <c r="Q21" t="str">
        <f>VLOOKUP(C21,kong_p1_var!$B$6:$C$7,2,FALSE)</f>
        <v>http://172.16.149.80:8001</v>
      </c>
      <c r="R21" t="str">
        <f>SUBSTITUTE(SUBSTITUTE(kong_p1_var!$J$1,"&lt;upstream_name&gt;",$F21),"&lt;kong_api_url&gt;",$Q21)</f>
        <v>curl -X PUT http://172.16.149.80:8001/upstreams/ups-v904-validv_middleware</v>
      </c>
      <c r="S21" t="str">
        <f>SUBSTITUTE(SUBSTITUTE(SUBSTITUTE(SUBSTITUTE(kong_p1_var!$J$2,"&lt;kong_api_url&gt;",$Q21),"&lt;upstream_name&gt;",$F21),"&lt;port&gt;",$E21),"&lt;service_name&gt;",$G21)</f>
        <v>curl -X PUT http://172.16.149.80:8001/services/svc-v904-validv_middleware -H "Content-Type: application/json" -d '{"protocol":"http","host":"ups-v904-validv_middleware","port":31403}'</v>
      </c>
      <c r="T21" t="str">
        <f>SUBSTITUTE(SUBSTITUTE(SUBSTITUTE(SUBSTITUTE(SUBSTITUTE(kong_p1_var!$J$3,"&lt;kong_api_url&gt;",$Q21),"&lt;route_name&gt;",$H21),"&lt;service_name&gt;",$G21),"&lt;host&gt;",$O21),"&lt;path&gt;",$P21)</f>
        <v>curl -X PUT http://172.16.149.80:8001/services/svc-v904-validv_middleware/routes/route-v910-v904-validv_middleware -H "Content-Type: application/json" -d '{"protocols":["http"],"hosts":["172.16.150.39"],"paths":["/dmz904/validv_middleware"]}'</v>
      </c>
      <c r="U21" t="str">
        <f t="shared" si="1"/>
        <v>curl -X POST http://172.16.149.80:8001/upstreams/ups-v904-validv_middleware/targets -d 'target=172.16.149.102:31403'</v>
      </c>
      <c r="V21" t="str">
        <f t="shared" si="2"/>
        <v>curl -X POST http://172.16.149.80:8001/upstreams/ups-v904-validv_middleware/targets -d 'target=172.16.149.103:31403'</v>
      </c>
      <c r="W21" t="str">
        <f t="shared" si="3"/>
        <v>curl -X POST http://172.16.149.80:8001/upstreams/ups-v904-validv_middleware/targets -d 'target=172.16.149.104:31403'</v>
      </c>
      <c r="X21" t="str">
        <f t="shared" si="4"/>
        <v/>
      </c>
      <c r="Y21" t="str">
        <f t="shared" si="5"/>
        <v/>
      </c>
      <c r="Z21" t="str">
        <f t="shared" si="6"/>
        <v/>
      </c>
    </row>
    <row r="22" spans="1:26">
      <c r="A22">
        <f>IF(ISNUMBER(SEARCH("rest_api",svc!R21)),1,0)</f>
        <v>1</v>
      </c>
      <c r="C22" t="str">
        <f>svc!D21</f>
        <v>dmz</v>
      </c>
      <c r="D22" t="str">
        <f>svc!$B21</f>
        <v>v904</v>
      </c>
      <c r="E22">
        <f>svc!G21</f>
        <v>31404</v>
      </c>
      <c r="F22" t="str">
        <f>CONCATENATE("ups-",svc!$B21,"-",svc!I21)</f>
        <v>ups-v904-vssd_middleware</v>
      </c>
      <c r="G22" t="str">
        <f>CONCATENATE("svc-",svc!$B21,"-",svc!I21)</f>
        <v>svc-v904-vssd_middleware</v>
      </c>
      <c r="H22" t="str">
        <f>CONCATENATE("route-",VLOOKUP($D22,kong_p1_var!$B$10:$D$16,2,FALSE),"-",svc!$B21,"-",svc!I21)</f>
        <v>route-v910-v904-vssd_middleware</v>
      </c>
      <c r="I22" t="str">
        <f>CONCATENATE(VLOOKUP($D22,kong_p1_var!$B$20:$H$26,SUBSTITUTE(I$1,"target_","") + 1,FALSE),":",$E22)</f>
        <v>172.16.149.102:31404</v>
      </c>
      <c r="J22" t="str">
        <f>CONCATENATE(VLOOKUP($D22,kong_p1_var!$B$20:$H$26,SUBSTITUTE(J$1,"target_","") + 1,FALSE),":",$E22)</f>
        <v>172.16.149.103:31404</v>
      </c>
      <c r="K22" t="str">
        <f>CONCATENATE(VLOOKUP($D22,kong_p1_var!$B$20:$H$26,SUBSTITUTE(K$1,"target_","") + 1,FALSE),":",$E22)</f>
        <v>172.16.149.104:31404</v>
      </c>
      <c r="L22" t="str">
        <f>IF($C22="dmz","",CONCATENATE(VLOOKUP($D22,kong_p1_var!$B$20:$H$26,SUBSTITUTE(L$1,"target_","") + 1,FALSE),":",$E22))</f>
        <v/>
      </c>
      <c r="M22" t="str">
        <f>IF($C22="dmz","",CONCATENATE(VLOOKUP($D22,kong_p1_var!$B$20:$H$26,SUBSTITUTE(M$1,"target_","") + 1,FALSE),":",$E22))</f>
        <v/>
      </c>
      <c r="N22" t="str">
        <f>IF($C22="dmz","",CONCATENATE(VLOOKUP($D22,kong_p1_var!$B$20:$H$26,SUBSTITUTE(N$1,"target_","") + 1,FALSE),":",$E22))</f>
        <v/>
      </c>
      <c r="O22" t="str">
        <f>VLOOKUP($D22,kong_p1_var!$B$10:$D$16,3,FALSE)</f>
        <v>172.16.150.39</v>
      </c>
      <c r="P22" t="str">
        <f>CONCATENATE("/",C22,MID(D22,2,15),"/",svc!$I21)</f>
        <v>/dmz904/vssd_middleware</v>
      </c>
      <c r="Q22" t="str">
        <f>VLOOKUP(C22,kong_p1_var!$B$6:$C$7,2,FALSE)</f>
        <v>http://172.16.149.80:8001</v>
      </c>
      <c r="R22" t="str">
        <f>SUBSTITUTE(SUBSTITUTE(kong_p1_var!$J$1,"&lt;upstream_name&gt;",$F22),"&lt;kong_api_url&gt;",$Q22)</f>
        <v>curl -X PUT http://172.16.149.80:8001/upstreams/ups-v904-vssd_middleware</v>
      </c>
      <c r="S22" t="str">
        <f>SUBSTITUTE(SUBSTITUTE(SUBSTITUTE(SUBSTITUTE(kong_p1_var!$J$2,"&lt;kong_api_url&gt;",$Q22),"&lt;upstream_name&gt;",$F22),"&lt;port&gt;",$E22),"&lt;service_name&gt;",$G22)</f>
        <v>curl -X PUT http://172.16.149.80:8001/services/svc-v904-vssd_middleware -H "Content-Type: application/json" -d '{"protocol":"http","host":"ups-v904-vssd_middleware","port":31404}'</v>
      </c>
      <c r="T22" t="str">
        <f>SUBSTITUTE(SUBSTITUTE(SUBSTITUTE(SUBSTITUTE(SUBSTITUTE(kong_p1_var!$J$3,"&lt;kong_api_url&gt;",$Q22),"&lt;route_name&gt;",$H22),"&lt;service_name&gt;",$G22),"&lt;host&gt;",$O22),"&lt;path&gt;",$P22)</f>
        <v>curl -X PUT http://172.16.149.80:8001/services/svc-v904-vssd_middleware/routes/route-v910-v904-vssd_middleware -H "Content-Type: application/json" -d '{"protocols":["http"],"hosts":["172.16.150.39"],"paths":["/dmz904/vssd_middleware"]}'</v>
      </c>
      <c r="U22" t="str">
        <f t="shared" si="1"/>
        <v>curl -X POST http://172.16.149.80:8001/upstreams/ups-v904-vssd_middleware/targets -d 'target=172.16.149.102:31404'</v>
      </c>
      <c r="V22" t="str">
        <f t="shared" si="2"/>
        <v>curl -X POST http://172.16.149.80:8001/upstreams/ups-v904-vssd_middleware/targets -d 'target=172.16.149.103:31404'</v>
      </c>
      <c r="W22" t="str">
        <f t="shared" si="3"/>
        <v>curl -X POST http://172.16.149.80:8001/upstreams/ups-v904-vssd_middleware/targets -d 'target=172.16.149.104:31404'</v>
      </c>
      <c r="X22" t="str">
        <f t="shared" si="4"/>
        <v/>
      </c>
      <c r="Y22" t="str">
        <f t="shared" si="5"/>
        <v/>
      </c>
      <c r="Z22" t="str">
        <f t="shared" si="6"/>
        <v/>
      </c>
    </row>
    <row r="23" spans="1:26">
      <c r="A23">
        <f>IF(ISNUMBER(SEARCH("rest_api",svc!R22)),1,0)</f>
        <v>1</v>
      </c>
      <c r="C23" t="str">
        <f>svc!D22</f>
        <v>trust</v>
      </c>
      <c r="D23" t="str">
        <f>svc!$B22</f>
        <v>v510</v>
      </c>
      <c r="E23">
        <f>svc!G22</f>
        <v>31009</v>
      </c>
      <c r="F23" t="str">
        <f>CONCATENATE("ups-",svc!$B22,"-",svc!I22)</f>
        <v>ups-v510-accmgt_api</v>
      </c>
      <c r="G23" t="str">
        <f>CONCATENATE("svc-",svc!$B22,"-",svc!I22)</f>
        <v>svc-v510-accmgt_api</v>
      </c>
      <c r="H23" t="str">
        <f>CONCATENATE("route-",VLOOKUP($D23,kong_p1_var!$B$10:$D$16,2,FALSE),"-",svc!$B22,"-",svc!I22)</f>
        <v>route-v504-v510-accmgt_api</v>
      </c>
      <c r="I23" t="str">
        <f>CONCATENATE(VLOOKUP($D23,kong_p1_var!$B$20:$H$26,SUBSTITUTE(I$1,"target_","") + 1,FALSE),":",$E23)</f>
        <v>172.16.148.131:31009</v>
      </c>
      <c r="J23" t="str">
        <f>CONCATENATE(VLOOKUP($D23,kong_p1_var!$B$20:$H$26,SUBSTITUTE(J$1,"target_","") + 1,FALSE),":",$E23)</f>
        <v>172.16.148.132:31009</v>
      </c>
      <c r="K23" t="str">
        <f>CONCATENATE(VLOOKUP($D23,kong_p1_var!$B$20:$H$26,SUBSTITUTE(K$1,"target_","") + 1,FALSE),":",$E23)</f>
        <v>172.16.148.133:31009</v>
      </c>
      <c r="L23" t="str">
        <f>IF($C23="dmz","",CONCATENATE(VLOOKUP($D23,kong_p1_var!$B$20:$H$26,SUBSTITUTE(L$1,"target_","") + 1,FALSE),":",$E23))</f>
        <v>172.16.148.134:31009</v>
      </c>
      <c r="M23" t="str">
        <f>IF($C23="dmz","",CONCATENATE(VLOOKUP($D23,kong_p1_var!$B$20:$H$26,SUBSTITUTE(M$1,"target_","") + 1,FALSE),":",$E23))</f>
        <v>172.16.148.135:31009</v>
      </c>
      <c r="N23" t="str">
        <f>IF($C23="dmz","",CONCATENATE(VLOOKUP($D23,kong_p1_var!$B$20:$H$26,SUBSTITUTE(N$1,"target_","") + 1,FALSE),":",$E23))</f>
        <v>172.16.148.136:31009</v>
      </c>
      <c r="O23" t="str">
        <f>VLOOKUP($D23,kong_p1_var!$B$10:$D$16,3,FALSE)</f>
        <v>172.16.149.183</v>
      </c>
      <c r="P23" t="str">
        <f>CONCATENATE("/",C23,MID(D23,2,15),"/",svc!$I22)</f>
        <v>/trust510/accmgt_api</v>
      </c>
      <c r="Q23" t="str">
        <f>VLOOKUP(C23,kong_p1_var!$B$6:$C$7,2,FALSE)</f>
        <v>http://172.16.148.160:8001</v>
      </c>
      <c r="R23" t="str">
        <f>SUBSTITUTE(SUBSTITUTE(kong_p1_var!$J$1,"&lt;upstream_name&gt;",$F23),"&lt;kong_api_url&gt;",$Q23)</f>
        <v>curl -X PUT http://172.16.148.160:8001/upstreams/ups-v510-accmgt_api</v>
      </c>
      <c r="S23" t="str">
        <f>SUBSTITUTE(SUBSTITUTE(SUBSTITUTE(SUBSTITUTE(kong_p1_var!$J$2,"&lt;kong_api_url&gt;",$Q23),"&lt;upstream_name&gt;",$F23),"&lt;port&gt;",$E23),"&lt;service_name&gt;",$G23)</f>
        <v>curl -X PUT http://172.16.148.160:8001/services/svc-v510-accmgt_api -H "Content-Type: application/json" -d '{"protocol":"http","host":"ups-v510-accmgt_api","port":31009}'</v>
      </c>
      <c r="T23" t="str">
        <f>SUBSTITUTE(SUBSTITUTE(SUBSTITUTE(SUBSTITUTE(SUBSTITUTE(kong_p1_var!$J$3,"&lt;kong_api_url&gt;",$Q23),"&lt;route_name&gt;",$H23),"&lt;service_name&gt;",$G23),"&lt;host&gt;",$O23),"&lt;path&gt;",$P23)</f>
        <v>curl -X PUT http://172.16.148.160:8001/services/svc-v510-accmgt_api/routes/route-v504-v510-accmgt_api -H "Content-Type: application/json" -d '{"protocols":["http"],"hosts":["172.16.149.183"],"paths":["/trust510/accmgt_api"]}'</v>
      </c>
      <c r="U23" t="str">
        <f t="shared" si="1"/>
        <v>curl -X POST http://172.16.148.160:8001/upstreams/ups-v510-accmgt_api/targets -d 'target=172.16.148.131:31009'</v>
      </c>
      <c r="V23" t="str">
        <f t="shared" si="2"/>
        <v>curl -X POST http://172.16.148.160:8001/upstreams/ups-v510-accmgt_api/targets -d 'target=172.16.148.132:31009'</v>
      </c>
      <c r="W23" t="str">
        <f t="shared" si="3"/>
        <v>curl -X POST http://172.16.148.160:8001/upstreams/ups-v510-accmgt_api/targets -d 'target=172.16.148.133:31009'</v>
      </c>
      <c r="X23" t="str">
        <f t="shared" si="4"/>
        <v>curl -X POST http://172.16.148.160:8001/upstreams/ups-v510-accmgt_api/targets -d 'target=172.16.148.134:31009'</v>
      </c>
      <c r="Y23" t="str">
        <f t="shared" si="5"/>
        <v>curl -X POST http://172.16.148.160:8001/upstreams/ups-v510-accmgt_api/targets -d 'target=172.16.148.135:31009'</v>
      </c>
      <c r="Z23" t="str">
        <f t="shared" si="6"/>
        <v>curl -X POST http://172.16.148.160:8001/upstreams/ups-v510-accmgt_api/targets -d 'target=172.16.148.136:31009'</v>
      </c>
    </row>
    <row r="24" spans="1:26">
      <c r="A24">
        <f>IF(ISNUMBER(SEARCH("rest_api",svc!R23)),1,0)</f>
        <v>1</v>
      </c>
      <c r="C24" t="str">
        <f>svc!D23</f>
        <v>trust</v>
      </c>
      <c r="D24" t="str">
        <f>svc!$B23</f>
        <v>v510</v>
      </c>
      <c r="E24">
        <f>svc!G23</f>
        <v>31000</v>
      </c>
      <c r="F24" t="str">
        <f>CONCATENATE("ups-",svc!$B23,"-",svc!I23)</f>
        <v>ups-v510-auth_api</v>
      </c>
      <c r="G24" t="str">
        <f>CONCATENATE("svc-",svc!$B23,"-",svc!I23)</f>
        <v>svc-v510-auth_api</v>
      </c>
      <c r="H24" t="str">
        <f>CONCATENATE("route-",VLOOKUP($D24,kong_p1_var!$B$10:$D$16,2,FALSE),"-",svc!$B23,"-",svc!I23)</f>
        <v>route-v504-v510-auth_api</v>
      </c>
      <c r="I24" t="str">
        <f>CONCATENATE(VLOOKUP($D24,kong_p1_var!$B$20:$H$26,SUBSTITUTE(I$1,"target_","") + 1,FALSE),":",$E24)</f>
        <v>172.16.148.131:31000</v>
      </c>
      <c r="J24" t="str">
        <f>CONCATENATE(VLOOKUP($D24,kong_p1_var!$B$20:$H$26,SUBSTITUTE(J$1,"target_","") + 1,FALSE),":",$E24)</f>
        <v>172.16.148.132:31000</v>
      </c>
      <c r="K24" t="str">
        <f>CONCATENATE(VLOOKUP($D24,kong_p1_var!$B$20:$H$26,SUBSTITUTE(K$1,"target_","") + 1,FALSE),":",$E24)</f>
        <v>172.16.148.133:31000</v>
      </c>
      <c r="L24" t="str">
        <f>IF($C24="dmz","",CONCATENATE(VLOOKUP($D24,kong_p1_var!$B$20:$H$26,SUBSTITUTE(L$1,"target_","") + 1,FALSE),":",$E24))</f>
        <v>172.16.148.134:31000</v>
      </c>
      <c r="M24" t="str">
        <f>IF($C24="dmz","",CONCATENATE(VLOOKUP($D24,kong_p1_var!$B$20:$H$26,SUBSTITUTE(M$1,"target_","") + 1,FALSE),":",$E24))</f>
        <v>172.16.148.135:31000</v>
      </c>
      <c r="N24" t="str">
        <f>IF($C24="dmz","",CONCATENATE(VLOOKUP($D24,kong_p1_var!$B$20:$H$26,SUBSTITUTE(N$1,"target_","") + 1,FALSE),":",$E24))</f>
        <v>172.16.148.136:31000</v>
      </c>
      <c r="O24" t="str">
        <f>VLOOKUP($D24,kong_p1_var!$B$10:$D$16,3,FALSE)</f>
        <v>172.16.149.183</v>
      </c>
      <c r="P24" t="str">
        <f>CONCATENATE("/",C24,MID(D24,2,15),"/",svc!$I23)</f>
        <v>/trust510/auth_api</v>
      </c>
      <c r="Q24" t="str">
        <f>VLOOKUP(C24,kong_p1_var!$B$6:$C$7,2,FALSE)</f>
        <v>http://172.16.148.160:8001</v>
      </c>
      <c r="R24" t="str">
        <f>SUBSTITUTE(SUBSTITUTE(kong_p1_var!$J$1,"&lt;upstream_name&gt;",$F24),"&lt;kong_api_url&gt;",$Q24)</f>
        <v>curl -X PUT http://172.16.148.160:8001/upstreams/ups-v510-auth_api</v>
      </c>
      <c r="S24" t="str">
        <f>SUBSTITUTE(SUBSTITUTE(SUBSTITUTE(SUBSTITUTE(kong_p1_var!$J$2,"&lt;kong_api_url&gt;",$Q24),"&lt;upstream_name&gt;",$F24),"&lt;port&gt;",$E24),"&lt;service_name&gt;",$G24)</f>
        <v>curl -X PUT http://172.16.148.160:8001/services/svc-v510-auth_api -H "Content-Type: application/json" -d '{"protocol":"http","host":"ups-v510-auth_api","port":31000}'</v>
      </c>
      <c r="T24" t="str">
        <f>SUBSTITUTE(SUBSTITUTE(SUBSTITUTE(SUBSTITUTE(SUBSTITUTE(kong_p1_var!$J$3,"&lt;kong_api_url&gt;",$Q24),"&lt;route_name&gt;",$H24),"&lt;service_name&gt;",$G24),"&lt;host&gt;",$O24),"&lt;path&gt;",$P24)</f>
        <v>curl -X PUT http://172.16.148.160:8001/services/svc-v510-auth_api/routes/route-v504-v510-auth_api -H "Content-Type: application/json" -d '{"protocols":["http"],"hosts":["172.16.149.183"],"paths":["/trust510/auth_api"]}'</v>
      </c>
      <c r="U24" t="str">
        <f t="shared" si="1"/>
        <v>curl -X POST http://172.16.148.160:8001/upstreams/ups-v510-auth_api/targets -d 'target=172.16.148.131:31000'</v>
      </c>
      <c r="V24" t="str">
        <f t="shared" si="2"/>
        <v>curl -X POST http://172.16.148.160:8001/upstreams/ups-v510-auth_api/targets -d 'target=172.16.148.132:31000'</v>
      </c>
      <c r="W24" t="str">
        <f t="shared" si="3"/>
        <v>curl -X POST http://172.16.148.160:8001/upstreams/ups-v510-auth_api/targets -d 'target=172.16.148.133:31000'</v>
      </c>
      <c r="X24" t="str">
        <f t="shared" si="4"/>
        <v>curl -X POST http://172.16.148.160:8001/upstreams/ups-v510-auth_api/targets -d 'target=172.16.148.134:31000'</v>
      </c>
      <c r="Y24" t="str">
        <f t="shared" si="5"/>
        <v>curl -X POST http://172.16.148.160:8001/upstreams/ups-v510-auth_api/targets -d 'target=172.16.148.135:31000'</v>
      </c>
      <c r="Z24" t="str">
        <f t="shared" si="6"/>
        <v>curl -X POST http://172.16.148.160:8001/upstreams/ups-v510-auth_api/targets -d 'target=172.16.148.136:31000'</v>
      </c>
    </row>
    <row r="25" spans="1:26">
      <c r="A25">
        <f>IF(ISNUMBER(SEARCH("rest_api",svc!R24)),1,0)</f>
        <v>1</v>
      </c>
      <c r="C25" t="str">
        <f>svc!D24</f>
        <v>trust</v>
      </c>
      <c r="D25" t="str">
        <f>svc!$B24</f>
        <v>v510</v>
      </c>
      <c r="E25">
        <f>svc!G24</f>
        <v>31201</v>
      </c>
      <c r="F25" t="str">
        <f>CONCATENATE("ups-",svc!$B24,"-",svc!I24)</f>
        <v>ups-v510-bes_acc_im001_fft_account_registration</v>
      </c>
      <c r="G25" t="str">
        <f>CONCATENATE("svc-",svc!$B24,"-",svc!I24)</f>
        <v>svc-v510-bes_acc_im001_fft_account_registration</v>
      </c>
      <c r="H25" t="str">
        <f>CONCATENATE("route-",VLOOKUP($D25,kong_p1_var!$B$10:$D$16,2,FALSE),"-",svc!$B24,"-",svc!I24)</f>
        <v>route-v504-v510-bes_acc_im001_fft_account_registration</v>
      </c>
      <c r="I25" t="str">
        <f>CONCATENATE(VLOOKUP($D25,kong_p1_var!$B$20:$H$26,SUBSTITUTE(I$1,"target_","") + 1,FALSE),":",$E25)</f>
        <v>172.16.148.131:31201</v>
      </c>
      <c r="J25" t="str">
        <f>CONCATENATE(VLOOKUP($D25,kong_p1_var!$B$20:$H$26,SUBSTITUTE(J$1,"target_","") + 1,FALSE),":",$E25)</f>
        <v>172.16.148.132:31201</v>
      </c>
      <c r="K25" t="str">
        <f>CONCATENATE(VLOOKUP($D25,kong_p1_var!$B$20:$H$26,SUBSTITUTE(K$1,"target_","") + 1,FALSE),":",$E25)</f>
        <v>172.16.148.133:31201</v>
      </c>
      <c r="L25" t="str">
        <f>IF($C25="dmz","",CONCATENATE(VLOOKUP($D25,kong_p1_var!$B$20:$H$26,SUBSTITUTE(L$1,"target_","") + 1,FALSE),":",$E25))</f>
        <v>172.16.148.134:31201</v>
      </c>
      <c r="M25" t="str">
        <f>IF($C25="dmz","",CONCATENATE(VLOOKUP($D25,kong_p1_var!$B$20:$H$26,SUBSTITUTE(M$1,"target_","") + 1,FALSE),":",$E25))</f>
        <v>172.16.148.135:31201</v>
      </c>
      <c r="N25" t="str">
        <f>IF($C25="dmz","",CONCATENATE(VLOOKUP($D25,kong_p1_var!$B$20:$H$26,SUBSTITUTE(N$1,"target_","") + 1,FALSE),":",$E25))</f>
        <v>172.16.148.136:31201</v>
      </c>
      <c r="O25" t="str">
        <f>VLOOKUP($D25,kong_p1_var!$B$10:$D$16,3,FALSE)</f>
        <v>172.16.149.183</v>
      </c>
      <c r="P25" t="str">
        <f>CONCATENATE("/",C25,MID(D25,2,15),"/",svc!$I24)</f>
        <v>/trust510/bes_acc_im001_fft_account_registration</v>
      </c>
      <c r="Q25" t="str">
        <f>VLOOKUP(C25,kong_p1_var!$B$6:$C$7,2,FALSE)</f>
        <v>http://172.16.148.160:8001</v>
      </c>
      <c r="R25" t="str">
        <f>SUBSTITUTE(SUBSTITUTE(kong_p1_var!$J$1,"&lt;upstream_name&gt;",$F25),"&lt;kong_api_url&gt;",$Q25)</f>
        <v>curl -X PUT http://172.16.148.160:8001/upstreams/ups-v510-bes_acc_im001_fft_account_registration</v>
      </c>
      <c r="S25" t="str">
        <f>SUBSTITUTE(SUBSTITUTE(SUBSTITUTE(SUBSTITUTE(kong_p1_var!$J$2,"&lt;kong_api_url&gt;",$Q25),"&lt;upstream_name&gt;",$F25),"&lt;port&gt;",$E25),"&lt;service_name&gt;",$G25)</f>
        <v>curl -X PUT http://172.16.148.160:8001/services/svc-v510-bes_acc_im001_fft_account_registration -H "Content-Type: application/json" -d '{"protocol":"http","host":"ups-v510-bes_acc_im001_fft_account_registration","port":31201}'</v>
      </c>
      <c r="T25" t="str">
        <f>SUBSTITUTE(SUBSTITUTE(SUBSTITUTE(SUBSTITUTE(SUBSTITUTE(kong_p1_var!$J$3,"&lt;kong_api_url&gt;",$Q25),"&lt;route_name&gt;",$H25),"&lt;service_name&gt;",$G25),"&lt;host&gt;",$O25),"&lt;path&gt;",$P25)</f>
        <v>curl -X PUT http://172.16.148.160:8001/services/svc-v510-bes_acc_im001_fft_account_registration/routes/route-v504-v510-bes_acc_im001_fft_account_registration -H "Content-Type: application/json" -d '{"protocols":["http"],"hosts":["172.16.149.183"],"paths":["/trust510/bes_acc_im001_fft_account_registration"]}'</v>
      </c>
      <c r="U25" t="str">
        <f t="shared" si="1"/>
        <v>curl -X POST http://172.16.148.160:8001/upstreams/ups-v510-bes_acc_im001_fft_account_registration/targets -d 'target=172.16.148.131:31201'</v>
      </c>
      <c r="V25" t="str">
        <f t="shared" si="2"/>
        <v>curl -X POST http://172.16.148.160:8001/upstreams/ups-v510-bes_acc_im001_fft_account_registration/targets -d 'target=172.16.148.132:31201'</v>
      </c>
      <c r="W25" t="str">
        <f t="shared" si="3"/>
        <v>curl -X POST http://172.16.148.160:8001/upstreams/ups-v510-bes_acc_im001_fft_account_registration/targets -d 'target=172.16.148.133:31201'</v>
      </c>
      <c r="X25" t="str">
        <f t="shared" si="4"/>
        <v>curl -X POST http://172.16.148.160:8001/upstreams/ups-v510-bes_acc_im001_fft_account_registration/targets -d 'target=172.16.148.134:31201'</v>
      </c>
      <c r="Y25" t="str">
        <f t="shared" si="5"/>
        <v>curl -X POST http://172.16.148.160:8001/upstreams/ups-v510-bes_acc_im001_fft_account_registration/targets -d 'target=172.16.148.135:31201'</v>
      </c>
      <c r="Z25" t="str">
        <f t="shared" si="6"/>
        <v>curl -X POST http://172.16.148.160:8001/upstreams/ups-v510-bes_acc_im001_fft_account_registration/targets -d 'target=172.16.148.136:31201'</v>
      </c>
    </row>
    <row r="26" spans="1:26">
      <c r="A26">
        <f>IF(ISNUMBER(SEARCH("rest_api",svc!R25)),1,0)</f>
        <v>1</v>
      </c>
      <c r="C26" t="str">
        <f>svc!D25</f>
        <v>trust</v>
      </c>
      <c r="D26" t="str">
        <f>svc!$B25</f>
        <v>v810</v>
      </c>
      <c r="E26">
        <f>svc!G25</f>
        <v>31201</v>
      </c>
      <c r="F26" t="str">
        <f>CONCATENATE("ups-",svc!$B25,"-",svc!I25)</f>
        <v>ups-v810-bes_acc_im001_fft_account_registration</v>
      </c>
      <c r="G26" t="str">
        <f>CONCATENATE("svc-",svc!$B25,"-",svc!I25)</f>
        <v>svc-v810-bes_acc_im001_fft_account_registration</v>
      </c>
      <c r="H26" t="str">
        <f>CONCATENATE("route-",VLOOKUP($D26,kong_p1_var!$B$10:$D$16,2,FALSE),"-",svc!$B25,"-",svc!I25)</f>
        <v>route-v804-v810-bes_acc_im001_fft_account_registration</v>
      </c>
      <c r="I26" t="str">
        <f>CONCATENATE(VLOOKUP($D26,kong_p1_var!$B$20:$H$26,SUBSTITUTE(I$1,"target_","") + 1,FALSE),":",$E26)</f>
        <v>172.16.148.195:31201</v>
      </c>
      <c r="J26" t="str">
        <f>CONCATENATE(VLOOKUP($D26,kong_p1_var!$B$20:$H$26,SUBSTITUTE(J$1,"target_","") + 1,FALSE),":",$E26)</f>
        <v>172.16.148.196:31201</v>
      </c>
      <c r="K26" t="str">
        <f>CONCATENATE(VLOOKUP($D26,kong_p1_var!$B$20:$H$26,SUBSTITUTE(K$1,"target_","") + 1,FALSE),":",$E26)</f>
        <v>172.16.148.197:31201</v>
      </c>
      <c r="L26" t="str">
        <f>IF($C26="dmz","",CONCATENATE(VLOOKUP($D26,kong_p1_var!$B$20:$H$26,SUBSTITUTE(L$1,"target_","") + 1,FALSE),":",$E26))</f>
        <v>172.16.148.198:31201</v>
      </c>
      <c r="M26" t="str">
        <f>IF($C26="dmz","",CONCATENATE(VLOOKUP($D26,kong_p1_var!$B$20:$H$26,SUBSTITUTE(M$1,"target_","") + 1,FALSE),":",$E26))</f>
        <v>172.16.148.199:31201</v>
      </c>
      <c r="N26" t="str">
        <f>IF($C26="dmz","",CONCATENATE(VLOOKUP($D26,kong_p1_var!$B$20:$H$26,SUBSTITUTE(N$1,"target_","") + 1,FALSE),":",$E26))</f>
        <v>172.16.148.200:31201</v>
      </c>
      <c r="O26" t="str">
        <f>VLOOKUP($D26,kong_p1_var!$B$10:$D$16,3,FALSE)</f>
        <v>172.16.149.151</v>
      </c>
      <c r="P26" t="str">
        <f>CONCATENATE("/",C26,MID(D26,2,15),"/",svc!$I25)</f>
        <v>/trust810/bes_acc_im001_fft_account_registration</v>
      </c>
      <c r="Q26" t="str">
        <f>VLOOKUP(C26,kong_p1_var!$B$6:$C$7,2,FALSE)</f>
        <v>http://172.16.148.160:8001</v>
      </c>
      <c r="R26" t="str">
        <f>SUBSTITUTE(SUBSTITUTE(kong_p1_var!$J$1,"&lt;upstream_name&gt;",$F26),"&lt;kong_api_url&gt;",$Q26)</f>
        <v>curl -X PUT http://172.16.148.160:8001/upstreams/ups-v810-bes_acc_im001_fft_account_registration</v>
      </c>
      <c r="S26" t="str">
        <f>SUBSTITUTE(SUBSTITUTE(SUBSTITUTE(SUBSTITUTE(kong_p1_var!$J$2,"&lt;kong_api_url&gt;",$Q26),"&lt;upstream_name&gt;",$F26),"&lt;port&gt;",$E26),"&lt;service_name&gt;",$G26)</f>
        <v>curl -X PUT http://172.16.148.160:8001/services/svc-v810-bes_acc_im001_fft_account_registration -H "Content-Type: application/json" -d '{"protocol":"http","host":"ups-v810-bes_acc_im001_fft_account_registration","port":31201}'</v>
      </c>
      <c r="T26" t="str">
        <f>SUBSTITUTE(SUBSTITUTE(SUBSTITUTE(SUBSTITUTE(SUBSTITUTE(kong_p1_var!$J$3,"&lt;kong_api_url&gt;",$Q26),"&lt;route_name&gt;",$H26),"&lt;service_name&gt;",$G26),"&lt;host&gt;",$O26),"&lt;path&gt;",$P26)</f>
        <v>curl -X PUT http://172.16.148.160:8001/services/svc-v810-bes_acc_im001_fft_account_registration/routes/route-v804-v810-bes_acc_im001_fft_account_registration -H "Content-Type: application/json" -d '{"protocols":["http"],"hosts":["172.16.149.151"],"paths":["/trust810/bes_acc_im001_fft_account_registration"]}'</v>
      </c>
      <c r="U26" t="str">
        <f t="shared" si="1"/>
        <v>curl -X POST http://172.16.148.160:8001/upstreams/ups-v810-bes_acc_im001_fft_account_registration/targets -d 'target=172.16.148.195:31201'</v>
      </c>
      <c r="V26" t="str">
        <f t="shared" si="2"/>
        <v>curl -X POST http://172.16.148.160:8001/upstreams/ups-v810-bes_acc_im001_fft_account_registration/targets -d 'target=172.16.148.196:31201'</v>
      </c>
      <c r="W26" t="str">
        <f t="shared" si="3"/>
        <v>curl -X POST http://172.16.148.160:8001/upstreams/ups-v810-bes_acc_im001_fft_account_registration/targets -d 'target=172.16.148.197:31201'</v>
      </c>
      <c r="X26" t="str">
        <f t="shared" si="4"/>
        <v>curl -X POST http://172.16.148.160:8001/upstreams/ups-v810-bes_acc_im001_fft_account_registration/targets -d 'target=172.16.148.198:31201'</v>
      </c>
      <c r="Y26" t="str">
        <f t="shared" si="5"/>
        <v>curl -X POST http://172.16.148.160:8001/upstreams/ups-v810-bes_acc_im001_fft_account_registration/targets -d 'target=172.16.148.199:31201'</v>
      </c>
      <c r="Z26" t="str">
        <f t="shared" si="6"/>
        <v>curl -X POST http://172.16.148.160:8001/upstreams/ups-v810-bes_acc_im001_fft_account_registration/targets -d 'target=172.16.148.200:31201'</v>
      </c>
    </row>
    <row r="27" spans="1:26">
      <c r="A27">
        <f>IF(ISNUMBER(SEARCH("rest_api",svc!R26)),1,0)</f>
        <v>1</v>
      </c>
      <c r="C27" t="str">
        <f>svc!D26</f>
        <v>trust</v>
      </c>
      <c r="D27" t="str">
        <f>svc!$B26</f>
        <v>v510</v>
      </c>
      <c r="E27">
        <f>svc!G26</f>
        <v>31202</v>
      </c>
      <c r="F27" t="str">
        <f>CONCATENATE("ups-",svc!$B26,"-",svc!I26)</f>
        <v>ups-v510-bes_acc_im002_fft_vehicle_management</v>
      </c>
      <c r="G27" t="str">
        <f>CONCATENATE("svc-",svc!$B26,"-",svc!I26)</f>
        <v>svc-v510-bes_acc_im002_fft_vehicle_management</v>
      </c>
      <c r="H27" t="str">
        <f>CONCATENATE("route-",VLOOKUP($D27,kong_p1_var!$B$10:$D$16,2,FALSE),"-",svc!$B26,"-",svc!I26)</f>
        <v>route-v504-v510-bes_acc_im002_fft_vehicle_management</v>
      </c>
      <c r="I27" t="str">
        <f>CONCATENATE(VLOOKUP($D27,kong_p1_var!$B$20:$H$26,SUBSTITUTE(I$1,"target_","") + 1,FALSE),":",$E27)</f>
        <v>172.16.148.131:31202</v>
      </c>
      <c r="J27" t="str">
        <f>CONCATENATE(VLOOKUP($D27,kong_p1_var!$B$20:$H$26,SUBSTITUTE(J$1,"target_","") + 1,FALSE),":",$E27)</f>
        <v>172.16.148.132:31202</v>
      </c>
      <c r="K27" t="str">
        <f>CONCATENATE(VLOOKUP($D27,kong_p1_var!$B$20:$H$26,SUBSTITUTE(K$1,"target_","") + 1,FALSE),":",$E27)</f>
        <v>172.16.148.133:31202</v>
      </c>
      <c r="L27" t="str">
        <f>IF($C27="dmz","",CONCATENATE(VLOOKUP($D27,kong_p1_var!$B$20:$H$26,SUBSTITUTE(L$1,"target_","") + 1,FALSE),":",$E27))</f>
        <v>172.16.148.134:31202</v>
      </c>
      <c r="M27" t="str">
        <f>IF($C27="dmz","",CONCATENATE(VLOOKUP($D27,kong_p1_var!$B$20:$H$26,SUBSTITUTE(M$1,"target_","") + 1,FALSE),":",$E27))</f>
        <v>172.16.148.135:31202</v>
      </c>
      <c r="N27" t="str">
        <f>IF($C27="dmz","",CONCATENATE(VLOOKUP($D27,kong_p1_var!$B$20:$H$26,SUBSTITUTE(N$1,"target_","") + 1,FALSE),":",$E27))</f>
        <v>172.16.148.136:31202</v>
      </c>
      <c r="O27" t="str">
        <f>VLOOKUP($D27,kong_p1_var!$B$10:$D$16,3,FALSE)</f>
        <v>172.16.149.183</v>
      </c>
      <c r="P27" t="str">
        <f>CONCATENATE("/",C27,MID(D27,2,15),"/",svc!$I26)</f>
        <v>/trust510/bes_acc_im002_fft_vehicle_management</v>
      </c>
      <c r="Q27" t="str">
        <f>VLOOKUP(C27,kong_p1_var!$B$6:$C$7,2,FALSE)</f>
        <v>http://172.16.148.160:8001</v>
      </c>
      <c r="R27" t="str">
        <f>SUBSTITUTE(SUBSTITUTE(kong_p1_var!$J$1,"&lt;upstream_name&gt;",$F27),"&lt;kong_api_url&gt;",$Q27)</f>
        <v>curl -X PUT http://172.16.148.160:8001/upstreams/ups-v510-bes_acc_im002_fft_vehicle_management</v>
      </c>
      <c r="S27" t="str">
        <f>SUBSTITUTE(SUBSTITUTE(SUBSTITUTE(SUBSTITUTE(kong_p1_var!$J$2,"&lt;kong_api_url&gt;",$Q27),"&lt;upstream_name&gt;",$F27),"&lt;port&gt;",$E27),"&lt;service_name&gt;",$G27)</f>
        <v>curl -X PUT http://172.16.148.160:8001/services/svc-v510-bes_acc_im002_fft_vehicle_management -H "Content-Type: application/json" -d '{"protocol":"http","host":"ups-v510-bes_acc_im002_fft_vehicle_management","port":31202}'</v>
      </c>
      <c r="T27" t="str">
        <f>SUBSTITUTE(SUBSTITUTE(SUBSTITUTE(SUBSTITUTE(SUBSTITUTE(kong_p1_var!$J$3,"&lt;kong_api_url&gt;",$Q27),"&lt;route_name&gt;",$H27),"&lt;service_name&gt;",$G27),"&lt;host&gt;",$O27),"&lt;path&gt;",$P27)</f>
        <v>curl -X PUT http://172.16.148.160:8001/services/svc-v510-bes_acc_im002_fft_vehicle_management/routes/route-v504-v510-bes_acc_im002_fft_vehicle_management -H "Content-Type: application/json" -d '{"protocols":["http"],"hosts":["172.16.149.183"],"paths":["/trust510/bes_acc_im002_fft_vehicle_management"]}'</v>
      </c>
      <c r="U27" t="str">
        <f t="shared" si="1"/>
        <v>curl -X POST http://172.16.148.160:8001/upstreams/ups-v510-bes_acc_im002_fft_vehicle_management/targets -d 'target=172.16.148.131:31202'</v>
      </c>
      <c r="V27" t="str">
        <f t="shared" si="2"/>
        <v>curl -X POST http://172.16.148.160:8001/upstreams/ups-v510-bes_acc_im002_fft_vehicle_management/targets -d 'target=172.16.148.132:31202'</v>
      </c>
      <c r="W27" t="str">
        <f t="shared" si="3"/>
        <v>curl -X POST http://172.16.148.160:8001/upstreams/ups-v510-bes_acc_im002_fft_vehicle_management/targets -d 'target=172.16.148.133:31202'</v>
      </c>
      <c r="X27" t="str">
        <f t="shared" si="4"/>
        <v>curl -X POST http://172.16.148.160:8001/upstreams/ups-v510-bes_acc_im002_fft_vehicle_management/targets -d 'target=172.16.148.134:31202'</v>
      </c>
      <c r="Y27" t="str">
        <f t="shared" si="5"/>
        <v>curl -X POST http://172.16.148.160:8001/upstreams/ups-v510-bes_acc_im002_fft_vehicle_management/targets -d 'target=172.16.148.135:31202'</v>
      </c>
      <c r="Z27" t="str">
        <f t="shared" si="6"/>
        <v>curl -X POST http://172.16.148.160:8001/upstreams/ups-v510-bes_acc_im002_fft_vehicle_management/targets -d 'target=172.16.148.136:31202'</v>
      </c>
    </row>
    <row r="28" spans="1:26">
      <c r="A28">
        <f>IF(ISNUMBER(SEARCH("rest_api",svc!R27)),1,0)</f>
        <v>1</v>
      </c>
      <c r="C28" t="str">
        <f>svc!D27</f>
        <v>trust</v>
      </c>
      <c r="D28" t="str">
        <f>svc!$B27</f>
        <v>v810</v>
      </c>
      <c r="E28">
        <f>svc!G27</f>
        <v>31202</v>
      </c>
      <c r="F28" t="str">
        <f>CONCATENATE("ups-",svc!$B27,"-",svc!I27)</f>
        <v>ups-v810-bes_acc_im002_fft_vehicle_management</v>
      </c>
      <c r="G28" t="str">
        <f>CONCATENATE("svc-",svc!$B27,"-",svc!I27)</f>
        <v>svc-v810-bes_acc_im002_fft_vehicle_management</v>
      </c>
      <c r="H28" t="str">
        <f>CONCATENATE("route-",VLOOKUP($D28,kong_p1_var!$B$10:$D$16,2,FALSE),"-",svc!$B27,"-",svc!I27)</f>
        <v>route-v804-v810-bes_acc_im002_fft_vehicle_management</v>
      </c>
      <c r="I28" t="str">
        <f>CONCATENATE(VLOOKUP($D28,kong_p1_var!$B$20:$H$26,SUBSTITUTE(I$1,"target_","") + 1,FALSE),":",$E28)</f>
        <v>172.16.148.195:31202</v>
      </c>
      <c r="J28" t="str">
        <f>CONCATENATE(VLOOKUP($D28,kong_p1_var!$B$20:$H$26,SUBSTITUTE(J$1,"target_","") + 1,FALSE),":",$E28)</f>
        <v>172.16.148.196:31202</v>
      </c>
      <c r="K28" t="str">
        <f>CONCATENATE(VLOOKUP($D28,kong_p1_var!$B$20:$H$26,SUBSTITUTE(K$1,"target_","") + 1,FALSE),":",$E28)</f>
        <v>172.16.148.197:31202</v>
      </c>
      <c r="L28" t="str">
        <f>IF($C28="dmz","",CONCATENATE(VLOOKUP($D28,kong_p1_var!$B$20:$H$26,SUBSTITUTE(L$1,"target_","") + 1,FALSE),":",$E28))</f>
        <v>172.16.148.198:31202</v>
      </c>
      <c r="M28" t="str">
        <f>IF($C28="dmz","",CONCATENATE(VLOOKUP($D28,kong_p1_var!$B$20:$H$26,SUBSTITUTE(M$1,"target_","") + 1,FALSE),":",$E28))</f>
        <v>172.16.148.199:31202</v>
      </c>
      <c r="N28" t="str">
        <f>IF($C28="dmz","",CONCATENATE(VLOOKUP($D28,kong_p1_var!$B$20:$H$26,SUBSTITUTE(N$1,"target_","") + 1,FALSE),":",$E28))</f>
        <v>172.16.148.200:31202</v>
      </c>
      <c r="O28" t="str">
        <f>VLOOKUP($D28,kong_p1_var!$B$10:$D$16,3,FALSE)</f>
        <v>172.16.149.151</v>
      </c>
      <c r="P28" t="str">
        <f>CONCATENATE("/",C28,MID(D28,2,15),"/",svc!$I27)</f>
        <v>/trust810/bes_acc_im002_fft_vehicle_management</v>
      </c>
      <c r="Q28" t="str">
        <f>VLOOKUP(C28,kong_p1_var!$B$6:$C$7,2,FALSE)</f>
        <v>http://172.16.148.160:8001</v>
      </c>
      <c r="R28" t="str">
        <f>SUBSTITUTE(SUBSTITUTE(kong_p1_var!$J$1,"&lt;upstream_name&gt;",$F28),"&lt;kong_api_url&gt;",$Q28)</f>
        <v>curl -X PUT http://172.16.148.160:8001/upstreams/ups-v810-bes_acc_im002_fft_vehicle_management</v>
      </c>
      <c r="S28" t="str">
        <f>SUBSTITUTE(SUBSTITUTE(SUBSTITUTE(SUBSTITUTE(kong_p1_var!$J$2,"&lt;kong_api_url&gt;",$Q28),"&lt;upstream_name&gt;",$F28),"&lt;port&gt;",$E28),"&lt;service_name&gt;",$G28)</f>
        <v>curl -X PUT http://172.16.148.160:8001/services/svc-v810-bes_acc_im002_fft_vehicle_management -H "Content-Type: application/json" -d '{"protocol":"http","host":"ups-v810-bes_acc_im002_fft_vehicle_management","port":31202}'</v>
      </c>
      <c r="T28" t="str">
        <f>SUBSTITUTE(SUBSTITUTE(SUBSTITUTE(SUBSTITUTE(SUBSTITUTE(kong_p1_var!$J$3,"&lt;kong_api_url&gt;",$Q28),"&lt;route_name&gt;",$H28),"&lt;service_name&gt;",$G28),"&lt;host&gt;",$O28),"&lt;path&gt;",$P28)</f>
        <v>curl -X PUT http://172.16.148.160:8001/services/svc-v810-bes_acc_im002_fft_vehicle_management/routes/route-v804-v810-bes_acc_im002_fft_vehicle_management -H "Content-Type: application/json" -d '{"protocols":["http"],"hosts":["172.16.149.151"],"paths":["/trust810/bes_acc_im002_fft_vehicle_management"]}'</v>
      </c>
      <c r="U28" t="str">
        <f t="shared" si="1"/>
        <v>curl -X POST http://172.16.148.160:8001/upstreams/ups-v810-bes_acc_im002_fft_vehicle_management/targets -d 'target=172.16.148.195:31202'</v>
      </c>
      <c r="V28" t="str">
        <f t="shared" si="2"/>
        <v>curl -X POST http://172.16.148.160:8001/upstreams/ups-v810-bes_acc_im002_fft_vehicle_management/targets -d 'target=172.16.148.196:31202'</v>
      </c>
      <c r="W28" t="str">
        <f t="shared" si="3"/>
        <v>curl -X POST http://172.16.148.160:8001/upstreams/ups-v810-bes_acc_im002_fft_vehicle_management/targets -d 'target=172.16.148.197:31202'</v>
      </c>
      <c r="X28" t="str">
        <f t="shared" si="4"/>
        <v>curl -X POST http://172.16.148.160:8001/upstreams/ups-v810-bes_acc_im002_fft_vehicle_management/targets -d 'target=172.16.148.198:31202'</v>
      </c>
      <c r="Y28" t="str">
        <f t="shared" si="5"/>
        <v>curl -X POST http://172.16.148.160:8001/upstreams/ups-v810-bes_acc_im002_fft_vehicle_management/targets -d 'target=172.16.148.199:31202'</v>
      </c>
      <c r="Z28" t="str">
        <f t="shared" si="6"/>
        <v>curl -X POST http://172.16.148.160:8001/upstreams/ups-v810-bes_acc_im002_fft_vehicle_management/targets -d 'target=172.16.148.200:31202'</v>
      </c>
    </row>
    <row r="29" spans="1:26">
      <c r="A29">
        <f>IF(ISNUMBER(SEARCH("rest_api",svc!R28)),1,0)</f>
        <v>1</v>
      </c>
      <c r="C29" t="str">
        <f>svc!D28</f>
        <v>trust</v>
      </c>
      <c r="D29" t="str">
        <f>svc!$B28</f>
        <v>v510</v>
      </c>
      <c r="E29">
        <f>svc!G28</f>
        <v>31203</v>
      </c>
      <c r="F29" t="str">
        <f>CONCATENATE("ups-",svc!$B28,"-",svc!I28)</f>
        <v>ups-v510-bes_acc_im003_fft_vehicle_group_management</v>
      </c>
      <c r="G29" t="str">
        <f>CONCATENATE("svc-",svc!$B28,"-",svc!I28)</f>
        <v>svc-v510-bes_acc_im003_fft_vehicle_group_management</v>
      </c>
      <c r="H29" t="str">
        <f>CONCATENATE("route-",VLOOKUP($D29,kong_p1_var!$B$10:$D$16,2,FALSE),"-",svc!$B28,"-",svc!I28)</f>
        <v>route-v504-v510-bes_acc_im003_fft_vehicle_group_management</v>
      </c>
      <c r="I29" t="str">
        <f>CONCATENATE(VLOOKUP($D29,kong_p1_var!$B$20:$H$26,SUBSTITUTE(I$1,"target_","") + 1,FALSE),":",$E29)</f>
        <v>172.16.148.131:31203</v>
      </c>
      <c r="J29" t="str">
        <f>CONCATENATE(VLOOKUP($D29,kong_p1_var!$B$20:$H$26,SUBSTITUTE(J$1,"target_","") + 1,FALSE),":",$E29)</f>
        <v>172.16.148.132:31203</v>
      </c>
      <c r="K29" t="str">
        <f>CONCATENATE(VLOOKUP($D29,kong_p1_var!$B$20:$H$26,SUBSTITUTE(K$1,"target_","") + 1,FALSE),":",$E29)</f>
        <v>172.16.148.133:31203</v>
      </c>
      <c r="L29" t="str">
        <f>IF($C29="dmz","",CONCATENATE(VLOOKUP($D29,kong_p1_var!$B$20:$H$26,SUBSTITUTE(L$1,"target_","") + 1,FALSE),":",$E29))</f>
        <v>172.16.148.134:31203</v>
      </c>
      <c r="M29" t="str">
        <f>IF($C29="dmz","",CONCATENATE(VLOOKUP($D29,kong_p1_var!$B$20:$H$26,SUBSTITUTE(M$1,"target_","") + 1,FALSE),":",$E29))</f>
        <v>172.16.148.135:31203</v>
      </c>
      <c r="N29" t="str">
        <f>IF($C29="dmz","",CONCATENATE(VLOOKUP($D29,kong_p1_var!$B$20:$H$26,SUBSTITUTE(N$1,"target_","") + 1,FALSE),":",$E29))</f>
        <v>172.16.148.136:31203</v>
      </c>
      <c r="O29" t="str">
        <f>VLOOKUP($D29,kong_p1_var!$B$10:$D$16,3,FALSE)</f>
        <v>172.16.149.183</v>
      </c>
      <c r="P29" t="str">
        <f>CONCATENATE("/",C29,MID(D29,2,15),"/",svc!$I28)</f>
        <v>/trust510/bes_acc_im003_fft_vehicle_group_management</v>
      </c>
      <c r="Q29" t="str">
        <f>VLOOKUP(C29,kong_p1_var!$B$6:$C$7,2,FALSE)</f>
        <v>http://172.16.148.160:8001</v>
      </c>
      <c r="R29" t="str">
        <f>SUBSTITUTE(SUBSTITUTE(kong_p1_var!$J$1,"&lt;upstream_name&gt;",$F29),"&lt;kong_api_url&gt;",$Q29)</f>
        <v>curl -X PUT http://172.16.148.160:8001/upstreams/ups-v510-bes_acc_im003_fft_vehicle_group_management</v>
      </c>
      <c r="S29" t="str">
        <f>SUBSTITUTE(SUBSTITUTE(SUBSTITUTE(SUBSTITUTE(kong_p1_var!$J$2,"&lt;kong_api_url&gt;",$Q29),"&lt;upstream_name&gt;",$F29),"&lt;port&gt;",$E29),"&lt;service_name&gt;",$G29)</f>
        <v>curl -X PUT http://172.16.148.160:8001/services/svc-v510-bes_acc_im003_fft_vehicle_group_management -H "Content-Type: application/json" -d '{"protocol":"http","host":"ups-v510-bes_acc_im003_fft_vehicle_group_management","port":31203}'</v>
      </c>
      <c r="T29" t="str">
        <f>SUBSTITUTE(SUBSTITUTE(SUBSTITUTE(SUBSTITUTE(SUBSTITUTE(kong_p1_var!$J$3,"&lt;kong_api_url&gt;",$Q29),"&lt;route_name&gt;",$H29),"&lt;service_name&gt;",$G29),"&lt;host&gt;",$O29),"&lt;path&gt;",$P29)</f>
        <v>curl -X PUT http://172.16.148.160:8001/services/svc-v510-bes_acc_im003_fft_vehicle_group_management/routes/route-v504-v510-bes_acc_im003_fft_vehicle_group_management -H "Content-Type: application/json" -d '{"protocols":["http"],"hosts":["172.16.149.183"],"paths":["/trust510/bes_acc_im003_fft_vehicle_group_management"]}'</v>
      </c>
      <c r="U29" t="str">
        <f t="shared" si="1"/>
        <v>curl -X POST http://172.16.148.160:8001/upstreams/ups-v510-bes_acc_im003_fft_vehicle_group_management/targets -d 'target=172.16.148.131:31203'</v>
      </c>
      <c r="V29" t="str">
        <f t="shared" si="2"/>
        <v>curl -X POST http://172.16.148.160:8001/upstreams/ups-v510-bes_acc_im003_fft_vehicle_group_management/targets -d 'target=172.16.148.132:31203'</v>
      </c>
      <c r="W29" t="str">
        <f t="shared" si="3"/>
        <v>curl -X POST http://172.16.148.160:8001/upstreams/ups-v510-bes_acc_im003_fft_vehicle_group_management/targets -d 'target=172.16.148.133:31203'</v>
      </c>
      <c r="X29" t="str">
        <f t="shared" si="4"/>
        <v>curl -X POST http://172.16.148.160:8001/upstreams/ups-v510-bes_acc_im003_fft_vehicle_group_management/targets -d 'target=172.16.148.134:31203'</v>
      </c>
      <c r="Y29" t="str">
        <f t="shared" si="5"/>
        <v>curl -X POST http://172.16.148.160:8001/upstreams/ups-v510-bes_acc_im003_fft_vehicle_group_management/targets -d 'target=172.16.148.135:31203'</v>
      </c>
      <c r="Z29" t="str">
        <f t="shared" si="6"/>
        <v>curl -X POST http://172.16.148.160:8001/upstreams/ups-v510-bes_acc_im003_fft_vehicle_group_management/targets -d 'target=172.16.148.136:31203'</v>
      </c>
    </row>
    <row r="30" spans="1:26">
      <c r="A30">
        <f>IF(ISNUMBER(SEARCH("rest_api",svc!R29)),1,0)</f>
        <v>1</v>
      </c>
      <c r="C30" t="str">
        <f>svc!D29</f>
        <v>trust</v>
      </c>
      <c r="D30" t="str">
        <f>svc!$B29</f>
        <v>v810</v>
      </c>
      <c r="E30">
        <f>svc!G29</f>
        <v>31203</v>
      </c>
      <c r="F30" t="str">
        <f>CONCATENATE("ups-",svc!$B29,"-",svc!I29)</f>
        <v>ups-v810-bes_acc_im003_fft_vehicle_group_management</v>
      </c>
      <c r="G30" t="str">
        <f>CONCATENATE("svc-",svc!$B29,"-",svc!I29)</f>
        <v>svc-v810-bes_acc_im003_fft_vehicle_group_management</v>
      </c>
      <c r="H30" t="str">
        <f>CONCATENATE("route-",VLOOKUP($D30,kong_p1_var!$B$10:$D$16,2,FALSE),"-",svc!$B29,"-",svc!I29)</f>
        <v>route-v804-v810-bes_acc_im003_fft_vehicle_group_management</v>
      </c>
      <c r="I30" t="str">
        <f>CONCATENATE(VLOOKUP($D30,kong_p1_var!$B$20:$H$26,SUBSTITUTE(I$1,"target_","") + 1,FALSE),":",$E30)</f>
        <v>172.16.148.195:31203</v>
      </c>
      <c r="J30" t="str">
        <f>CONCATENATE(VLOOKUP($D30,kong_p1_var!$B$20:$H$26,SUBSTITUTE(J$1,"target_","") + 1,FALSE),":",$E30)</f>
        <v>172.16.148.196:31203</v>
      </c>
      <c r="K30" t="str">
        <f>CONCATENATE(VLOOKUP($D30,kong_p1_var!$B$20:$H$26,SUBSTITUTE(K$1,"target_","") + 1,FALSE),":",$E30)</f>
        <v>172.16.148.197:31203</v>
      </c>
      <c r="L30" t="str">
        <f>IF($C30="dmz","",CONCATENATE(VLOOKUP($D30,kong_p1_var!$B$20:$H$26,SUBSTITUTE(L$1,"target_","") + 1,FALSE),":",$E30))</f>
        <v>172.16.148.198:31203</v>
      </c>
      <c r="M30" t="str">
        <f>IF($C30="dmz","",CONCATENATE(VLOOKUP($D30,kong_p1_var!$B$20:$H$26,SUBSTITUTE(M$1,"target_","") + 1,FALSE),":",$E30))</f>
        <v>172.16.148.199:31203</v>
      </c>
      <c r="N30" t="str">
        <f>IF($C30="dmz","",CONCATENATE(VLOOKUP($D30,kong_p1_var!$B$20:$H$26,SUBSTITUTE(N$1,"target_","") + 1,FALSE),":",$E30))</f>
        <v>172.16.148.200:31203</v>
      </c>
      <c r="O30" t="str">
        <f>VLOOKUP($D30,kong_p1_var!$B$10:$D$16,3,FALSE)</f>
        <v>172.16.149.151</v>
      </c>
      <c r="P30" t="str">
        <f>CONCATENATE("/",C30,MID(D30,2,15),"/",svc!$I29)</f>
        <v>/trust810/bes_acc_im003_fft_vehicle_group_management</v>
      </c>
      <c r="Q30" t="str">
        <f>VLOOKUP(C30,kong_p1_var!$B$6:$C$7,2,FALSE)</f>
        <v>http://172.16.148.160:8001</v>
      </c>
      <c r="R30" t="str">
        <f>SUBSTITUTE(SUBSTITUTE(kong_p1_var!$J$1,"&lt;upstream_name&gt;",$F30),"&lt;kong_api_url&gt;",$Q30)</f>
        <v>curl -X PUT http://172.16.148.160:8001/upstreams/ups-v810-bes_acc_im003_fft_vehicle_group_management</v>
      </c>
      <c r="S30" t="str">
        <f>SUBSTITUTE(SUBSTITUTE(SUBSTITUTE(SUBSTITUTE(kong_p1_var!$J$2,"&lt;kong_api_url&gt;",$Q30),"&lt;upstream_name&gt;",$F30),"&lt;port&gt;",$E30),"&lt;service_name&gt;",$G30)</f>
        <v>curl -X PUT http://172.16.148.160:8001/services/svc-v810-bes_acc_im003_fft_vehicle_group_management -H "Content-Type: application/json" -d '{"protocol":"http","host":"ups-v810-bes_acc_im003_fft_vehicle_group_management","port":31203}'</v>
      </c>
      <c r="T30" t="str">
        <f>SUBSTITUTE(SUBSTITUTE(SUBSTITUTE(SUBSTITUTE(SUBSTITUTE(kong_p1_var!$J$3,"&lt;kong_api_url&gt;",$Q30),"&lt;route_name&gt;",$H30),"&lt;service_name&gt;",$G30),"&lt;host&gt;",$O30),"&lt;path&gt;",$P30)</f>
        <v>curl -X PUT http://172.16.148.160:8001/services/svc-v810-bes_acc_im003_fft_vehicle_group_management/routes/route-v804-v810-bes_acc_im003_fft_vehicle_group_management -H "Content-Type: application/json" -d '{"protocols":["http"],"hosts":["172.16.149.151"],"paths":["/trust810/bes_acc_im003_fft_vehicle_group_management"]}'</v>
      </c>
      <c r="U30" t="str">
        <f t="shared" si="1"/>
        <v>curl -X POST http://172.16.148.160:8001/upstreams/ups-v810-bes_acc_im003_fft_vehicle_group_management/targets -d 'target=172.16.148.195:31203'</v>
      </c>
      <c r="V30" t="str">
        <f t="shared" si="2"/>
        <v>curl -X POST http://172.16.148.160:8001/upstreams/ups-v810-bes_acc_im003_fft_vehicle_group_management/targets -d 'target=172.16.148.196:31203'</v>
      </c>
      <c r="W30" t="str">
        <f t="shared" si="3"/>
        <v>curl -X POST http://172.16.148.160:8001/upstreams/ups-v810-bes_acc_im003_fft_vehicle_group_management/targets -d 'target=172.16.148.197:31203'</v>
      </c>
      <c r="X30" t="str">
        <f t="shared" si="4"/>
        <v>curl -X POST http://172.16.148.160:8001/upstreams/ups-v810-bes_acc_im003_fft_vehicle_group_management/targets -d 'target=172.16.148.198:31203'</v>
      </c>
      <c r="Y30" t="str">
        <f t="shared" si="5"/>
        <v>curl -X POST http://172.16.148.160:8001/upstreams/ups-v810-bes_acc_im003_fft_vehicle_group_management/targets -d 'target=172.16.148.199:31203'</v>
      </c>
      <c r="Z30" t="str">
        <f t="shared" si="6"/>
        <v>curl -X POST http://172.16.148.160:8001/upstreams/ups-v810-bes_acc_im003_fft_vehicle_group_management/targets -d 'target=172.16.148.200:31203'</v>
      </c>
    </row>
    <row r="31" spans="1:26">
      <c r="A31">
        <f>IF(ISNUMBER(SEARCH("rest_api",svc!R30)),1,0)</f>
        <v>1</v>
      </c>
      <c r="C31" t="str">
        <f>svc!D30</f>
        <v>trust</v>
      </c>
      <c r="D31" t="str">
        <f>svc!$B30</f>
        <v>v510</v>
      </c>
      <c r="E31">
        <f>svc!G30</f>
        <v>31204</v>
      </c>
      <c r="F31" t="str">
        <f>CONCATENATE("ups-",svc!$B30,"-",svc!I30)</f>
        <v>ups-v510-bes_acc_im004_fft_account_search</v>
      </c>
      <c r="G31" t="str">
        <f>CONCATENATE("svc-",svc!$B30,"-",svc!I30)</f>
        <v>svc-v510-bes_acc_im004_fft_account_search</v>
      </c>
      <c r="H31" t="str">
        <f>CONCATENATE("route-",VLOOKUP($D31,kong_p1_var!$B$10:$D$16,2,FALSE),"-",svc!$B30,"-",svc!I30)</f>
        <v>route-v504-v510-bes_acc_im004_fft_account_search</v>
      </c>
      <c r="I31" t="str">
        <f>CONCATENATE(VLOOKUP($D31,kong_p1_var!$B$20:$H$26,SUBSTITUTE(I$1,"target_","") + 1,FALSE),":",$E31)</f>
        <v>172.16.148.131:31204</v>
      </c>
      <c r="J31" t="str">
        <f>CONCATENATE(VLOOKUP($D31,kong_p1_var!$B$20:$H$26,SUBSTITUTE(J$1,"target_","") + 1,FALSE),":",$E31)</f>
        <v>172.16.148.132:31204</v>
      </c>
      <c r="K31" t="str">
        <f>CONCATENATE(VLOOKUP($D31,kong_p1_var!$B$20:$H$26,SUBSTITUTE(K$1,"target_","") + 1,FALSE),":",$E31)</f>
        <v>172.16.148.133:31204</v>
      </c>
      <c r="L31" t="str">
        <f>IF($C31="dmz","",CONCATENATE(VLOOKUP($D31,kong_p1_var!$B$20:$H$26,SUBSTITUTE(L$1,"target_","") + 1,FALSE),":",$E31))</f>
        <v>172.16.148.134:31204</v>
      </c>
      <c r="M31" t="str">
        <f>IF($C31="dmz","",CONCATENATE(VLOOKUP($D31,kong_p1_var!$B$20:$H$26,SUBSTITUTE(M$1,"target_","") + 1,FALSE),":",$E31))</f>
        <v>172.16.148.135:31204</v>
      </c>
      <c r="N31" t="str">
        <f>IF($C31="dmz","",CONCATENATE(VLOOKUP($D31,kong_p1_var!$B$20:$H$26,SUBSTITUTE(N$1,"target_","") + 1,FALSE),":",$E31))</f>
        <v>172.16.148.136:31204</v>
      </c>
      <c r="O31" t="str">
        <f>VLOOKUP($D31,kong_p1_var!$B$10:$D$16,3,FALSE)</f>
        <v>172.16.149.183</v>
      </c>
      <c r="P31" t="str">
        <f>CONCATENATE("/",C31,MID(D31,2,15),"/",svc!$I30)</f>
        <v>/trust510/bes_acc_im004_fft_account_search</v>
      </c>
      <c r="Q31" t="str">
        <f>VLOOKUP(C31,kong_p1_var!$B$6:$C$7,2,FALSE)</f>
        <v>http://172.16.148.160:8001</v>
      </c>
      <c r="R31" t="str">
        <f>SUBSTITUTE(SUBSTITUTE(kong_p1_var!$J$1,"&lt;upstream_name&gt;",$F31),"&lt;kong_api_url&gt;",$Q31)</f>
        <v>curl -X PUT http://172.16.148.160:8001/upstreams/ups-v510-bes_acc_im004_fft_account_search</v>
      </c>
      <c r="S31" t="str">
        <f>SUBSTITUTE(SUBSTITUTE(SUBSTITUTE(SUBSTITUTE(kong_p1_var!$J$2,"&lt;kong_api_url&gt;",$Q31),"&lt;upstream_name&gt;",$F31),"&lt;port&gt;",$E31),"&lt;service_name&gt;",$G31)</f>
        <v>curl -X PUT http://172.16.148.160:8001/services/svc-v510-bes_acc_im004_fft_account_search -H "Content-Type: application/json" -d '{"protocol":"http","host":"ups-v510-bes_acc_im004_fft_account_search","port":31204}'</v>
      </c>
      <c r="T31" t="str">
        <f>SUBSTITUTE(SUBSTITUTE(SUBSTITUTE(SUBSTITUTE(SUBSTITUTE(kong_p1_var!$J$3,"&lt;kong_api_url&gt;",$Q31),"&lt;route_name&gt;",$H31),"&lt;service_name&gt;",$G31),"&lt;host&gt;",$O31),"&lt;path&gt;",$P31)</f>
        <v>curl -X PUT http://172.16.148.160:8001/services/svc-v510-bes_acc_im004_fft_account_search/routes/route-v504-v510-bes_acc_im004_fft_account_search -H "Content-Type: application/json" -d '{"protocols":["http"],"hosts":["172.16.149.183"],"paths":["/trust510/bes_acc_im004_fft_account_search"]}'</v>
      </c>
      <c r="U31" t="str">
        <f t="shared" si="1"/>
        <v>curl -X POST http://172.16.148.160:8001/upstreams/ups-v510-bes_acc_im004_fft_account_search/targets -d 'target=172.16.148.131:31204'</v>
      </c>
      <c r="V31" t="str">
        <f t="shared" si="2"/>
        <v>curl -X POST http://172.16.148.160:8001/upstreams/ups-v510-bes_acc_im004_fft_account_search/targets -d 'target=172.16.148.132:31204'</v>
      </c>
      <c r="W31" t="str">
        <f t="shared" si="3"/>
        <v>curl -X POST http://172.16.148.160:8001/upstreams/ups-v510-bes_acc_im004_fft_account_search/targets -d 'target=172.16.148.133:31204'</v>
      </c>
      <c r="X31" t="str">
        <f t="shared" si="4"/>
        <v>curl -X POST http://172.16.148.160:8001/upstreams/ups-v510-bes_acc_im004_fft_account_search/targets -d 'target=172.16.148.134:31204'</v>
      </c>
      <c r="Y31" t="str">
        <f t="shared" si="5"/>
        <v>curl -X POST http://172.16.148.160:8001/upstreams/ups-v510-bes_acc_im004_fft_account_search/targets -d 'target=172.16.148.135:31204'</v>
      </c>
      <c r="Z31" t="str">
        <f t="shared" si="6"/>
        <v>curl -X POST http://172.16.148.160:8001/upstreams/ups-v510-bes_acc_im004_fft_account_search/targets -d 'target=172.16.148.136:31204'</v>
      </c>
    </row>
    <row r="32" spans="1:26">
      <c r="A32">
        <f>IF(ISNUMBER(SEARCH("rest_api",svc!R31)),1,0)</f>
        <v>1</v>
      </c>
      <c r="C32" t="str">
        <f>svc!D31</f>
        <v>trust</v>
      </c>
      <c r="D32" t="str">
        <f>svc!$B31</f>
        <v>v810</v>
      </c>
      <c r="E32">
        <f>svc!G31</f>
        <v>31204</v>
      </c>
      <c r="F32" t="str">
        <f>CONCATENATE("ups-",svc!$B31,"-",svc!I31)</f>
        <v>ups-v810-bes_acc_im004_fft_account_search</v>
      </c>
      <c r="G32" t="str">
        <f>CONCATENATE("svc-",svc!$B31,"-",svc!I31)</f>
        <v>svc-v810-bes_acc_im004_fft_account_search</v>
      </c>
      <c r="H32" t="str">
        <f>CONCATENATE("route-",VLOOKUP($D32,kong_p1_var!$B$10:$D$16,2,FALSE),"-",svc!$B31,"-",svc!I31)</f>
        <v>route-v804-v810-bes_acc_im004_fft_account_search</v>
      </c>
      <c r="I32" t="str">
        <f>CONCATENATE(VLOOKUP($D32,kong_p1_var!$B$20:$H$26,SUBSTITUTE(I$1,"target_","") + 1,FALSE),":",$E32)</f>
        <v>172.16.148.195:31204</v>
      </c>
      <c r="J32" t="str">
        <f>CONCATENATE(VLOOKUP($D32,kong_p1_var!$B$20:$H$26,SUBSTITUTE(J$1,"target_","") + 1,FALSE),":",$E32)</f>
        <v>172.16.148.196:31204</v>
      </c>
      <c r="K32" t="str">
        <f>CONCATENATE(VLOOKUP($D32,kong_p1_var!$B$20:$H$26,SUBSTITUTE(K$1,"target_","") + 1,FALSE),":",$E32)</f>
        <v>172.16.148.197:31204</v>
      </c>
      <c r="L32" t="str">
        <f>IF($C32="dmz","",CONCATENATE(VLOOKUP($D32,kong_p1_var!$B$20:$H$26,SUBSTITUTE(L$1,"target_","") + 1,FALSE),":",$E32))</f>
        <v>172.16.148.198:31204</v>
      </c>
      <c r="M32" t="str">
        <f>IF($C32="dmz","",CONCATENATE(VLOOKUP($D32,kong_p1_var!$B$20:$H$26,SUBSTITUTE(M$1,"target_","") + 1,FALSE),":",$E32))</f>
        <v>172.16.148.199:31204</v>
      </c>
      <c r="N32" t="str">
        <f>IF($C32="dmz","",CONCATENATE(VLOOKUP($D32,kong_p1_var!$B$20:$H$26,SUBSTITUTE(N$1,"target_","") + 1,FALSE),":",$E32))</f>
        <v>172.16.148.200:31204</v>
      </c>
      <c r="O32" t="str">
        <f>VLOOKUP($D32,kong_p1_var!$B$10:$D$16,3,FALSE)</f>
        <v>172.16.149.151</v>
      </c>
      <c r="P32" t="str">
        <f>CONCATENATE("/",C32,MID(D32,2,15),"/",svc!$I31)</f>
        <v>/trust810/bes_acc_im004_fft_account_search</v>
      </c>
      <c r="Q32" t="str">
        <f>VLOOKUP(C32,kong_p1_var!$B$6:$C$7,2,FALSE)</f>
        <v>http://172.16.148.160:8001</v>
      </c>
      <c r="R32" t="str">
        <f>SUBSTITUTE(SUBSTITUTE(kong_p1_var!$J$1,"&lt;upstream_name&gt;",$F32),"&lt;kong_api_url&gt;",$Q32)</f>
        <v>curl -X PUT http://172.16.148.160:8001/upstreams/ups-v810-bes_acc_im004_fft_account_search</v>
      </c>
      <c r="S32" t="str">
        <f>SUBSTITUTE(SUBSTITUTE(SUBSTITUTE(SUBSTITUTE(kong_p1_var!$J$2,"&lt;kong_api_url&gt;",$Q32),"&lt;upstream_name&gt;",$F32),"&lt;port&gt;",$E32),"&lt;service_name&gt;",$G32)</f>
        <v>curl -X PUT http://172.16.148.160:8001/services/svc-v810-bes_acc_im004_fft_account_search -H "Content-Type: application/json" -d '{"protocol":"http","host":"ups-v810-bes_acc_im004_fft_account_search","port":31204}'</v>
      </c>
      <c r="T32" t="str">
        <f>SUBSTITUTE(SUBSTITUTE(SUBSTITUTE(SUBSTITUTE(SUBSTITUTE(kong_p1_var!$J$3,"&lt;kong_api_url&gt;",$Q32),"&lt;route_name&gt;",$H32),"&lt;service_name&gt;",$G32),"&lt;host&gt;",$O32),"&lt;path&gt;",$P32)</f>
        <v>curl -X PUT http://172.16.148.160:8001/services/svc-v810-bes_acc_im004_fft_account_search/routes/route-v804-v810-bes_acc_im004_fft_account_search -H "Content-Type: application/json" -d '{"protocols":["http"],"hosts":["172.16.149.151"],"paths":["/trust810/bes_acc_im004_fft_account_search"]}'</v>
      </c>
      <c r="U32" t="str">
        <f t="shared" si="1"/>
        <v>curl -X POST http://172.16.148.160:8001/upstreams/ups-v810-bes_acc_im004_fft_account_search/targets -d 'target=172.16.148.195:31204'</v>
      </c>
      <c r="V32" t="str">
        <f t="shared" si="2"/>
        <v>curl -X POST http://172.16.148.160:8001/upstreams/ups-v810-bes_acc_im004_fft_account_search/targets -d 'target=172.16.148.196:31204'</v>
      </c>
      <c r="W32" t="str">
        <f t="shared" si="3"/>
        <v>curl -X POST http://172.16.148.160:8001/upstreams/ups-v810-bes_acc_im004_fft_account_search/targets -d 'target=172.16.148.197:31204'</v>
      </c>
      <c r="X32" t="str">
        <f t="shared" si="4"/>
        <v>curl -X POST http://172.16.148.160:8001/upstreams/ups-v810-bes_acc_im004_fft_account_search/targets -d 'target=172.16.148.198:31204'</v>
      </c>
      <c r="Y32" t="str">
        <f t="shared" si="5"/>
        <v>curl -X POST http://172.16.148.160:8001/upstreams/ups-v810-bes_acc_im004_fft_account_search/targets -d 'target=172.16.148.199:31204'</v>
      </c>
      <c r="Z32" t="str">
        <f t="shared" si="6"/>
        <v>curl -X POST http://172.16.148.160:8001/upstreams/ups-v810-bes_acc_im004_fft_account_search/targets -d 'target=172.16.148.200:31204'</v>
      </c>
    </row>
    <row r="33" spans="1:26">
      <c r="A33">
        <f>IF(ISNUMBER(SEARCH("rest_api",svc!R32)),1,0)</f>
        <v>1</v>
      </c>
      <c r="C33" t="str">
        <f>svc!D32</f>
        <v>trust</v>
      </c>
      <c r="D33" t="str">
        <f>svc!$B32</f>
        <v>v510</v>
      </c>
      <c r="E33">
        <f>svc!G32</f>
        <v>31205</v>
      </c>
      <c r="F33" t="str">
        <f>CONCATENATE("ups-",svc!$B32,"-",svc!I32)</f>
        <v>ups-v510-bes_acc_im005_fft_driver_approval</v>
      </c>
      <c r="G33" t="str">
        <f>CONCATENATE("svc-",svc!$B32,"-",svc!I32)</f>
        <v>svc-v510-bes_acc_im005_fft_driver_approval</v>
      </c>
      <c r="H33" t="str">
        <f>CONCATENATE("route-",VLOOKUP($D33,kong_p1_var!$B$10:$D$16,2,FALSE),"-",svc!$B32,"-",svc!I32)</f>
        <v>route-v504-v510-bes_acc_im005_fft_driver_approval</v>
      </c>
      <c r="I33" t="str">
        <f>CONCATENATE(VLOOKUP($D33,kong_p1_var!$B$20:$H$26,SUBSTITUTE(I$1,"target_","") + 1,FALSE),":",$E33)</f>
        <v>172.16.148.131:31205</v>
      </c>
      <c r="J33" t="str">
        <f>CONCATENATE(VLOOKUP($D33,kong_p1_var!$B$20:$H$26,SUBSTITUTE(J$1,"target_","") + 1,FALSE),":",$E33)</f>
        <v>172.16.148.132:31205</v>
      </c>
      <c r="K33" t="str">
        <f>CONCATENATE(VLOOKUP($D33,kong_p1_var!$B$20:$H$26,SUBSTITUTE(K$1,"target_","") + 1,FALSE),":",$E33)</f>
        <v>172.16.148.133:31205</v>
      </c>
      <c r="L33" t="str">
        <f>IF($C33="dmz","",CONCATENATE(VLOOKUP($D33,kong_p1_var!$B$20:$H$26,SUBSTITUTE(L$1,"target_","") + 1,FALSE),":",$E33))</f>
        <v>172.16.148.134:31205</v>
      </c>
      <c r="M33" t="str">
        <f>IF($C33="dmz","",CONCATENATE(VLOOKUP($D33,kong_p1_var!$B$20:$H$26,SUBSTITUTE(M$1,"target_","") + 1,FALSE),":",$E33))</f>
        <v>172.16.148.135:31205</v>
      </c>
      <c r="N33" t="str">
        <f>IF($C33="dmz","",CONCATENATE(VLOOKUP($D33,kong_p1_var!$B$20:$H$26,SUBSTITUTE(N$1,"target_","") + 1,FALSE),":",$E33))</f>
        <v>172.16.148.136:31205</v>
      </c>
      <c r="O33" t="str">
        <f>VLOOKUP($D33,kong_p1_var!$B$10:$D$16,3,FALSE)</f>
        <v>172.16.149.183</v>
      </c>
      <c r="P33" t="str">
        <f>CONCATENATE("/",C33,MID(D33,2,15),"/",svc!$I32)</f>
        <v>/trust510/bes_acc_im005_fft_driver_approval</v>
      </c>
      <c r="Q33" t="str">
        <f>VLOOKUP(C33,kong_p1_var!$B$6:$C$7,2,FALSE)</f>
        <v>http://172.16.148.160:8001</v>
      </c>
      <c r="R33" t="str">
        <f>SUBSTITUTE(SUBSTITUTE(kong_p1_var!$J$1,"&lt;upstream_name&gt;",$F33),"&lt;kong_api_url&gt;",$Q33)</f>
        <v>curl -X PUT http://172.16.148.160:8001/upstreams/ups-v510-bes_acc_im005_fft_driver_approval</v>
      </c>
      <c r="S33" t="str">
        <f>SUBSTITUTE(SUBSTITUTE(SUBSTITUTE(SUBSTITUTE(kong_p1_var!$J$2,"&lt;kong_api_url&gt;",$Q33),"&lt;upstream_name&gt;",$F33),"&lt;port&gt;",$E33),"&lt;service_name&gt;",$G33)</f>
        <v>curl -X PUT http://172.16.148.160:8001/services/svc-v510-bes_acc_im005_fft_driver_approval -H "Content-Type: application/json" -d '{"protocol":"http","host":"ups-v510-bes_acc_im005_fft_driver_approval","port":31205}'</v>
      </c>
      <c r="T33" t="str">
        <f>SUBSTITUTE(SUBSTITUTE(SUBSTITUTE(SUBSTITUTE(SUBSTITUTE(kong_p1_var!$J$3,"&lt;kong_api_url&gt;",$Q33),"&lt;route_name&gt;",$H33),"&lt;service_name&gt;",$G33),"&lt;host&gt;",$O33),"&lt;path&gt;",$P33)</f>
        <v>curl -X PUT http://172.16.148.160:8001/services/svc-v510-bes_acc_im005_fft_driver_approval/routes/route-v504-v510-bes_acc_im005_fft_driver_approval -H "Content-Type: application/json" -d '{"protocols":["http"],"hosts":["172.16.149.183"],"paths":["/trust510/bes_acc_im005_fft_driver_approval"]}'</v>
      </c>
      <c r="U33" t="str">
        <f t="shared" si="1"/>
        <v>curl -X POST http://172.16.148.160:8001/upstreams/ups-v510-bes_acc_im005_fft_driver_approval/targets -d 'target=172.16.148.131:31205'</v>
      </c>
      <c r="V33" t="str">
        <f t="shared" si="2"/>
        <v>curl -X POST http://172.16.148.160:8001/upstreams/ups-v510-bes_acc_im005_fft_driver_approval/targets -d 'target=172.16.148.132:31205'</v>
      </c>
      <c r="W33" t="str">
        <f t="shared" si="3"/>
        <v>curl -X POST http://172.16.148.160:8001/upstreams/ups-v510-bes_acc_im005_fft_driver_approval/targets -d 'target=172.16.148.133:31205'</v>
      </c>
      <c r="X33" t="str">
        <f t="shared" si="4"/>
        <v>curl -X POST http://172.16.148.160:8001/upstreams/ups-v510-bes_acc_im005_fft_driver_approval/targets -d 'target=172.16.148.134:31205'</v>
      </c>
      <c r="Y33" t="str">
        <f t="shared" si="5"/>
        <v>curl -X POST http://172.16.148.160:8001/upstreams/ups-v510-bes_acc_im005_fft_driver_approval/targets -d 'target=172.16.148.135:31205'</v>
      </c>
      <c r="Z33" t="str">
        <f t="shared" si="6"/>
        <v>curl -X POST http://172.16.148.160:8001/upstreams/ups-v510-bes_acc_im005_fft_driver_approval/targets -d 'target=172.16.148.136:31205'</v>
      </c>
    </row>
    <row r="34" spans="1:26">
      <c r="A34">
        <f>IF(ISNUMBER(SEARCH("rest_api",svc!R33)),1,0)</f>
        <v>1</v>
      </c>
      <c r="C34" t="str">
        <f>svc!D33</f>
        <v>trust</v>
      </c>
      <c r="D34" t="str">
        <f>svc!$B33</f>
        <v>v810</v>
      </c>
      <c r="E34">
        <f>svc!G33</f>
        <v>31205</v>
      </c>
      <c r="F34" t="str">
        <f>CONCATENATE("ups-",svc!$B33,"-",svc!I33)</f>
        <v>ups-v810-bes_acc_im005_fft_driver_approval</v>
      </c>
      <c r="G34" t="str">
        <f>CONCATENATE("svc-",svc!$B33,"-",svc!I33)</f>
        <v>svc-v810-bes_acc_im005_fft_driver_approval</v>
      </c>
      <c r="H34" t="str">
        <f>CONCATENATE("route-",VLOOKUP($D34,kong_p1_var!$B$10:$D$16,2,FALSE),"-",svc!$B33,"-",svc!I33)</f>
        <v>route-v804-v810-bes_acc_im005_fft_driver_approval</v>
      </c>
      <c r="I34" t="str">
        <f>CONCATENATE(VLOOKUP($D34,kong_p1_var!$B$20:$H$26,SUBSTITUTE(I$1,"target_","") + 1,FALSE),":",$E34)</f>
        <v>172.16.148.195:31205</v>
      </c>
      <c r="J34" t="str">
        <f>CONCATENATE(VLOOKUP($D34,kong_p1_var!$B$20:$H$26,SUBSTITUTE(J$1,"target_","") + 1,FALSE),":",$E34)</f>
        <v>172.16.148.196:31205</v>
      </c>
      <c r="K34" t="str">
        <f>CONCATENATE(VLOOKUP($D34,kong_p1_var!$B$20:$H$26,SUBSTITUTE(K$1,"target_","") + 1,FALSE),":",$E34)</f>
        <v>172.16.148.197:31205</v>
      </c>
      <c r="L34" t="str">
        <f>IF($C34="dmz","",CONCATENATE(VLOOKUP($D34,kong_p1_var!$B$20:$H$26,SUBSTITUTE(L$1,"target_","") + 1,FALSE),":",$E34))</f>
        <v>172.16.148.198:31205</v>
      </c>
      <c r="M34" t="str">
        <f>IF($C34="dmz","",CONCATENATE(VLOOKUP($D34,kong_p1_var!$B$20:$H$26,SUBSTITUTE(M$1,"target_","") + 1,FALSE),":",$E34))</f>
        <v>172.16.148.199:31205</v>
      </c>
      <c r="N34" t="str">
        <f>IF($C34="dmz","",CONCATENATE(VLOOKUP($D34,kong_p1_var!$B$20:$H$26,SUBSTITUTE(N$1,"target_","") + 1,FALSE),":",$E34))</f>
        <v>172.16.148.200:31205</v>
      </c>
      <c r="O34" t="str">
        <f>VLOOKUP($D34,kong_p1_var!$B$10:$D$16,3,FALSE)</f>
        <v>172.16.149.151</v>
      </c>
      <c r="P34" t="str">
        <f>CONCATENATE("/",C34,MID(D34,2,15),"/",svc!$I33)</f>
        <v>/trust810/bes_acc_im005_fft_driver_approval</v>
      </c>
      <c r="Q34" t="str">
        <f>VLOOKUP(C34,kong_p1_var!$B$6:$C$7,2,FALSE)</f>
        <v>http://172.16.148.160:8001</v>
      </c>
      <c r="R34" t="str">
        <f>SUBSTITUTE(SUBSTITUTE(kong_p1_var!$J$1,"&lt;upstream_name&gt;",$F34),"&lt;kong_api_url&gt;",$Q34)</f>
        <v>curl -X PUT http://172.16.148.160:8001/upstreams/ups-v810-bes_acc_im005_fft_driver_approval</v>
      </c>
      <c r="S34" t="str">
        <f>SUBSTITUTE(SUBSTITUTE(SUBSTITUTE(SUBSTITUTE(kong_p1_var!$J$2,"&lt;kong_api_url&gt;",$Q34),"&lt;upstream_name&gt;",$F34),"&lt;port&gt;",$E34),"&lt;service_name&gt;",$G34)</f>
        <v>curl -X PUT http://172.16.148.160:8001/services/svc-v810-bes_acc_im005_fft_driver_approval -H "Content-Type: application/json" -d '{"protocol":"http","host":"ups-v810-bes_acc_im005_fft_driver_approval","port":31205}'</v>
      </c>
      <c r="T34" t="str">
        <f>SUBSTITUTE(SUBSTITUTE(SUBSTITUTE(SUBSTITUTE(SUBSTITUTE(kong_p1_var!$J$3,"&lt;kong_api_url&gt;",$Q34),"&lt;route_name&gt;",$H34),"&lt;service_name&gt;",$G34),"&lt;host&gt;",$O34),"&lt;path&gt;",$P34)</f>
        <v>curl -X PUT http://172.16.148.160:8001/services/svc-v810-bes_acc_im005_fft_driver_approval/routes/route-v804-v810-bes_acc_im005_fft_driver_approval -H "Content-Type: application/json" -d '{"protocols":["http"],"hosts":["172.16.149.151"],"paths":["/trust810/bes_acc_im005_fft_driver_approval"]}'</v>
      </c>
      <c r="U34" t="str">
        <f t="shared" si="1"/>
        <v>curl -X POST http://172.16.148.160:8001/upstreams/ups-v810-bes_acc_im005_fft_driver_approval/targets -d 'target=172.16.148.195:31205'</v>
      </c>
      <c r="V34" t="str">
        <f t="shared" si="2"/>
        <v>curl -X POST http://172.16.148.160:8001/upstreams/ups-v810-bes_acc_im005_fft_driver_approval/targets -d 'target=172.16.148.196:31205'</v>
      </c>
      <c r="W34" t="str">
        <f t="shared" si="3"/>
        <v>curl -X POST http://172.16.148.160:8001/upstreams/ups-v810-bes_acc_im005_fft_driver_approval/targets -d 'target=172.16.148.197:31205'</v>
      </c>
      <c r="X34" t="str">
        <f t="shared" si="4"/>
        <v>curl -X POST http://172.16.148.160:8001/upstreams/ups-v810-bes_acc_im005_fft_driver_approval/targets -d 'target=172.16.148.198:31205'</v>
      </c>
      <c r="Y34" t="str">
        <f t="shared" si="5"/>
        <v>curl -X POST http://172.16.148.160:8001/upstreams/ups-v810-bes_acc_im005_fft_driver_approval/targets -d 'target=172.16.148.199:31205'</v>
      </c>
      <c r="Z34" t="str">
        <f t="shared" si="6"/>
        <v>curl -X POST http://172.16.148.160:8001/upstreams/ups-v810-bes_acc_im005_fft_driver_approval/targets -d 'target=172.16.148.200:31205'</v>
      </c>
    </row>
    <row r="35" spans="1:26">
      <c r="A35">
        <f>IF(ISNUMBER(SEARCH("rest_api",svc!R34)),1,0)</f>
        <v>1</v>
      </c>
      <c r="C35" t="str">
        <f>svc!D34</f>
        <v>trust</v>
      </c>
      <c r="D35" t="str">
        <f>svc!$B34</f>
        <v>v510</v>
      </c>
      <c r="E35">
        <f>svc!G34</f>
        <v>31206</v>
      </c>
      <c r="F35" t="str">
        <f>CONCATENATE("ups-",svc!$B34,"-",svc!I34)</f>
        <v>ups-v510-bes_acc_im006_fft_account_management</v>
      </c>
      <c r="G35" t="str">
        <f>CONCATENATE("svc-",svc!$B34,"-",svc!I34)</f>
        <v>svc-v510-bes_acc_im006_fft_account_management</v>
      </c>
      <c r="H35" t="str">
        <f>CONCATENATE("route-",VLOOKUP($D35,kong_p1_var!$B$10:$D$16,2,FALSE),"-",svc!$B34,"-",svc!I34)</f>
        <v>route-v504-v510-bes_acc_im006_fft_account_management</v>
      </c>
      <c r="I35" t="str">
        <f>CONCATENATE(VLOOKUP($D35,kong_p1_var!$B$20:$H$26,SUBSTITUTE(I$1,"target_","") + 1,FALSE),":",$E35)</f>
        <v>172.16.148.131:31206</v>
      </c>
      <c r="J35" t="str">
        <f>CONCATENATE(VLOOKUP($D35,kong_p1_var!$B$20:$H$26,SUBSTITUTE(J$1,"target_","") + 1,FALSE),":",$E35)</f>
        <v>172.16.148.132:31206</v>
      </c>
      <c r="K35" t="str">
        <f>CONCATENATE(VLOOKUP($D35,kong_p1_var!$B$20:$H$26,SUBSTITUTE(K$1,"target_","") + 1,FALSE),":",$E35)</f>
        <v>172.16.148.133:31206</v>
      </c>
      <c r="L35" t="str">
        <f>IF($C35="dmz","",CONCATENATE(VLOOKUP($D35,kong_p1_var!$B$20:$H$26,SUBSTITUTE(L$1,"target_","") + 1,FALSE),":",$E35))</f>
        <v>172.16.148.134:31206</v>
      </c>
      <c r="M35" t="str">
        <f>IF($C35="dmz","",CONCATENATE(VLOOKUP($D35,kong_p1_var!$B$20:$H$26,SUBSTITUTE(M$1,"target_","") + 1,FALSE),":",$E35))</f>
        <v>172.16.148.135:31206</v>
      </c>
      <c r="N35" t="str">
        <f>IF($C35="dmz","",CONCATENATE(VLOOKUP($D35,kong_p1_var!$B$20:$H$26,SUBSTITUTE(N$1,"target_","") + 1,FALSE),":",$E35))</f>
        <v>172.16.148.136:31206</v>
      </c>
      <c r="O35" t="str">
        <f>VLOOKUP($D35,kong_p1_var!$B$10:$D$16,3,FALSE)</f>
        <v>172.16.149.183</v>
      </c>
      <c r="P35" t="str">
        <f>CONCATENATE("/",C35,MID(D35,2,15),"/",svc!$I34)</f>
        <v>/trust510/bes_acc_im006_fft_account_management</v>
      </c>
      <c r="Q35" t="str">
        <f>VLOOKUP(C35,kong_p1_var!$B$6:$C$7,2,FALSE)</f>
        <v>http://172.16.148.160:8001</v>
      </c>
      <c r="R35" t="str">
        <f>SUBSTITUTE(SUBSTITUTE(kong_p1_var!$J$1,"&lt;upstream_name&gt;",$F35),"&lt;kong_api_url&gt;",$Q35)</f>
        <v>curl -X PUT http://172.16.148.160:8001/upstreams/ups-v510-bes_acc_im006_fft_account_management</v>
      </c>
      <c r="S35" t="str">
        <f>SUBSTITUTE(SUBSTITUTE(SUBSTITUTE(SUBSTITUTE(kong_p1_var!$J$2,"&lt;kong_api_url&gt;",$Q35),"&lt;upstream_name&gt;",$F35),"&lt;port&gt;",$E35),"&lt;service_name&gt;",$G35)</f>
        <v>curl -X PUT http://172.16.148.160:8001/services/svc-v510-bes_acc_im006_fft_account_management -H "Content-Type: application/json" -d '{"protocol":"http","host":"ups-v510-bes_acc_im006_fft_account_management","port":31206}'</v>
      </c>
      <c r="T35" t="str">
        <f>SUBSTITUTE(SUBSTITUTE(SUBSTITUTE(SUBSTITUTE(SUBSTITUTE(kong_p1_var!$J$3,"&lt;kong_api_url&gt;",$Q35),"&lt;route_name&gt;",$H35),"&lt;service_name&gt;",$G35),"&lt;host&gt;",$O35),"&lt;path&gt;",$P35)</f>
        <v>curl -X PUT http://172.16.148.160:8001/services/svc-v510-bes_acc_im006_fft_account_management/routes/route-v504-v510-bes_acc_im006_fft_account_management -H "Content-Type: application/json" -d '{"protocols":["http"],"hosts":["172.16.149.183"],"paths":["/trust510/bes_acc_im006_fft_account_management"]}'</v>
      </c>
      <c r="U35" t="str">
        <f t="shared" si="1"/>
        <v>curl -X POST http://172.16.148.160:8001/upstreams/ups-v510-bes_acc_im006_fft_account_management/targets -d 'target=172.16.148.131:31206'</v>
      </c>
      <c r="V35" t="str">
        <f t="shared" si="2"/>
        <v>curl -X POST http://172.16.148.160:8001/upstreams/ups-v510-bes_acc_im006_fft_account_management/targets -d 'target=172.16.148.132:31206'</v>
      </c>
      <c r="W35" t="str">
        <f t="shared" si="3"/>
        <v>curl -X POST http://172.16.148.160:8001/upstreams/ups-v510-bes_acc_im006_fft_account_management/targets -d 'target=172.16.148.133:31206'</v>
      </c>
      <c r="X35" t="str">
        <f t="shared" si="4"/>
        <v>curl -X POST http://172.16.148.160:8001/upstreams/ups-v510-bes_acc_im006_fft_account_management/targets -d 'target=172.16.148.134:31206'</v>
      </c>
      <c r="Y35" t="str">
        <f t="shared" si="5"/>
        <v>curl -X POST http://172.16.148.160:8001/upstreams/ups-v510-bes_acc_im006_fft_account_management/targets -d 'target=172.16.148.135:31206'</v>
      </c>
      <c r="Z35" t="str">
        <f t="shared" si="6"/>
        <v>curl -X POST http://172.16.148.160:8001/upstreams/ups-v510-bes_acc_im006_fft_account_management/targets -d 'target=172.16.148.136:31206'</v>
      </c>
    </row>
    <row r="36" spans="1:26">
      <c r="A36">
        <f>IF(ISNUMBER(SEARCH("rest_api",svc!R35)),1,0)</f>
        <v>1</v>
      </c>
      <c r="C36" t="str">
        <f>svc!D35</f>
        <v>trust</v>
      </c>
      <c r="D36" t="str">
        <f>svc!$B35</f>
        <v>v810</v>
      </c>
      <c r="E36">
        <f>svc!G35</f>
        <v>31206</v>
      </c>
      <c r="F36" t="str">
        <f>CONCATENATE("ups-",svc!$B35,"-",svc!I35)</f>
        <v>ups-v810-bes_acc_im006_fft_account_management</v>
      </c>
      <c r="G36" t="str">
        <f>CONCATENATE("svc-",svc!$B35,"-",svc!I35)</f>
        <v>svc-v810-bes_acc_im006_fft_account_management</v>
      </c>
      <c r="H36" t="str">
        <f>CONCATENATE("route-",VLOOKUP($D36,kong_p1_var!$B$10:$D$16,2,FALSE),"-",svc!$B35,"-",svc!I35)</f>
        <v>route-v804-v810-bes_acc_im006_fft_account_management</v>
      </c>
      <c r="I36" t="str">
        <f>CONCATENATE(VLOOKUP($D36,kong_p1_var!$B$20:$H$26,SUBSTITUTE(I$1,"target_","") + 1,FALSE),":",$E36)</f>
        <v>172.16.148.195:31206</v>
      </c>
      <c r="J36" t="str">
        <f>CONCATENATE(VLOOKUP($D36,kong_p1_var!$B$20:$H$26,SUBSTITUTE(J$1,"target_","") + 1,FALSE),":",$E36)</f>
        <v>172.16.148.196:31206</v>
      </c>
      <c r="K36" t="str">
        <f>CONCATENATE(VLOOKUP($D36,kong_p1_var!$B$20:$H$26,SUBSTITUTE(K$1,"target_","") + 1,FALSE),":",$E36)</f>
        <v>172.16.148.197:31206</v>
      </c>
      <c r="L36" t="str">
        <f>IF($C36="dmz","",CONCATENATE(VLOOKUP($D36,kong_p1_var!$B$20:$H$26,SUBSTITUTE(L$1,"target_","") + 1,FALSE),":",$E36))</f>
        <v>172.16.148.198:31206</v>
      </c>
      <c r="M36" t="str">
        <f>IF($C36="dmz","",CONCATENATE(VLOOKUP($D36,kong_p1_var!$B$20:$H$26,SUBSTITUTE(M$1,"target_","") + 1,FALSE),":",$E36))</f>
        <v>172.16.148.199:31206</v>
      </c>
      <c r="N36" t="str">
        <f>IF($C36="dmz","",CONCATENATE(VLOOKUP($D36,kong_p1_var!$B$20:$H$26,SUBSTITUTE(N$1,"target_","") + 1,FALSE),":",$E36))</f>
        <v>172.16.148.200:31206</v>
      </c>
      <c r="O36" t="str">
        <f>VLOOKUP($D36,kong_p1_var!$B$10:$D$16,3,FALSE)</f>
        <v>172.16.149.151</v>
      </c>
      <c r="P36" t="str">
        <f>CONCATENATE("/",C36,MID(D36,2,15),"/",svc!$I35)</f>
        <v>/trust810/bes_acc_im006_fft_account_management</v>
      </c>
      <c r="Q36" t="str">
        <f>VLOOKUP(C36,kong_p1_var!$B$6:$C$7,2,FALSE)</f>
        <v>http://172.16.148.160:8001</v>
      </c>
      <c r="R36" t="str">
        <f>SUBSTITUTE(SUBSTITUTE(kong_p1_var!$J$1,"&lt;upstream_name&gt;",$F36),"&lt;kong_api_url&gt;",$Q36)</f>
        <v>curl -X PUT http://172.16.148.160:8001/upstreams/ups-v810-bes_acc_im006_fft_account_management</v>
      </c>
      <c r="S36" t="str">
        <f>SUBSTITUTE(SUBSTITUTE(SUBSTITUTE(SUBSTITUTE(kong_p1_var!$J$2,"&lt;kong_api_url&gt;",$Q36),"&lt;upstream_name&gt;",$F36),"&lt;port&gt;",$E36),"&lt;service_name&gt;",$G36)</f>
        <v>curl -X PUT http://172.16.148.160:8001/services/svc-v810-bes_acc_im006_fft_account_management -H "Content-Type: application/json" -d '{"protocol":"http","host":"ups-v810-bes_acc_im006_fft_account_management","port":31206}'</v>
      </c>
      <c r="T36" t="str">
        <f>SUBSTITUTE(SUBSTITUTE(SUBSTITUTE(SUBSTITUTE(SUBSTITUTE(kong_p1_var!$J$3,"&lt;kong_api_url&gt;",$Q36),"&lt;route_name&gt;",$H36),"&lt;service_name&gt;",$G36),"&lt;host&gt;",$O36),"&lt;path&gt;",$P36)</f>
        <v>curl -X PUT http://172.16.148.160:8001/services/svc-v810-bes_acc_im006_fft_account_management/routes/route-v804-v810-bes_acc_im006_fft_account_management -H "Content-Type: application/json" -d '{"protocols":["http"],"hosts":["172.16.149.151"],"paths":["/trust810/bes_acc_im006_fft_account_management"]}'</v>
      </c>
      <c r="U36" t="str">
        <f t="shared" si="1"/>
        <v>curl -X POST http://172.16.148.160:8001/upstreams/ups-v810-bes_acc_im006_fft_account_management/targets -d 'target=172.16.148.195:31206'</v>
      </c>
      <c r="V36" t="str">
        <f t="shared" si="2"/>
        <v>curl -X POST http://172.16.148.160:8001/upstreams/ups-v810-bes_acc_im006_fft_account_management/targets -d 'target=172.16.148.196:31206'</v>
      </c>
      <c r="W36" t="str">
        <f t="shared" si="3"/>
        <v>curl -X POST http://172.16.148.160:8001/upstreams/ups-v810-bes_acc_im006_fft_account_management/targets -d 'target=172.16.148.197:31206'</v>
      </c>
      <c r="X36" t="str">
        <f t="shared" si="4"/>
        <v>curl -X POST http://172.16.148.160:8001/upstreams/ups-v810-bes_acc_im006_fft_account_management/targets -d 'target=172.16.148.198:31206'</v>
      </c>
      <c r="Y36" t="str">
        <f t="shared" si="5"/>
        <v>curl -X POST http://172.16.148.160:8001/upstreams/ups-v810-bes_acc_im006_fft_account_management/targets -d 'target=172.16.148.199:31206'</v>
      </c>
      <c r="Z36" t="str">
        <f t="shared" si="6"/>
        <v>curl -X POST http://172.16.148.160:8001/upstreams/ups-v810-bes_acc_im006_fft_account_management/targets -d 'target=172.16.148.200:31206'</v>
      </c>
    </row>
    <row r="37" spans="1:26">
      <c r="A37">
        <f>IF(ISNUMBER(SEARCH("rest_api",svc!R36)),1,0)</f>
        <v>1</v>
      </c>
      <c r="C37" t="str">
        <f>svc!D36</f>
        <v>trust</v>
      </c>
      <c r="D37" t="str">
        <f>svc!$B36</f>
        <v>v510</v>
      </c>
      <c r="E37">
        <f>svc!G36</f>
        <v>31207</v>
      </c>
      <c r="F37" t="str">
        <f>CONCATENATE("ups-",svc!$B36,"-",svc!I36)</f>
        <v>ups-v510-bes_acc_im007_fft_vehicle_pairing</v>
      </c>
      <c r="G37" t="str">
        <f>CONCATENATE("svc-",svc!$B36,"-",svc!I36)</f>
        <v>svc-v510-bes_acc_im007_fft_vehicle_pairing</v>
      </c>
      <c r="H37" t="str">
        <f>CONCATENATE("route-",VLOOKUP($D37,kong_p1_var!$B$10:$D$16,2,FALSE),"-",svc!$B36,"-",svc!I36)</f>
        <v>route-v504-v510-bes_acc_im007_fft_vehicle_pairing</v>
      </c>
      <c r="I37" t="str">
        <f>CONCATENATE(VLOOKUP($D37,kong_p1_var!$B$20:$H$26,SUBSTITUTE(I$1,"target_","") + 1,FALSE),":",$E37)</f>
        <v>172.16.148.131:31207</v>
      </c>
      <c r="J37" t="str">
        <f>CONCATENATE(VLOOKUP($D37,kong_p1_var!$B$20:$H$26,SUBSTITUTE(J$1,"target_","") + 1,FALSE),":",$E37)</f>
        <v>172.16.148.132:31207</v>
      </c>
      <c r="K37" t="str">
        <f>CONCATENATE(VLOOKUP($D37,kong_p1_var!$B$20:$H$26,SUBSTITUTE(K$1,"target_","") + 1,FALSE),":",$E37)</f>
        <v>172.16.148.133:31207</v>
      </c>
      <c r="L37" t="str">
        <f>IF($C37="dmz","",CONCATENATE(VLOOKUP($D37,kong_p1_var!$B$20:$H$26,SUBSTITUTE(L$1,"target_","") + 1,FALSE),":",$E37))</f>
        <v>172.16.148.134:31207</v>
      </c>
      <c r="M37" t="str">
        <f>IF($C37="dmz","",CONCATENATE(VLOOKUP($D37,kong_p1_var!$B$20:$H$26,SUBSTITUTE(M$1,"target_","") + 1,FALSE),":",$E37))</f>
        <v>172.16.148.135:31207</v>
      </c>
      <c r="N37" t="str">
        <f>IF($C37="dmz","",CONCATENATE(VLOOKUP($D37,kong_p1_var!$B$20:$H$26,SUBSTITUTE(N$1,"target_","") + 1,FALSE),":",$E37))</f>
        <v>172.16.148.136:31207</v>
      </c>
      <c r="O37" t="str">
        <f>VLOOKUP($D37,kong_p1_var!$B$10:$D$16,3,FALSE)</f>
        <v>172.16.149.183</v>
      </c>
      <c r="P37" t="str">
        <f>CONCATENATE("/",C37,MID(D37,2,15),"/",svc!$I36)</f>
        <v>/trust510/bes_acc_im007_fft_vehicle_pairing</v>
      </c>
      <c r="Q37" t="str">
        <f>VLOOKUP(C37,kong_p1_var!$B$6:$C$7,2,FALSE)</f>
        <v>http://172.16.148.160:8001</v>
      </c>
      <c r="R37" t="str">
        <f>SUBSTITUTE(SUBSTITUTE(kong_p1_var!$J$1,"&lt;upstream_name&gt;",$F37),"&lt;kong_api_url&gt;",$Q37)</f>
        <v>curl -X PUT http://172.16.148.160:8001/upstreams/ups-v510-bes_acc_im007_fft_vehicle_pairing</v>
      </c>
      <c r="S37" t="str">
        <f>SUBSTITUTE(SUBSTITUTE(SUBSTITUTE(SUBSTITUTE(kong_p1_var!$J$2,"&lt;kong_api_url&gt;",$Q37),"&lt;upstream_name&gt;",$F37),"&lt;port&gt;",$E37),"&lt;service_name&gt;",$G37)</f>
        <v>curl -X PUT http://172.16.148.160:8001/services/svc-v510-bes_acc_im007_fft_vehicle_pairing -H "Content-Type: application/json" -d '{"protocol":"http","host":"ups-v510-bes_acc_im007_fft_vehicle_pairing","port":31207}'</v>
      </c>
      <c r="T37" t="str">
        <f>SUBSTITUTE(SUBSTITUTE(SUBSTITUTE(SUBSTITUTE(SUBSTITUTE(kong_p1_var!$J$3,"&lt;kong_api_url&gt;",$Q37),"&lt;route_name&gt;",$H37),"&lt;service_name&gt;",$G37),"&lt;host&gt;",$O37),"&lt;path&gt;",$P37)</f>
        <v>curl -X PUT http://172.16.148.160:8001/services/svc-v510-bes_acc_im007_fft_vehicle_pairing/routes/route-v504-v510-bes_acc_im007_fft_vehicle_pairing -H "Content-Type: application/json" -d '{"protocols":["http"],"hosts":["172.16.149.183"],"paths":["/trust510/bes_acc_im007_fft_vehicle_pairing"]}'</v>
      </c>
      <c r="U37" t="str">
        <f t="shared" si="1"/>
        <v>curl -X POST http://172.16.148.160:8001/upstreams/ups-v510-bes_acc_im007_fft_vehicle_pairing/targets -d 'target=172.16.148.131:31207'</v>
      </c>
      <c r="V37" t="str">
        <f t="shared" si="2"/>
        <v>curl -X POST http://172.16.148.160:8001/upstreams/ups-v510-bes_acc_im007_fft_vehicle_pairing/targets -d 'target=172.16.148.132:31207'</v>
      </c>
      <c r="W37" t="str">
        <f t="shared" si="3"/>
        <v>curl -X POST http://172.16.148.160:8001/upstreams/ups-v510-bes_acc_im007_fft_vehicle_pairing/targets -d 'target=172.16.148.133:31207'</v>
      </c>
      <c r="X37" t="str">
        <f t="shared" si="4"/>
        <v>curl -X POST http://172.16.148.160:8001/upstreams/ups-v510-bes_acc_im007_fft_vehicle_pairing/targets -d 'target=172.16.148.134:31207'</v>
      </c>
      <c r="Y37" t="str">
        <f t="shared" si="5"/>
        <v>curl -X POST http://172.16.148.160:8001/upstreams/ups-v510-bes_acc_im007_fft_vehicle_pairing/targets -d 'target=172.16.148.135:31207'</v>
      </c>
      <c r="Z37" t="str">
        <f t="shared" si="6"/>
        <v>curl -X POST http://172.16.148.160:8001/upstreams/ups-v510-bes_acc_im007_fft_vehicle_pairing/targets -d 'target=172.16.148.136:31207'</v>
      </c>
    </row>
    <row r="38" spans="1:26">
      <c r="A38">
        <f>IF(ISNUMBER(SEARCH("rest_api",svc!R37)),1,0)</f>
        <v>1</v>
      </c>
      <c r="C38" t="str">
        <f>svc!D37</f>
        <v>trust</v>
      </c>
      <c r="D38" t="str">
        <f>svc!$B37</f>
        <v>v810</v>
      </c>
      <c r="E38">
        <f>svc!G37</f>
        <v>31207</v>
      </c>
      <c r="F38" t="str">
        <f>CONCATENATE("ups-",svc!$B37,"-",svc!I37)</f>
        <v>ups-v810-bes_acc_im007_fft_vehicle_pairing</v>
      </c>
      <c r="G38" t="str">
        <f>CONCATENATE("svc-",svc!$B37,"-",svc!I37)</f>
        <v>svc-v810-bes_acc_im007_fft_vehicle_pairing</v>
      </c>
      <c r="H38" t="str">
        <f>CONCATENATE("route-",VLOOKUP($D38,kong_p1_var!$B$10:$D$16,2,FALSE),"-",svc!$B37,"-",svc!I37)</f>
        <v>route-v804-v810-bes_acc_im007_fft_vehicle_pairing</v>
      </c>
      <c r="I38" t="str">
        <f>CONCATENATE(VLOOKUP($D38,kong_p1_var!$B$20:$H$26,SUBSTITUTE(I$1,"target_","") + 1,FALSE),":",$E38)</f>
        <v>172.16.148.195:31207</v>
      </c>
      <c r="J38" t="str">
        <f>CONCATENATE(VLOOKUP($D38,kong_p1_var!$B$20:$H$26,SUBSTITUTE(J$1,"target_","") + 1,FALSE),":",$E38)</f>
        <v>172.16.148.196:31207</v>
      </c>
      <c r="K38" t="str">
        <f>CONCATENATE(VLOOKUP($D38,kong_p1_var!$B$20:$H$26,SUBSTITUTE(K$1,"target_","") + 1,FALSE),":",$E38)</f>
        <v>172.16.148.197:31207</v>
      </c>
      <c r="L38" t="str">
        <f>IF($C38="dmz","",CONCATENATE(VLOOKUP($D38,kong_p1_var!$B$20:$H$26,SUBSTITUTE(L$1,"target_","") + 1,FALSE),":",$E38))</f>
        <v>172.16.148.198:31207</v>
      </c>
      <c r="M38" t="str">
        <f>IF($C38="dmz","",CONCATENATE(VLOOKUP($D38,kong_p1_var!$B$20:$H$26,SUBSTITUTE(M$1,"target_","") + 1,FALSE),":",$E38))</f>
        <v>172.16.148.199:31207</v>
      </c>
      <c r="N38" t="str">
        <f>IF($C38="dmz","",CONCATENATE(VLOOKUP($D38,kong_p1_var!$B$20:$H$26,SUBSTITUTE(N$1,"target_","") + 1,FALSE),":",$E38))</f>
        <v>172.16.148.200:31207</v>
      </c>
      <c r="O38" t="str">
        <f>VLOOKUP($D38,kong_p1_var!$B$10:$D$16,3,FALSE)</f>
        <v>172.16.149.151</v>
      </c>
      <c r="P38" t="str">
        <f>CONCATENATE("/",C38,MID(D38,2,15),"/",svc!$I37)</f>
        <v>/trust810/bes_acc_im007_fft_vehicle_pairing</v>
      </c>
      <c r="Q38" t="str">
        <f>VLOOKUP(C38,kong_p1_var!$B$6:$C$7,2,FALSE)</f>
        <v>http://172.16.148.160:8001</v>
      </c>
      <c r="R38" t="str">
        <f>SUBSTITUTE(SUBSTITUTE(kong_p1_var!$J$1,"&lt;upstream_name&gt;",$F38),"&lt;kong_api_url&gt;",$Q38)</f>
        <v>curl -X PUT http://172.16.148.160:8001/upstreams/ups-v810-bes_acc_im007_fft_vehicle_pairing</v>
      </c>
      <c r="S38" t="str">
        <f>SUBSTITUTE(SUBSTITUTE(SUBSTITUTE(SUBSTITUTE(kong_p1_var!$J$2,"&lt;kong_api_url&gt;",$Q38),"&lt;upstream_name&gt;",$F38),"&lt;port&gt;",$E38),"&lt;service_name&gt;",$G38)</f>
        <v>curl -X PUT http://172.16.148.160:8001/services/svc-v810-bes_acc_im007_fft_vehicle_pairing -H "Content-Type: application/json" -d '{"protocol":"http","host":"ups-v810-bes_acc_im007_fft_vehicle_pairing","port":31207}'</v>
      </c>
      <c r="T38" t="str">
        <f>SUBSTITUTE(SUBSTITUTE(SUBSTITUTE(SUBSTITUTE(SUBSTITUTE(kong_p1_var!$J$3,"&lt;kong_api_url&gt;",$Q38),"&lt;route_name&gt;",$H38),"&lt;service_name&gt;",$G38),"&lt;host&gt;",$O38),"&lt;path&gt;",$P38)</f>
        <v>curl -X PUT http://172.16.148.160:8001/services/svc-v810-bes_acc_im007_fft_vehicle_pairing/routes/route-v804-v810-bes_acc_im007_fft_vehicle_pairing -H "Content-Type: application/json" -d '{"protocols":["http"],"hosts":["172.16.149.151"],"paths":["/trust810/bes_acc_im007_fft_vehicle_pairing"]}'</v>
      </c>
      <c r="U38" t="str">
        <f t="shared" si="1"/>
        <v>curl -X POST http://172.16.148.160:8001/upstreams/ups-v810-bes_acc_im007_fft_vehicle_pairing/targets -d 'target=172.16.148.195:31207'</v>
      </c>
      <c r="V38" t="str">
        <f t="shared" si="2"/>
        <v>curl -X POST http://172.16.148.160:8001/upstreams/ups-v810-bes_acc_im007_fft_vehicle_pairing/targets -d 'target=172.16.148.196:31207'</v>
      </c>
      <c r="W38" t="str">
        <f t="shared" si="3"/>
        <v>curl -X POST http://172.16.148.160:8001/upstreams/ups-v810-bes_acc_im007_fft_vehicle_pairing/targets -d 'target=172.16.148.197:31207'</v>
      </c>
      <c r="X38" t="str">
        <f t="shared" si="4"/>
        <v>curl -X POST http://172.16.148.160:8001/upstreams/ups-v810-bes_acc_im007_fft_vehicle_pairing/targets -d 'target=172.16.148.198:31207'</v>
      </c>
      <c r="Y38" t="str">
        <f t="shared" si="5"/>
        <v>curl -X POST http://172.16.148.160:8001/upstreams/ups-v810-bes_acc_im007_fft_vehicle_pairing/targets -d 'target=172.16.148.199:31207'</v>
      </c>
      <c r="Z38" t="str">
        <f t="shared" si="6"/>
        <v>curl -X POST http://172.16.148.160:8001/upstreams/ups-v810-bes_acc_im007_fft_vehicle_pairing/targets -d 'target=172.16.148.200:31207'</v>
      </c>
    </row>
    <row r="39" spans="1:26">
      <c r="A39">
        <f>IF(ISNUMBER(SEARCH("rest_api",svc!R38)),1,0)</f>
        <v>1</v>
      </c>
      <c r="C39" t="str">
        <f>svc!D38</f>
        <v>trust</v>
      </c>
      <c r="D39" t="str">
        <f>svc!$B38</f>
        <v>v510</v>
      </c>
      <c r="E39">
        <f>svc!G38</f>
        <v>31208</v>
      </c>
      <c r="F39" t="str">
        <f>CONCATENATE("ups-",svc!$B38,"-",svc!I38)</f>
        <v>ups-v510-bes_acc_im008_fft_tag_management</v>
      </c>
      <c r="G39" t="str">
        <f>CONCATENATE("svc-",svc!$B38,"-",svc!I38)</f>
        <v>svc-v510-bes_acc_im008_fft_tag_management</v>
      </c>
      <c r="H39" t="str">
        <f>CONCATENATE("route-",VLOOKUP($D39,kong_p1_var!$B$10:$D$16,2,FALSE),"-",svc!$B38,"-",svc!I38)</f>
        <v>route-v504-v510-bes_acc_im008_fft_tag_management</v>
      </c>
      <c r="I39" t="str">
        <f>CONCATENATE(VLOOKUP($D39,kong_p1_var!$B$20:$H$26,SUBSTITUTE(I$1,"target_","") + 1,FALSE),":",$E39)</f>
        <v>172.16.148.131:31208</v>
      </c>
      <c r="J39" t="str">
        <f>CONCATENATE(VLOOKUP($D39,kong_p1_var!$B$20:$H$26,SUBSTITUTE(J$1,"target_","") + 1,FALSE),":",$E39)</f>
        <v>172.16.148.132:31208</v>
      </c>
      <c r="K39" t="str">
        <f>CONCATENATE(VLOOKUP($D39,kong_p1_var!$B$20:$H$26,SUBSTITUTE(K$1,"target_","") + 1,FALSE),":",$E39)</f>
        <v>172.16.148.133:31208</v>
      </c>
      <c r="L39" t="str">
        <f>IF($C39="dmz","",CONCATENATE(VLOOKUP($D39,kong_p1_var!$B$20:$H$26,SUBSTITUTE(L$1,"target_","") + 1,FALSE),":",$E39))</f>
        <v>172.16.148.134:31208</v>
      </c>
      <c r="M39" t="str">
        <f>IF($C39="dmz","",CONCATENATE(VLOOKUP($D39,kong_p1_var!$B$20:$H$26,SUBSTITUTE(M$1,"target_","") + 1,FALSE),":",$E39))</f>
        <v>172.16.148.135:31208</v>
      </c>
      <c r="N39" t="str">
        <f>IF($C39="dmz","",CONCATENATE(VLOOKUP($D39,kong_p1_var!$B$20:$H$26,SUBSTITUTE(N$1,"target_","") + 1,FALSE),":",$E39))</f>
        <v>172.16.148.136:31208</v>
      </c>
      <c r="O39" t="str">
        <f>VLOOKUP($D39,kong_p1_var!$B$10:$D$16,3,FALSE)</f>
        <v>172.16.149.183</v>
      </c>
      <c r="P39" t="str">
        <f>CONCATENATE("/",C39,MID(D39,2,15),"/",svc!$I38)</f>
        <v>/trust510/bes_acc_im008_fft_tag_management</v>
      </c>
      <c r="Q39" t="str">
        <f>VLOOKUP(C39,kong_p1_var!$B$6:$C$7,2,FALSE)</f>
        <v>http://172.16.148.160:8001</v>
      </c>
      <c r="R39" t="str">
        <f>SUBSTITUTE(SUBSTITUTE(kong_p1_var!$J$1,"&lt;upstream_name&gt;",$F39),"&lt;kong_api_url&gt;",$Q39)</f>
        <v>curl -X PUT http://172.16.148.160:8001/upstreams/ups-v510-bes_acc_im008_fft_tag_management</v>
      </c>
      <c r="S39" t="str">
        <f>SUBSTITUTE(SUBSTITUTE(SUBSTITUTE(SUBSTITUTE(kong_p1_var!$J$2,"&lt;kong_api_url&gt;",$Q39),"&lt;upstream_name&gt;",$F39),"&lt;port&gt;",$E39),"&lt;service_name&gt;",$G39)</f>
        <v>curl -X PUT http://172.16.148.160:8001/services/svc-v510-bes_acc_im008_fft_tag_management -H "Content-Type: application/json" -d '{"protocol":"http","host":"ups-v510-bes_acc_im008_fft_tag_management","port":31208}'</v>
      </c>
      <c r="T39" t="str">
        <f>SUBSTITUTE(SUBSTITUTE(SUBSTITUTE(SUBSTITUTE(SUBSTITUTE(kong_p1_var!$J$3,"&lt;kong_api_url&gt;",$Q39),"&lt;route_name&gt;",$H39),"&lt;service_name&gt;",$G39),"&lt;host&gt;",$O39),"&lt;path&gt;",$P39)</f>
        <v>curl -X PUT http://172.16.148.160:8001/services/svc-v510-bes_acc_im008_fft_tag_management/routes/route-v504-v510-bes_acc_im008_fft_tag_management -H "Content-Type: application/json" -d '{"protocols":["http"],"hosts":["172.16.149.183"],"paths":["/trust510/bes_acc_im008_fft_tag_management"]}'</v>
      </c>
      <c r="U39" t="str">
        <f t="shared" si="1"/>
        <v>curl -X POST http://172.16.148.160:8001/upstreams/ups-v510-bes_acc_im008_fft_tag_management/targets -d 'target=172.16.148.131:31208'</v>
      </c>
      <c r="V39" t="str">
        <f t="shared" si="2"/>
        <v>curl -X POST http://172.16.148.160:8001/upstreams/ups-v510-bes_acc_im008_fft_tag_management/targets -d 'target=172.16.148.132:31208'</v>
      </c>
      <c r="W39" t="str">
        <f t="shared" si="3"/>
        <v>curl -X POST http://172.16.148.160:8001/upstreams/ups-v510-bes_acc_im008_fft_tag_management/targets -d 'target=172.16.148.133:31208'</v>
      </c>
      <c r="X39" t="str">
        <f t="shared" si="4"/>
        <v>curl -X POST http://172.16.148.160:8001/upstreams/ups-v510-bes_acc_im008_fft_tag_management/targets -d 'target=172.16.148.134:31208'</v>
      </c>
      <c r="Y39" t="str">
        <f t="shared" si="5"/>
        <v>curl -X POST http://172.16.148.160:8001/upstreams/ups-v510-bes_acc_im008_fft_tag_management/targets -d 'target=172.16.148.135:31208'</v>
      </c>
      <c r="Z39" t="str">
        <f t="shared" si="6"/>
        <v>curl -X POST http://172.16.148.160:8001/upstreams/ups-v510-bes_acc_im008_fft_tag_management/targets -d 'target=172.16.148.136:31208'</v>
      </c>
    </row>
    <row r="40" spans="1:26">
      <c r="A40">
        <f>IF(ISNUMBER(SEARCH("rest_api",svc!R39)),1,0)</f>
        <v>1</v>
      </c>
      <c r="C40" t="str">
        <f>svc!D39</f>
        <v>trust</v>
      </c>
      <c r="D40" t="str">
        <f>svc!$B39</f>
        <v>v810</v>
      </c>
      <c r="E40">
        <f>svc!G39</f>
        <v>31208</v>
      </c>
      <c r="F40" t="str">
        <f>CONCATENATE("ups-",svc!$B39,"-",svc!I39)</f>
        <v>ups-v810-bes_acc_im008_fft_tag_management</v>
      </c>
      <c r="G40" t="str">
        <f>CONCATENATE("svc-",svc!$B39,"-",svc!I39)</f>
        <v>svc-v810-bes_acc_im008_fft_tag_management</v>
      </c>
      <c r="H40" t="str">
        <f>CONCATENATE("route-",VLOOKUP($D40,kong_p1_var!$B$10:$D$16,2,FALSE),"-",svc!$B39,"-",svc!I39)</f>
        <v>route-v804-v810-bes_acc_im008_fft_tag_management</v>
      </c>
      <c r="I40" t="str">
        <f>CONCATENATE(VLOOKUP($D40,kong_p1_var!$B$20:$H$26,SUBSTITUTE(I$1,"target_","") + 1,FALSE),":",$E40)</f>
        <v>172.16.148.195:31208</v>
      </c>
      <c r="J40" t="str">
        <f>CONCATENATE(VLOOKUP($D40,kong_p1_var!$B$20:$H$26,SUBSTITUTE(J$1,"target_","") + 1,FALSE),":",$E40)</f>
        <v>172.16.148.196:31208</v>
      </c>
      <c r="K40" t="str">
        <f>CONCATENATE(VLOOKUP($D40,kong_p1_var!$B$20:$H$26,SUBSTITUTE(K$1,"target_","") + 1,FALSE),":",$E40)</f>
        <v>172.16.148.197:31208</v>
      </c>
      <c r="L40" t="str">
        <f>IF($C40="dmz","",CONCATENATE(VLOOKUP($D40,kong_p1_var!$B$20:$H$26,SUBSTITUTE(L$1,"target_","") + 1,FALSE),":",$E40))</f>
        <v>172.16.148.198:31208</v>
      </c>
      <c r="M40" t="str">
        <f>IF($C40="dmz","",CONCATENATE(VLOOKUP($D40,kong_p1_var!$B$20:$H$26,SUBSTITUTE(M$1,"target_","") + 1,FALSE),":",$E40))</f>
        <v>172.16.148.199:31208</v>
      </c>
      <c r="N40" t="str">
        <f>IF($C40="dmz","",CONCATENATE(VLOOKUP($D40,kong_p1_var!$B$20:$H$26,SUBSTITUTE(N$1,"target_","") + 1,FALSE),":",$E40))</f>
        <v>172.16.148.200:31208</v>
      </c>
      <c r="O40" t="str">
        <f>VLOOKUP($D40,kong_p1_var!$B$10:$D$16,3,FALSE)</f>
        <v>172.16.149.151</v>
      </c>
      <c r="P40" t="str">
        <f>CONCATENATE("/",C40,MID(D40,2,15),"/",svc!$I39)</f>
        <v>/trust810/bes_acc_im008_fft_tag_management</v>
      </c>
      <c r="Q40" t="str">
        <f>VLOOKUP(C40,kong_p1_var!$B$6:$C$7,2,FALSE)</f>
        <v>http://172.16.148.160:8001</v>
      </c>
      <c r="R40" t="str">
        <f>SUBSTITUTE(SUBSTITUTE(kong_p1_var!$J$1,"&lt;upstream_name&gt;",$F40),"&lt;kong_api_url&gt;",$Q40)</f>
        <v>curl -X PUT http://172.16.148.160:8001/upstreams/ups-v810-bes_acc_im008_fft_tag_management</v>
      </c>
      <c r="S40" t="str">
        <f>SUBSTITUTE(SUBSTITUTE(SUBSTITUTE(SUBSTITUTE(kong_p1_var!$J$2,"&lt;kong_api_url&gt;",$Q40),"&lt;upstream_name&gt;",$F40),"&lt;port&gt;",$E40),"&lt;service_name&gt;",$G40)</f>
        <v>curl -X PUT http://172.16.148.160:8001/services/svc-v810-bes_acc_im008_fft_tag_management -H "Content-Type: application/json" -d '{"protocol":"http","host":"ups-v810-bes_acc_im008_fft_tag_management","port":31208}'</v>
      </c>
      <c r="T40" t="str">
        <f>SUBSTITUTE(SUBSTITUTE(SUBSTITUTE(SUBSTITUTE(SUBSTITUTE(kong_p1_var!$J$3,"&lt;kong_api_url&gt;",$Q40),"&lt;route_name&gt;",$H40),"&lt;service_name&gt;",$G40),"&lt;host&gt;",$O40),"&lt;path&gt;",$P40)</f>
        <v>curl -X PUT http://172.16.148.160:8001/services/svc-v810-bes_acc_im008_fft_tag_management/routes/route-v804-v810-bes_acc_im008_fft_tag_management -H "Content-Type: application/json" -d '{"protocols":["http"],"hosts":["172.16.149.151"],"paths":["/trust810/bes_acc_im008_fft_tag_management"]}'</v>
      </c>
      <c r="U40" t="str">
        <f t="shared" si="1"/>
        <v>curl -X POST http://172.16.148.160:8001/upstreams/ups-v810-bes_acc_im008_fft_tag_management/targets -d 'target=172.16.148.195:31208'</v>
      </c>
      <c r="V40" t="str">
        <f t="shared" si="2"/>
        <v>curl -X POST http://172.16.148.160:8001/upstreams/ups-v810-bes_acc_im008_fft_tag_management/targets -d 'target=172.16.148.196:31208'</v>
      </c>
      <c r="W40" t="str">
        <f t="shared" si="3"/>
        <v>curl -X POST http://172.16.148.160:8001/upstreams/ups-v810-bes_acc_im008_fft_tag_management/targets -d 'target=172.16.148.197:31208'</v>
      </c>
      <c r="X40" t="str">
        <f t="shared" si="4"/>
        <v>curl -X POST http://172.16.148.160:8001/upstreams/ups-v810-bes_acc_im008_fft_tag_management/targets -d 'target=172.16.148.198:31208'</v>
      </c>
      <c r="Y40" t="str">
        <f t="shared" si="5"/>
        <v>curl -X POST http://172.16.148.160:8001/upstreams/ups-v810-bes_acc_im008_fft_tag_management/targets -d 'target=172.16.148.199:31208'</v>
      </c>
      <c r="Z40" t="str">
        <f t="shared" si="6"/>
        <v>curl -X POST http://172.16.148.160:8001/upstreams/ups-v810-bes_acc_im008_fft_tag_management/targets -d 'target=172.16.148.200:31208'</v>
      </c>
    </row>
    <row r="41" spans="1:26">
      <c r="A41">
        <f>IF(ISNUMBER(SEARCH("rest_api",svc!R40)),1,0)</f>
        <v>1</v>
      </c>
      <c r="C41" t="str">
        <f>svc!D40</f>
        <v>trust</v>
      </c>
      <c r="D41" t="str">
        <f>svc!$B40</f>
        <v>v510</v>
      </c>
      <c r="E41">
        <f>svc!G40</f>
        <v>31209</v>
      </c>
      <c r="F41" t="str">
        <f>CONCATENATE("ups-",svc!$B40,"-",svc!I40)</f>
        <v>ups-v510-bes_acc_im009_fft_payment_and_billing</v>
      </c>
      <c r="G41" t="str">
        <f>CONCATENATE("svc-",svc!$B40,"-",svc!I40)</f>
        <v>svc-v510-bes_acc_im009_fft_payment_and_billing</v>
      </c>
      <c r="H41" t="str">
        <f>CONCATENATE("route-",VLOOKUP($D41,kong_p1_var!$B$10:$D$16,2,FALSE),"-",svc!$B40,"-",svc!I40)</f>
        <v>route-v504-v510-bes_acc_im009_fft_payment_and_billing</v>
      </c>
      <c r="I41" t="str">
        <f>CONCATENATE(VLOOKUP($D41,kong_p1_var!$B$20:$H$26,SUBSTITUTE(I$1,"target_","") + 1,FALSE),":",$E41)</f>
        <v>172.16.148.131:31209</v>
      </c>
      <c r="J41" t="str">
        <f>CONCATENATE(VLOOKUP($D41,kong_p1_var!$B$20:$H$26,SUBSTITUTE(J$1,"target_","") + 1,FALSE),":",$E41)</f>
        <v>172.16.148.132:31209</v>
      </c>
      <c r="K41" t="str">
        <f>CONCATENATE(VLOOKUP($D41,kong_p1_var!$B$20:$H$26,SUBSTITUTE(K$1,"target_","") + 1,FALSE),":",$E41)</f>
        <v>172.16.148.133:31209</v>
      </c>
      <c r="L41" t="str">
        <f>IF($C41="dmz","",CONCATENATE(VLOOKUP($D41,kong_p1_var!$B$20:$H$26,SUBSTITUTE(L$1,"target_","") + 1,FALSE),":",$E41))</f>
        <v>172.16.148.134:31209</v>
      </c>
      <c r="M41" t="str">
        <f>IF($C41="dmz","",CONCATENATE(VLOOKUP($D41,kong_p1_var!$B$20:$H$26,SUBSTITUTE(M$1,"target_","") + 1,FALSE),":",$E41))</f>
        <v>172.16.148.135:31209</v>
      </c>
      <c r="N41" t="str">
        <f>IF($C41="dmz","",CONCATENATE(VLOOKUP($D41,kong_p1_var!$B$20:$H$26,SUBSTITUTE(N$1,"target_","") + 1,FALSE),":",$E41))</f>
        <v>172.16.148.136:31209</v>
      </c>
      <c r="O41" t="str">
        <f>VLOOKUP($D41,kong_p1_var!$B$10:$D$16,3,FALSE)</f>
        <v>172.16.149.183</v>
      </c>
      <c r="P41" t="str">
        <f>CONCATENATE("/",C41,MID(D41,2,15),"/",svc!$I40)</f>
        <v>/trust510/bes_acc_im009_fft_payment_and_billing</v>
      </c>
      <c r="Q41" t="str">
        <f>VLOOKUP(C41,kong_p1_var!$B$6:$C$7,2,FALSE)</f>
        <v>http://172.16.148.160:8001</v>
      </c>
      <c r="R41" t="str">
        <f>SUBSTITUTE(SUBSTITUTE(kong_p1_var!$J$1,"&lt;upstream_name&gt;",$F41),"&lt;kong_api_url&gt;",$Q41)</f>
        <v>curl -X PUT http://172.16.148.160:8001/upstreams/ups-v510-bes_acc_im009_fft_payment_and_billing</v>
      </c>
      <c r="S41" t="str">
        <f>SUBSTITUTE(SUBSTITUTE(SUBSTITUTE(SUBSTITUTE(kong_p1_var!$J$2,"&lt;kong_api_url&gt;",$Q41),"&lt;upstream_name&gt;",$F41),"&lt;port&gt;",$E41),"&lt;service_name&gt;",$G41)</f>
        <v>curl -X PUT http://172.16.148.160:8001/services/svc-v510-bes_acc_im009_fft_payment_and_billing -H "Content-Type: application/json" -d '{"protocol":"http","host":"ups-v510-bes_acc_im009_fft_payment_and_billing","port":31209}'</v>
      </c>
      <c r="T41" t="str">
        <f>SUBSTITUTE(SUBSTITUTE(SUBSTITUTE(SUBSTITUTE(SUBSTITUTE(kong_p1_var!$J$3,"&lt;kong_api_url&gt;",$Q41),"&lt;route_name&gt;",$H41),"&lt;service_name&gt;",$G41),"&lt;host&gt;",$O41),"&lt;path&gt;",$P41)</f>
        <v>curl -X PUT http://172.16.148.160:8001/services/svc-v510-bes_acc_im009_fft_payment_and_billing/routes/route-v504-v510-bes_acc_im009_fft_payment_and_billing -H "Content-Type: application/json" -d '{"protocols":["http"],"hosts":["172.16.149.183"],"paths":["/trust510/bes_acc_im009_fft_payment_and_billing"]}'</v>
      </c>
      <c r="U41" t="str">
        <f t="shared" si="1"/>
        <v>curl -X POST http://172.16.148.160:8001/upstreams/ups-v510-bes_acc_im009_fft_payment_and_billing/targets -d 'target=172.16.148.131:31209'</v>
      </c>
      <c r="V41" t="str">
        <f t="shared" si="2"/>
        <v>curl -X POST http://172.16.148.160:8001/upstreams/ups-v510-bes_acc_im009_fft_payment_and_billing/targets -d 'target=172.16.148.132:31209'</v>
      </c>
      <c r="W41" t="str">
        <f t="shared" si="3"/>
        <v>curl -X POST http://172.16.148.160:8001/upstreams/ups-v510-bes_acc_im009_fft_payment_and_billing/targets -d 'target=172.16.148.133:31209'</v>
      </c>
      <c r="X41" t="str">
        <f t="shared" si="4"/>
        <v>curl -X POST http://172.16.148.160:8001/upstreams/ups-v510-bes_acc_im009_fft_payment_and_billing/targets -d 'target=172.16.148.134:31209'</v>
      </c>
      <c r="Y41" t="str">
        <f t="shared" si="5"/>
        <v>curl -X POST http://172.16.148.160:8001/upstreams/ups-v510-bes_acc_im009_fft_payment_and_billing/targets -d 'target=172.16.148.135:31209'</v>
      </c>
      <c r="Z41" t="str">
        <f t="shared" si="6"/>
        <v>curl -X POST http://172.16.148.160:8001/upstreams/ups-v510-bes_acc_im009_fft_payment_and_billing/targets -d 'target=172.16.148.136:31209'</v>
      </c>
    </row>
    <row r="42" spans="1:26">
      <c r="A42">
        <f>IF(ISNUMBER(SEARCH("rest_api",svc!R41)),1,0)</f>
        <v>1</v>
      </c>
      <c r="C42" t="str">
        <f>svc!D41</f>
        <v>trust</v>
      </c>
      <c r="D42" t="str">
        <f>svc!$B41</f>
        <v>v810</v>
      </c>
      <c r="E42">
        <f>svc!G41</f>
        <v>31209</v>
      </c>
      <c r="F42" t="str">
        <f>CONCATENATE("ups-",svc!$B41,"-",svc!I41)</f>
        <v>ups-v810-bes_acc_im009_fft_payment_and_billing</v>
      </c>
      <c r="G42" t="str">
        <f>CONCATENATE("svc-",svc!$B41,"-",svc!I41)</f>
        <v>svc-v810-bes_acc_im009_fft_payment_and_billing</v>
      </c>
      <c r="H42" t="str">
        <f>CONCATENATE("route-",VLOOKUP($D42,kong_p1_var!$B$10:$D$16,2,FALSE),"-",svc!$B41,"-",svc!I41)</f>
        <v>route-v804-v810-bes_acc_im009_fft_payment_and_billing</v>
      </c>
      <c r="I42" t="str">
        <f>CONCATENATE(VLOOKUP($D42,kong_p1_var!$B$20:$H$26,SUBSTITUTE(I$1,"target_","") + 1,FALSE),":",$E42)</f>
        <v>172.16.148.195:31209</v>
      </c>
      <c r="J42" t="str">
        <f>CONCATENATE(VLOOKUP($D42,kong_p1_var!$B$20:$H$26,SUBSTITUTE(J$1,"target_","") + 1,FALSE),":",$E42)</f>
        <v>172.16.148.196:31209</v>
      </c>
      <c r="K42" t="str">
        <f>CONCATENATE(VLOOKUP($D42,kong_p1_var!$B$20:$H$26,SUBSTITUTE(K$1,"target_","") + 1,FALSE),":",$E42)</f>
        <v>172.16.148.197:31209</v>
      </c>
      <c r="L42" t="str">
        <f>IF($C42="dmz","",CONCATENATE(VLOOKUP($D42,kong_p1_var!$B$20:$H$26,SUBSTITUTE(L$1,"target_","") + 1,FALSE),":",$E42))</f>
        <v>172.16.148.198:31209</v>
      </c>
      <c r="M42" t="str">
        <f>IF($C42="dmz","",CONCATENATE(VLOOKUP($D42,kong_p1_var!$B$20:$H$26,SUBSTITUTE(M$1,"target_","") + 1,FALSE),":",$E42))</f>
        <v>172.16.148.199:31209</v>
      </c>
      <c r="N42" t="str">
        <f>IF($C42="dmz","",CONCATENATE(VLOOKUP($D42,kong_p1_var!$B$20:$H$26,SUBSTITUTE(N$1,"target_","") + 1,FALSE),":",$E42))</f>
        <v>172.16.148.200:31209</v>
      </c>
      <c r="O42" t="str">
        <f>VLOOKUP($D42,kong_p1_var!$B$10:$D$16,3,FALSE)</f>
        <v>172.16.149.151</v>
      </c>
      <c r="P42" t="str">
        <f>CONCATENATE("/",C42,MID(D42,2,15),"/",svc!$I41)</f>
        <v>/trust810/bes_acc_im009_fft_payment_and_billing</v>
      </c>
      <c r="Q42" t="str">
        <f>VLOOKUP(C42,kong_p1_var!$B$6:$C$7,2,FALSE)</f>
        <v>http://172.16.148.160:8001</v>
      </c>
      <c r="R42" t="str">
        <f>SUBSTITUTE(SUBSTITUTE(kong_p1_var!$J$1,"&lt;upstream_name&gt;",$F42),"&lt;kong_api_url&gt;",$Q42)</f>
        <v>curl -X PUT http://172.16.148.160:8001/upstreams/ups-v810-bes_acc_im009_fft_payment_and_billing</v>
      </c>
      <c r="S42" t="str">
        <f>SUBSTITUTE(SUBSTITUTE(SUBSTITUTE(SUBSTITUTE(kong_p1_var!$J$2,"&lt;kong_api_url&gt;",$Q42),"&lt;upstream_name&gt;",$F42),"&lt;port&gt;",$E42),"&lt;service_name&gt;",$G42)</f>
        <v>curl -X PUT http://172.16.148.160:8001/services/svc-v810-bes_acc_im009_fft_payment_and_billing -H "Content-Type: application/json" -d '{"protocol":"http","host":"ups-v810-bes_acc_im009_fft_payment_and_billing","port":31209}'</v>
      </c>
      <c r="T42" t="str">
        <f>SUBSTITUTE(SUBSTITUTE(SUBSTITUTE(SUBSTITUTE(SUBSTITUTE(kong_p1_var!$J$3,"&lt;kong_api_url&gt;",$Q42),"&lt;route_name&gt;",$H42),"&lt;service_name&gt;",$G42),"&lt;host&gt;",$O42),"&lt;path&gt;",$P42)</f>
        <v>curl -X PUT http://172.16.148.160:8001/services/svc-v810-bes_acc_im009_fft_payment_and_billing/routes/route-v804-v810-bes_acc_im009_fft_payment_and_billing -H "Content-Type: application/json" -d '{"protocols":["http"],"hosts":["172.16.149.151"],"paths":["/trust810/bes_acc_im009_fft_payment_and_billing"]}'</v>
      </c>
      <c r="U42" t="str">
        <f t="shared" si="1"/>
        <v>curl -X POST http://172.16.148.160:8001/upstreams/ups-v810-bes_acc_im009_fft_payment_and_billing/targets -d 'target=172.16.148.195:31209'</v>
      </c>
      <c r="V42" t="str">
        <f t="shared" si="2"/>
        <v>curl -X POST http://172.16.148.160:8001/upstreams/ups-v810-bes_acc_im009_fft_payment_and_billing/targets -d 'target=172.16.148.196:31209'</v>
      </c>
      <c r="W42" t="str">
        <f t="shared" si="3"/>
        <v>curl -X POST http://172.16.148.160:8001/upstreams/ups-v810-bes_acc_im009_fft_payment_and_billing/targets -d 'target=172.16.148.197:31209'</v>
      </c>
      <c r="X42" t="str">
        <f t="shared" si="4"/>
        <v>curl -X POST http://172.16.148.160:8001/upstreams/ups-v810-bes_acc_im009_fft_payment_and_billing/targets -d 'target=172.16.148.198:31209'</v>
      </c>
      <c r="Y42" t="str">
        <f t="shared" si="5"/>
        <v>curl -X POST http://172.16.148.160:8001/upstreams/ups-v810-bes_acc_im009_fft_payment_and_billing/targets -d 'target=172.16.148.199:31209'</v>
      </c>
      <c r="Z42" t="str">
        <f t="shared" si="6"/>
        <v>curl -X POST http://172.16.148.160:8001/upstreams/ups-v810-bes_acc_im009_fft_payment_and_billing/targets -d 'target=172.16.148.200:31209'</v>
      </c>
    </row>
    <row r="43" spans="1:26">
      <c r="A43">
        <f>IF(ISNUMBER(SEARCH("rest_api",svc!R42)),1,0)</f>
        <v>1</v>
      </c>
      <c r="C43" t="str">
        <f>svc!D42</f>
        <v>trust</v>
      </c>
      <c r="D43" t="str">
        <f>svc!$B42</f>
        <v>v510</v>
      </c>
      <c r="E43">
        <f>svc!G42</f>
        <v>31210</v>
      </c>
      <c r="F43" t="str">
        <f>CONCATENATE("ups-",svc!$B42,"-",svc!I42)</f>
        <v>ups-v510-bes_acc_im010_fft_transaction</v>
      </c>
      <c r="G43" t="str">
        <f>CONCATENATE("svc-",svc!$B42,"-",svc!I42)</f>
        <v>svc-v510-bes_acc_im010_fft_transaction</v>
      </c>
      <c r="H43" t="str">
        <f>CONCATENATE("route-",VLOOKUP($D43,kong_p1_var!$B$10:$D$16,2,FALSE),"-",svc!$B42,"-",svc!I42)</f>
        <v>route-v504-v510-bes_acc_im010_fft_transaction</v>
      </c>
      <c r="I43" t="str">
        <f>CONCATENATE(VLOOKUP($D43,kong_p1_var!$B$20:$H$26,SUBSTITUTE(I$1,"target_","") + 1,FALSE),":",$E43)</f>
        <v>172.16.148.131:31210</v>
      </c>
      <c r="J43" t="str">
        <f>CONCATENATE(VLOOKUP($D43,kong_p1_var!$B$20:$H$26,SUBSTITUTE(J$1,"target_","") + 1,FALSE),":",$E43)</f>
        <v>172.16.148.132:31210</v>
      </c>
      <c r="K43" t="str">
        <f>CONCATENATE(VLOOKUP($D43,kong_p1_var!$B$20:$H$26,SUBSTITUTE(K$1,"target_","") + 1,FALSE),":",$E43)</f>
        <v>172.16.148.133:31210</v>
      </c>
      <c r="L43" t="str">
        <f>IF($C43="dmz","",CONCATENATE(VLOOKUP($D43,kong_p1_var!$B$20:$H$26,SUBSTITUTE(L$1,"target_","") + 1,FALSE),":",$E43))</f>
        <v>172.16.148.134:31210</v>
      </c>
      <c r="M43" t="str">
        <f>IF($C43="dmz","",CONCATENATE(VLOOKUP($D43,kong_p1_var!$B$20:$H$26,SUBSTITUTE(M$1,"target_","") + 1,FALSE),":",$E43))</f>
        <v>172.16.148.135:31210</v>
      </c>
      <c r="N43" t="str">
        <f>IF($C43="dmz","",CONCATENATE(VLOOKUP($D43,kong_p1_var!$B$20:$H$26,SUBSTITUTE(N$1,"target_","") + 1,FALSE),":",$E43))</f>
        <v>172.16.148.136:31210</v>
      </c>
      <c r="O43" t="str">
        <f>VLOOKUP($D43,kong_p1_var!$B$10:$D$16,3,FALSE)</f>
        <v>172.16.149.183</v>
      </c>
      <c r="P43" t="str">
        <f>CONCATENATE("/",C43,MID(D43,2,15),"/",svc!$I42)</f>
        <v>/trust510/bes_acc_im010_fft_transaction</v>
      </c>
      <c r="Q43" t="str">
        <f>VLOOKUP(C43,kong_p1_var!$B$6:$C$7,2,FALSE)</f>
        <v>http://172.16.148.160:8001</v>
      </c>
      <c r="R43" t="str">
        <f>SUBSTITUTE(SUBSTITUTE(kong_p1_var!$J$1,"&lt;upstream_name&gt;",$F43),"&lt;kong_api_url&gt;",$Q43)</f>
        <v>curl -X PUT http://172.16.148.160:8001/upstreams/ups-v510-bes_acc_im010_fft_transaction</v>
      </c>
      <c r="S43" t="str">
        <f>SUBSTITUTE(SUBSTITUTE(SUBSTITUTE(SUBSTITUTE(kong_p1_var!$J$2,"&lt;kong_api_url&gt;",$Q43),"&lt;upstream_name&gt;",$F43),"&lt;port&gt;",$E43),"&lt;service_name&gt;",$G43)</f>
        <v>curl -X PUT http://172.16.148.160:8001/services/svc-v510-bes_acc_im010_fft_transaction -H "Content-Type: application/json" -d '{"protocol":"http","host":"ups-v510-bes_acc_im010_fft_transaction","port":31210}'</v>
      </c>
      <c r="T43" t="str">
        <f>SUBSTITUTE(SUBSTITUTE(SUBSTITUTE(SUBSTITUTE(SUBSTITUTE(kong_p1_var!$J$3,"&lt;kong_api_url&gt;",$Q43),"&lt;route_name&gt;",$H43),"&lt;service_name&gt;",$G43),"&lt;host&gt;",$O43),"&lt;path&gt;",$P43)</f>
        <v>curl -X PUT http://172.16.148.160:8001/services/svc-v510-bes_acc_im010_fft_transaction/routes/route-v504-v510-bes_acc_im010_fft_transaction -H "Content-Type: application/json" -d '{"protocols":["http"],"hosts":["172.16.149.183"],"paths":["/trust510/bes_acc_im010_fft_transaction"]}'</v>
      </c>
      <c r="U43" t="str">
        <f t="shared" si="1"/>
        <v>curl -X POST http://172.16.148.160:8001/upstreams/ups-v510-bes_acc_im010_fft_transaction/targets -d 'target=172.16.148.131:31210'</v>
      </c>
      <c r="V43" t="str">
        <f t="shared" si="2"/>
        <v>curl -X POST http://172.16.148.160:8001/upstreams/ups-v510-bes_acc_im010_fft_transaction/targets -d 'target=172.16.148.132:31210'</v>
      </c>
      <c r="W43" t="str">
        <f t="shared" si="3"/>
        <v>curl -X POST http://172.16.148.160:8001/upstreams/ups-v510-bes_acc_im010_fft_transaction/targets -d 'target=172.16.148.133:31210'</v>
      </c>
      <c r="X43" t="str">
        <f t="shared" si="4"/>
        <v>curl -X POST http://172.16.148.160:8001/upstreams/ups-v510-bes_acc_im010_fft_transaction/targets -d 'target=172.16.148.134:31210'</v>
      </c>
      <c r="Y43" t="str">
        <f t="shared" si="5"/>
        <v>curl -X POST http://172.16.148.160:8001/upstreams/ups-v510-bes_acc_im010_fft_transaction/targets -d 'target=172.16.148.135:31210'</v>
      </c>
      <c r="Z43" t="str">
        <f t="shared" si="6"/>
        <v>curl -X POST http://172.16.148.160:8001/upstreams/ups-v510-bes_acc_im010_fft_transaction/targets -d 'target=172.16.148.136:31210'</v>
      </c>
    </row>
    <row r="44" spans="1:26">
      <c r="A44">
        <f>IF(ISNUMBER(SEARCH("rest_api",svc!R43)),1,0)</f>
        <v>1</v>
      </c>
      <c r="C44" t="str">
        <f>svc!D43</f>
        <v>trust</v>
      </c>
      <c r="D44" t="str">
        <f>svc!$B43</f>
        <v>v810</v>
      </c>
      <c r="E44">
        <f>svc!G43</f>
        <v>31210</v>
      </c>
      <c r="F44" t="str">
        <f>CONCATENATE("ups-",svc!$B43,"-",svc!I43)</f>
        <v>ups-v810-bes_acc_im010_fft_transaction</v>
      </c>
      <c r="G44" t="str">
        <f>CONCATENATE("svc-",svc!$B43,"-",svc!I43)</f>
        <v>svc-v810-bes_acc_im010_fft_transaction</v>
      </c>
      <c r="H44" t="str">
        <f>CONCATENATE("route-",VLOOKUP($D44,kong_p1_var!$B$10:$D$16,2,FALSE),"-",svc!$B43,"-",svc!I43)</f>
        <v>route-v804-v810-bes_acc_im010_fft_transaction</v>
      </c>
      <c r="I44" t="str">
        <f>CONCATENATE(VLOOKUP($D44,kong_p1_var!$B$20:$H$26,SUBSTITUTE(I$1,"target_","") + 1,FALSE),":",$E44)</f>
        <v>172.16.148.195:31210</v>
      </c>
      <c r="J44" t="str">
        <f>CONCATENATE(VLOOKUP($D44,kong_p1_var!$B$20:$H$26,SUBSTITUTE(J$1,"target_","") + 1,FALSE),":",$E44)</f>
        <v>172.16.148.196:31210</v>
      </c>
      <c r="K44" t="str">
        <f>CONCATENATE(VLOOKUP($D44,kong_p1_var!$B$20:$H$26,SUBSTITUTE(K$1,"target_","") + 1,FALSE),":",$E44)</f>
        <v>172.16.148.197:31210</v>
      </c>
      <c r="L44" t="str">
        <f>IF($C44="dmz","",CONCATENATE(VLOOKUP($D44,kong_p1_var!$B$20:$H$26,SUBSTITUTE(L$1,"target_","") + 1,FALSE),":",$E44))</f>
        <v>172.16.148.198:31210</v>
      </c>
      <c r="M44" t="str">
        <f>IF($C44="dmz","",CONCATENATE(VLOOKUP($D44,kong_p1_var!$B$20:$H$26,SUBSTITUTE(M$1,"target_","") + 1,FALSE),":",$E44))</f>
        <v>172.16.148.199:31210</v>
      </c>
      <c r="N44" t="str">
        <f>IF($C44="dmz","",CONCATENATE(VLOOKUP($D44,kong_p1_var!$B$20:$H$26,SUBSTITUTE(N$1,"target_","") + 1,FALSE),":",$E44))</f>
        <v>172.16.148.200:31210</v>
      </c>
      <c r="O44" t="str">
        <f>VLOOKUP($D44,kong_p1_var!$B$10:$D$16,3,FALSE)</f>
        <v>172.16.149.151</v>
      </c>
      <c r="P44" t="str">
        <f>CONCATENATE("/",C44,MID(D44,2,15),"/",svc!$I43)</f>
        <v>/trust810/bes_acc_im010_fft_transaction</v>
      </c>
      <c r="Q44" t="str">
        <f>VLOOKUP(C44,kong_p1_var!$B$6:$C$7,2,FALSE)</f>
        <v>http://172.16.148.160:8001</v>
      </c>
      <c r="R44" t="str">
        <f>SUBSTITUTE(SUBSTITUTE(kong_p1_var!$J$1,"&lt;upstream_name&gt;",$F44),"&lt;kong_api_url&gt;",$Q44)</f>
        <v>curl -X PUT http://172.16.148.160:8001/upstreams/ups-v810-bes_acc_im010_fft_transaction</v>
      </c>
      <c r="S44" t="str">
        <f>SUBSTITUTE(SUBSTITUTE(SUBSTITUTE(SUBSTITUTE(kong_p1_var!$J$2,"&lt;kong_api_url&gt;",$Q44),"&lt;upstream_name&gt;",$F44),"&lt;port&gt;",$E44),"&lt;service_name&gt;",$G44)</f>
        <v>curl -X PUT http://172.16.148.160:8001/services/svc-v810-bes_acc_im010_fft_transaction -H "Content-Type: application/json" -d '{"protocol":"http","host":"ups-v810-bes_acc_im010_fft_transaction","port":31210}'</v>
      </c>
      <c r="T44" t="str">
        <f>SUBSTITUTE(SUBSTITUTE(SUBSTITUTE(SUBSTITUTE(SUBSTITUTE(kong_p1_var!$J$3,"&lt;kong_api_url&gt;",$Q44),"&lt;route_name&gt;",$H44),"&lt;service_name&gt;",$G44),"&lt;host&gt;",$O44),"&lt;path&gt;",$P44)</f>
        <v>curl -X PUT http://172.16.148.160:8001/services/svc-v810-bes_acc_im010_fft_transaction/routes/route-v804-v810-bes_acc_im010_fft_transaction -H "Content-Type: application/json" -d '{"protocols":["http"],"hosts":["172.16.149.151"],"paths":["/trust810/bes_acc_im010_fft_transaction"]}'</v>
      </c>
      <c r="U44" t="str">
        <f t="shared" si="1"/>
        <v>curl -X POST http://172.16.148.160:8001/upstreams/ups-v810-bes_acc_im010_fft_transaction/targets -d 'target=172.16.148.195:31210'</v>
      </c>
      <c r="V44" t="str">
        <f t="shared" si="2"/>
        <v>curl -X POST http://172.16.148.160:8001/upstreams/ups-v810-bes_acc_im010_fft_transaction/targets -d 'target=172.16.148.196:31210'</v>
      </c>
      <c r="W44" t="str">
        <f t="shared" si="3"/>
        <v>curl -X POST http://172.16.148.160:8001/upstreams/ups-v810-bes_acc_im010_fft_transaction/targets -d 'target=172.16.148.197:31210'</v>
      </c>
      <c r="X44" t="str">
        <f t="shared" si="4"/>
        <v>curl -X POST http://172.16.148.160:8001/upstreams/ups-v810-bes_acc_im010_fft_transaction/targets -d 'target=172.16.148.198:31210'</v>
      </c>
      <c r="Y44" t="str">
        <f t="shared" si="5"/>
        <v>curl -X POST http://172.16.148.160:8001/upstreams/ups-v810-bes_acc_im010_fft_transaction/targets -d 'target=172.16.148.199:31210'</v>
      </c>
      <c r="Z44" t="str">
        <f t="shared" si="6"/>
        <v>curl -X POST http://172.16.148.160:8001/upstreams/ups-v810-bes_acc_im010_fft_transaction/targets -d 'target=172.16.148.200:31210'</v>
      </c>
    </row>
    <row r="45" spans="1:26">
      <c r="A45">
        <f>IF(ISNUMBER(SEARCH("rest_api",svc!R44)),1,0)</f>
        <v>1</v>
      </c>
      <c r="C45" t="str">
        <f>svc!D44</f>
        <v>trust</v>
      </c>
      <c r="D45" t="str">
        <f>svc!$B44</f>
        <v>v510</v>
      </c>
      <c r="E45">
        <f>svc!G44</f>
        <v>31212</v>
      </c>
      <c r="F45" t="str">
        <f>CONCATENATE("ups-",svc!$B44,"-",svc!I44)</f>
        <v>ups-v510-bes_acc_im011_ffts_toll_and_surcharge</v>
      </c>
      <c r="G45" t="str">
        <f>CONCATENATE("svc-",svc!$B44,"-",svc!I44)</f>
        <v>svc-v510-bes_acc_im011_ffts_toll_and_surcharge</v>
      </c>
      <c r="H45" t="str">
        <f>CONCATENATE("route-",VLOOKUP($D45,kong_p1_var!$B$10:$D$16,2,FALSE),"-",svc!$B44,"-",svc!I44)</f>
        <v>route-v504-v510-bes_acc_im011_ffts_toll_and_surcharge</v>
      </c>
      <c r="I45" t="str">
        <f>CONCATENATE(VLOOKUP($D45,kong_p1_var!$B$20:$H$26,SUBSTITUTE(I$1,"target_","") + 1,FALSE),":",$E45)</f>
        <v>172.16.148.131:31212</v>
      </c>
      <c r="J45" t="str">
        <f>CONCATENATE(VLOOKUP($D45,kong_p1_var!$B$20:$H$26,SUBSTITUTE(J$1,"target_","") + 1,FALSE),":",$E45)</f>
        <v>172.16.148.132:31212</v>
      </c>
      <c r="K45" t="str">
        <f>CONCATENATE(VLOOKUP($D45,kong_p1_var!$B$20:$H$26,SUBSTITUTE(K$1,"target_","") + 1,FALSE),":",$E45)</f>
        <v>172.16.148.133:31212</v>
      </c>
      <c r="L45" t="str">
        <f>IF($C45="dmz","",CONCATENATE(VLOOKUP($D45,kong_p1_var!$B$20:$H$26,SUBSTITUTE(L$1,"target_","") + 1,FALSE),":",$E45))</f>
        <v>172.16.148.134:31212</v>
      </c>
      <c r="M45" t="str">
        <f>IF($C45="dmz","",CONCATENATE(VLOOKUP($D45,kong_p1_var!$B$20:$H$26,SUBSTITUTE(M$1,"target_","") + 1,FALSE),":",$E45))</f>
        <v>172.16.148.135:31212</v>
      </c>
      <c r="N45" t="str">
        <f>IF($C45="dmz","",CONCATENATE(VLOOKUP($D45,kong_p1_var!$B$20:$H$26,SUBSTITUTE(N$1,"target_","") + 1,FALSE),":",$E45))</f>
        <v>172.16.148.136:31212</v>
      </c>
      <c r="O45" t="str">
        <f>VLOOKUP($D45,kong_p1_var!$B$10:$D$16,3,FALSE)</f>
        <v>172.16.149.183</v>
      </c>
      <c r="P45" t="str">
        <f>CONCATENATE("/",C45,MID(D45,2,15),"/",svc!$I44)</f>
        <v>/trust510/bes_acc_im011_ffts_toll_and_surcharge</v>
      </c>
      <c r="Q45" t="str">
        <f>VLOOKUP(C45,kong_p1_var!$B$6:$C$7,2,FALSE)</f>
        <v>http://172.16.148.160:8001</v>
      </c>
      <c r="R45" t="str">
        <f>SUBSTITUTE(SUBSTITUTE(kong_p1_var!$J$1,"&lt;upstream_name&gt;",$F45),"&lt;kong_api_url&gt;",$Q45)</f>
        <v>curl -X PUT http://172.16.148.160:8001/upstreams/ups-v510-bes_acc_im011_ffts_toll_and_surcharge</v>
      </c>
      <c r="S45" t="str">
        <f>SUBSTITUTE(SUBSTITUTE(SUBSTITUTE(SUBSTITUTE(kong_p1_var!$J$2,"&lt;kong_api_url&gt;",$Q45),"&lt;upstream_name&gt;",$F45),"&lt;port&gt;",$E45),"&lt;service_name&gt;",$G45)</f>
        <v>curl -X PUT http://172.16.148.160:8001/services/svc-v510-bes_acc_im011_ffts_toll_and_surcharge -H "Content-Type: application/json" -d '{"protocol":"http","host":"ups-v510-bes_acc_im011_ffts_toll_and_surcharge","port":31212}'</v>
      </c>
      <c r="T45" t="str">
        <f>SUBSTITUTE(SUBSTITUTE(SUBSTITUTE(SUBSTITUTE(SUBSTITUTE(kong_p1_var!$J$3,"&lt;kong_api_url&gt;",$Q45),"&lt;route_name&gt;",$H45),"&lt;service_name&gt;",$G45),"&lt;host&gt;",$O45),"&lt;path&gt;",$P45)</f>
        <v>curl -X PUT http://172.16.148.160:8001/services/svc-v510-bes_acc_im011_ffts_toll_and_surcharge/routes/route-v504-v510-bes_acc_im011_ffts_toll_and_surcharge -H "Content-Type: application/json" -d '{"protocols":["http"],"hosts":["172.16.149.183"],"paths":["/trust510/bes_acc_im011_ffts_toll_and_surcharge"]}'</v>
      </c>
      <c r="U45" t="str">
        <f t="shared" si="1"/>
        <v>curl -X POST http://172.16.148.160:8001/upstreams/ups-v510-bes_acc_im011_ffts_toll_and_surcharge/targets -d 'target=172.16.148.131:31212'</v>
      </c>
      <c r="V45" t="str">
        <f t="shared" si="2"/>
        <v>curl -X POST http://172.16.148.160:8001/upstreams/ups-v510-bes_acc_im011_ffts_toll_and_surcharge/targets -d 'target=172.16.148.132:31212'</v>
      </c>
      <c r="W45" t="str">
        <f t="shared" si="3"/>
        <v>curl -X POST http://172.16.148.160:8001/upstreams/ups-v510-bes_acc_im011_ffts_toll_and_surcharge/targets -d 'target=172.16.148.133:31212'</v>
      </c>
      <c r="X45" t="str">
        <f t="shared" si="4"/>
        <v>curl -X POST http://172.16.148.160:8001/upstreams/ups-v510-bes_acc_im011_ffts_toll_and_surcharge/targets -d 'target=172.16.148.134:31212'</v>
      </c>
      <c r="Y45" t="str">
        <f t="shared" si="5"/>
        <v>curl -X POST http://172.16.148.160:8001/upstreams/ups-v510-bes_acc_im011_ffts_toll_and_surcharge/targets -d 'target=172.16.148.135:31212'</v>
      </c>
      <c r="Z45" t="str">
        <f t="shared" si="6"/>
        <v>curl -X POST http://172.16.148.160:8001/upstreams/ups-v510-bes_acc_im011_ffts_toll_and_surcharge/targets -d 'target=172.16.148.136:31212'</v>
      </c>
    </row>
    <row r="46" spans="1:26">
      <c r="A46">
        <f>IF(ISNUMBER(SEARCH("rest_api",svc!R45)),1,0)</f>
        <v>1</v>
      </c>
      <c r="C46" t="str">
        <f>svc!D45</f>
        <v>trust</v>
      </c>
      <c r="D46" t="str">
        <f>svc!$B45</f>
        <v>v810</v>
      </c>
      <c r="E46">
        <f>svc!G45</f>
        <v>31212</v>
      </c>
      <c r="F46" t="str">
        <f>CONCATENATE("ups-",svc!$B45,"-",svc!I45)</f>
        <v>ups-v810-bes_acc_im011_ffts_toll_and_surcharge</v>
      </c>
      <c r="G46" t="str">
        <f>CONCATENATE("svc-",svc!$B45,"-",svc!I45)</f>
        <v>svc-v810-bes_acc_im011_ffts_toll_and_surcharge</v>
      </c>
      <c r="H46" t="str">
        <f>CONCATENATE("route-",VLOOKUP($D46,kong_p1_var!$B$10:$D$16,2,FALSE),"-",svc!$B45,"-",svc!I45)</f>
        <v>route-v804-v810-bes_acc_im011_ffts_toll_and_surcharge</v>
      </c>
      <c r="I46" t="str">
        <f>CONCATENATE(VLOOKUP($D46,kong_p1_var!$B$20:$H$26,SUBSTITUTE(I$1,"target_","") + 1,FALSE),":",$E46)</f>
        <v>172.16.148.195:31212</v>
      </c>
      <c r="J46" t="str">
        <f>CONCATENATE(VLOOKUP($D46,kong_p1_var!$B$20:$H$26,SUBSTITUTE(J$1,"target_","") + 1,FALSE),":",$E46)</f>
        <v>172.16.148.196:31212</v>
      </c>
      <c r="K46" t="str">
        <f>CONCATENATE(VLOOKUP($D46,kong_p1_var!$B$20:$H$26,SUBSTITUTE(K$1,"target_","") + 1,FALSE),":",$E46)</f>
        <v>172.16.148.197:31212</v>
      </c>
      <c r="L46" t="str">
        <f>IF($C46="dmz","",CONCATENATE(VLOOKUP($D46,kong_p1_var!$B$20:$H$26,SUBSTITUTE(L$1,"target_","") + 1,FALSE),":",$E46))</f>
        <v>172.16.148.198:31212</v>
      </c>
      <c r="M46" t="str">
        <f>IF($C46="dmz","",CONCATENATE(VLOOKUP($D46,kong_p1_var!$B$20:$H$26,SUBSTITUTE(M$1,"target_","") + 1,FALSE),":",$E46))</f>
        <v>172.16.148.199:31212</v>
      </c>
      <c r="N46" t="str">
        <f>IF($C46="dmz","",CONCATENATE(VLOOKUP($D46,kong_p1_var!$B$20:$H$26,SUBSTITUTE(N$1,"target_","") + 1,FALSE),":",$E46))</f>
        <v>172.16.148.200:31212</v>
      </c>
      <c r="O46" t="str">
        <f>VLOOKUP($D46,kong_p1_var!$B$10:$D$16,3,FALSE)</f>
        <v>172.16.149.151</v>
      </c>
      <c r="P46" t="str">
        <f>CONCATENATE("/",C46,MID(D46,2,15),"/",svc!$I45)</f>
        <v>/trust810/bes_acc_im011_ffts_toll_and_surcharge</v>
      </c>
      <c r="Q46" t="str">
        <f>VLOOKUP(C46,kong_p1_var!$B$6:$C$7,2,FALSE)</f>
        <v>http://172.16.148.160:8001</v>
      </c>
      <c r="R46" t="str">
        <f>SUBSTITUTE(SUBSTITUTE(kong_p1_var!$J$1,"&lt;upstream_name&gt;",$F46),"&lt;kong_api_url&gt;",$Q46)</f>
        <v>curl -X PUT http://172.16.148.160:8001/upstreams/ups-v810-bes_acc_im011_ffts_toll_and_surcharge</v>
      </c>
      <c r="S46" t="str">
        <f>SUBSTITUTE(SUBSTITUTE(SUBSTITUTE(SUBSTITUTE(kong_p1_var!$J$2,"&lt;kong_api_url&gt;",$Q46),"&lt;upstream_name&gt;",$F46),"&lt;port&gt;",$E46),"&lt;service_name&gt;",$G46)</f>
        <v>curl -X PUT http://172.16.148.160:8001/services/svc-v810-bes_acc_im011_ffts_toll_and_surcharge -H "Content-Type: application/json" -d '{"protocol":"http","host":"ups-v810-bes_acc_im011_ffts_toll_and_surcharge","port":31212}'</v>
      </c>
      <c r="T46" t="str">
        <f>SUBSTITUTE(SUBSTITUTE(SUBSTITUTE(SUBSTITUTE(SUBSTITUTE(kong_p1_var!$J$3,"&lt;kong_api_url&gt;",$Q46),"&lt;route_name&gt;",$H46),"&lt;service_name&gt;",$G46),"&lt;host&gt;",$O46),"&lt;path&gt;",$P46)</f>
        <v>curl -X PUT http://172.16.148.160:8001/services/svc-v810-bes_acc_im011_ffts_toll_and_surcharge/routes/route-v804-v810-bes_acc_im011_ffts_toll_and_surcharge -H "Content-Type: application/json" -d '{"protocols":["http"],"hosts":["172.16.149.151"],"paths":["/trust810/bes_acc_im011_ffts_toll_and_surcharge"]}'</v>
      </c>
      <c r="U46" t="str">
        <f t="shared" si="1"/>
        <v>curl -X POST http://172.16.148.160:8001/upstreams/ups-v810-bes_acc_im011_ffts_toll_and_surcharge/targets -d 'target=172.16.148.195:31212'</v>
      </c>
      <c r="V46" t="str">
        <f t="shared" si="2"/>
        <v>curl -X POST http://172.16.148.160:8001/upstreams/ups-v810-bes_acc_im011_ffts_toll_and_surcharge/targets -d 'target=172.16.148.196:31212'</v>
      </c>
      <c r="W46" t="str">
        <f t="shared" si="3"/>
        <v>curl -X POST http://172.16.148.160:8001/upstreams/ups-v810-bes_acc_im011_ffts_toll_and_surcharge/targets -d 'target=172.16.148.197:31212'</v>
      </c>
      <c r="X46" t="str">
        <f t="shared" si="4"/>
        <v>curl -X POST http://172.16.148.160:8001/upstreams/ups-v810-bes_acc_im011_ffts_toll_and_surcharge/targets -d 'target=172.16.148.198:31212'</v>
      </c>
      <c r="Y46" t="str">
        <f t="shared" si="5"/>
        <v>curl -X POST http://172.16.148.160:8001/upstreams/ups-v810-bes_acc_im011_ffts_toll_and_surcharge/targets -d 'target=172.16.148.199:31212'</v>
      </c>
      <c r="Z46" t="str">
        <f t="shared" si="6"/>
        <v>curl -X POST http://172.16.148.160:8001/upstreams/ups-v810-bes_acc_im011_ffts_toll_and_surcharge/targets -d 'target=172.16.148.200:31212'</v>
      </c>
    </row>
    <row r="47" spans="1:26">
      <c r="A47">
        <f>IF(ISNUMBER(SEARCH("rest_api",svc!R46)),1,0)</f>
        <v>1</v>
      </c>
      <c r="C47" t="str">
        <f>svc!D46</f>
        <v>trust</v>
      </c>
      <c r="D47" t="str">
        <f>svc!$B46</f>
        <v>v510</v>
      </c>
      <c r="E47">
        <f>svc!G46</f>
        <v>31215</v>
      </c>
      <c r="F47" t="str">
        <f>CONCATENATE("ups-",svc!$B46,"-",svc!I46)</f>
        <v>ups-v510-bes_acc_im012_ffts_account_history</v>
      </c>
      <c r="G47" t="str">
        <f>CONCATENATE("svc-",svc!$B46,"-",svc!I46)</f>
        <v>svc-v510-bes_acc_im012_ffts_account_history</v>
      </c>
      <c r="H47" t="str">
        <f>CONCATENATE("route-",VLOOKUP($D47,kong_p1_var!$B$10:$D$16,2,FALSE),"-",svc!$B46,"-",svc!I46)</f>
        <v>route-v504-v510-bes_acc_im012_ffts_account_history</v>
      </c>
      <c r="I47" t="str">
        <f>CONCATENATE(VLOOKUP($D47,kong_p1_var!$B$20:$H$26,SUBSTITUTE(I$1,"target_","") + 1,FALSE),":",$E47)</f>
        <v>172.16.148.131:31215</v>
      </c>
      <c r="J47" t="str">
        <f>CONCATENATE(VLOOKUP($D47,kong_p1_var!$B$20:$H$26,SUBSTITUTE(J$1,"target_","") + 1,FALSE),":",$E47)</f>
        <v>172.16.148.132:31215</v>
      </c>
      <c r="K47" t="str">
        <f>CONCATENATE(VLOOKUP($D47,kong_p1_var!$B$20:$H$26,SUBSTITUTE(K$1,"target_","") + 1,FALSE),":",$E47)</f>
        <v>172.16.148.133:31215</v>
      </c>
      <c r="L47" t="str">
        <f>IF($C47="dmz","",CONCATENATE(VLOOKUP($D47,kong_p1_var!$B$20:$H$26,SUBSTITUTE(L$1,"target_","") + 1,FALSE),":",$E47))</f>
        <v>172.16.148.134:31215</v>
      </c>
      <c r="M47" t="str">
        <f>IF($C47="dmz","",CONCATENATE(VLOOKUP($D47,kong_p1_var!$B$20:$H$26,SUBSTITUTE(M$1,"target_","") + 1,FALSE),":",$E47))</f>
        <v>172.16.148.135:31215</v>
      </c>
      <c r="N47" t="str">
        <f>IF($C47="dmz","",CONCATENATE(VLOOKUP($D47,kong_p1_var!$B$20:$H$26,SUBSTITUTE(N$1,"target_","") + 1,FALSE),":",$E47))</f>
        <v>172.16.148.136:31215</v>
      </c>
      <c r="O47" t="str">
        <f>VLOOKUP($D47,kong_p1_var!$B$10:$D$16,3,FALSE)</f>
        <v>172.16.149.183</v>
      </c>
      <c r="P47" t="str">
        <f>CONCATENATE("/",C47,MID(D47,2,15),"/",svc!$I46)</f>
        <v>/trust510/bes_acc_im012_ffts_account_history</v>
      </c>
      <c r="Q47" t="str">
        <f>VLOOKUP(C47,kong_p1_var!$B$6:$C$7,2,FALSE)</f>
        <v>http://172.16.148.160:8001</v>
      </c>
      <c r="R47" t="str">
        <f>SUBSTITUTE(SUBSTITUTE(kong_p1_var!$J$1,"&lt;upstream_name&gt;",$F47),"&lt;kong_api_url&gt;",$Q47)</f>
        <v>curl -X PUT http://172.16.148.160:8001/upstreams/ups-v510-bes_acc_im012_ffts_account_history</v>
      </c>
      <c r="S47" t="str">
        <f>SUBSTITUTE(SUBSTITUTE(SUBSTITUTE(SUBSTITUTE(kong_p1_var!$J$2,"&lt;kong_api_url&gt;",$Q47),"&lt;upstream_name&gt;",$F47),"&lt;port&gt;",$E47),"&lt;service_name&gt;",$G47)</f>
        <v>curl -X PUT http://172.16.148.160:8001/services/svc-v510-bes_acc_im012_ffts_account_history -H "Content-Type: application/json" -d '{"protocol":"http","host":"ups-v510-bes_acc_im012_ffts_account_history","port":31215}'</v>
      </c>
      <c r="T47" t="str">
        <f>SUBSTITUTE(SUBSTITUTE(SUBSTITUTE(SUBSTITUTE(SUBSTITUTE(kong_p1_var!$J$3,"&lt;kong_api_url&gt;",$Q47),"&lt;route_name&gt;",$H47),"&lt;service_name&gt;",$G47),"&lt;host&gt;",$O47),"&lt;path&gt;",$P47)</f>
        <v>curl -X PUT http://172.16.148.160:8001/services/svc-v510-bes_acc_im012_ffts_account_history/routes/route-v504-v510-bes_acc_im012_ffts_account_history -H "Content-Type: application/json" -d '{"protocols":["http"],"hosts":["172.16.149.183"],"paths":["/trust510/bes_acc_im012_ffts_account_history"]}'</v>
      </c>
      <c r="U47" t="str">
        <f t="shared" si="1"/>
        <v>curl -X POST http://172.16.148.160:8001/upstreams/ups-v510-bes_acc_im012_ffts_account_history/targets -d 'target=172.16.148.131:31215'</v>
      </c>
      <c r="V47" t="str">
        <f t="shared" si="2"/>
        <v>curl -X POST http://172.16.148.160:8001/upstreams/ups-v510-bes_acc_im012_ffts_account_history/targets -d 'target=172.16.148.132:31215'</v>
      </c>
      <c r="W47" t="str">
        <f t="shared" si="3"/>
        <v>curl -X POST http://172.16.148.160:8001/upstreams/ups-v510-bes_acc_im012_ffts_account_history/targets -d 'target=172.16.148.133:31215'</v>
      </c>
      <c r="X47" t="str">
        <f t="shared" si="4"/>
        <v>curl -X POST http://172.16.148.160:8001/upstreams/ups-v510-bes_acc_im012_ffts_account_history/targets -d 'target=172.16.148.134:31215'</v>
      </c>
      <c r="Y47" t="str">
        <f t="shared" si="5"/>
        <v>curl -X POST http://172.16.148.160:8001/upstreams/ups-v510-bes_acc_im012_ffts_account_history/targets -d 'target=172.16.148.135:31215'</v>
      </c>
      <c r="Z47" t="str">
        <f t="shared" si="6"/>
        <v>curl -X POST http://172.16.148.160:8001/upstreams/ups-v510-bes_acc_im012_ffts_account_history/targets -d 'target=172.16.148.136:31215'</v>
      </c>
    </row>
    <row r="48" spans="1:26">
      <c r="A48">
        <f>IF(ISNUMBER(SEARCH("rest_api",svc!R47)),1,0)</f>
        <v>1</v>
      </c>
      <c r="C48" t="str">
        <f>svc!D47</f>
        <v>trust</v>
      </c>
      <c r="D48" t="str">
        <f>svc!$B47</f>
        <v>v810</v>
      </c>
      <c r="E48">
        <f>svc!G47</f>
        <v>31215</v>
      </c>
      <c r="F48" t="str">
        <f>CONCATENATE("ups-",svc!$B47,"-",svc!I47)</f>
        <v>ups-v810-bes_acc_im012_ffts_account_history</v>
      </c>
      <c r="G48" t="str">
        <f>CONCATENATE("svc-",svc!$B47,"-",svc!I47)</f>
        <v>svc-v810-bes_acc_im012_ffts_account_history</v>
      </c>
      <c r="H48" t="str">
        <f>CONCATENATE("route-",VLOOKUP($D48,kong_p1_var!$B$10:$D$16,2,FALSE),"-",svc!$B47,"-",svc!I47)</f>
        <v>route-v804-v810-bes_acc_im012_ffts_account_history</v>
      </c>
      <c r="I48" t="str">
        <f>CONCATENATE(VLOOKUP($D48,kong_p1_var!$B$20:$H$26,SUBSTITUTE(I$1,"target_","") + 1,FALSE),":",$E48)</f>
        <v>172.16.148.195:31215</v>
      </c>
      <c r="J48" t="str">
        <f>CONCATENATE(VLOOKUP($D48,kong_p1_var!$B$20:$H$26,SUBSTITUTE(J$1,"target_","") + 1,FALSE),":",$E48)</f>
        <v>172.16.148.196:31215</v>
      </c>
      <c r="K48" t="str">
        <f>CONCATENATE(VLOOKUP($D48,kong_p1_var!$B$20:$H$26,SUBSTITUTE(K$1,"target_","") + 1,FALSE),":",$E48)</f>
        <v>172.16.148.197:31215</v>
      </c>
      <c r="L48" t="str">
        <f>IF($C48="dmz","",CONCATENATE(VLOOKUP($D48,kong_p1_var!$B$20:$H$26,SUBSTITUTE(L$1,"target_","") + 1,FALSE),":",$E48))</f>
        <v>172.16.148.198:31215</v>
      </c>
      <c r="M48" t="str">
        <f>IF($C48="dmz","",CONCATENATE(VLOOKUP($D48,kong_p1_var!$B$20:$H$26,SUBSTITUTE(M$1,"target_","") + 1,FALSE),":",$E48))</f>
        <v>172.16.148.199:31215</v>
      </c>
      <c r="N48" t="str">
        <f>IF($C48="dmz","",CONCATENATE(VLOOKUP($D48,kong_p1_var!$B$20:$H$26,SUBSTITUTE(N$1,"target_","") + 1,FALSE),":",$E48))</f>
        <v>172.16.148.200:31215</v>
      </c>
      <c r="O48" t="str">
        <f>VLOOKUP($D48,kong_p1_var!$B$10:$D$16,3,FALSE)</f>
        <v>172.16.149.151</v>
      </c>
      <c r="P48" t="str">
        <f>CONCATENATE("/",C48,MID(D48,2,15),"/",svc!$I47)</f>
        <v>/trust810/bes_acc_im012_ffts_account_history</v>
      </c>
      <c r="Q48" t="str">
        <f>VLOOKUP(C48,kong_p1_var!$B$6:$C$7,2,FALSE)</f>
        <v>http://172.16.148.160:8001</v>
      </c>
      <c r="R48" t="str">
        <f>SUBSTITUTE(SUBSTITUTE(kong_p1_var!$J$1,"&lt;upstream_name&gt;",$F48),"&lt;kong_api_url&gt;",$Q48)</f>
        <v>curl -X PUT http://172.16.148.160:8001/upstreams/ups-v810-bes_acc_im012_ffts_account_history</v>
      </c>
      <c r="S48" t="str">
        <f>SUBSTITUTE(SUBSTITUTE(SUBSTITUTE(SUBSTITUTE(kong_p1_var!$J$2,"&lt;kong_api_url&gt;",$Q48),"&lt;upstream_name&gt;",$F48),"&lt;port&gt;",$E48),"&lt;service_name&gt;",$G48)</f>
        <v>curl -X PUT http://172.16.148.160:8001/services/svc-v810-bes_acc_im012_ffts_account_history -H "Content-Type: application/json" -d '{"protocol":"http","host":"ups-v810-bes_acc_im012_ffts_account_history","port":31215}'</v>
      </c>
      <c r="T48" t="str">
        <f>SUBSTITUTE(SUBSTITUTE(SUBSTITUTE(SUBSTITUTE(SUBSTITUTE(kong_p1_var!$J$3,"&lt;kong_api_url&gt;",$Q48),"&lt;route_name&gt;",$H48),"&lt;service_name&gt;",$G48),"&lt;host&gt;",$O48),"&lt;path&gt;",$P48)</f>
        <v>curl -X PUT http://172.16.148.160:8001/services/svc-v810-bes_acc_im012_ffts_account_history/routes/route-v804-v810-bes_acc_im012_ffts_account_history -H "Content-Type: application/json" -d '{"protocols":["http"],"hosts":["172.16.149.151"],"paths":["/trust810/bes_acc_im012_ffts_account_history"]}'</v>
      </c>
      <c r="U48" t="str">
        <f t="shared" si="1"/>
        <v>curl -X POST http://172.16.148.160:8001/upstreams/ups-v810-bes_acc_im012_ffts_account_history/targets -d 'target=172.16.148.195:31215'</v>
      </c>
      <c r="V48" t="str">
        <f t="shared" si="2"/>
        <v>curl -X POST http://172.16.148.160:8001/upstreams/ups-v810-bes_acc_im012_ffts_account_history/targets -d 'target=172.16.148.196:31215'</v>
      </c>
      <c r="W48" t="str">
        <f t="shared" si="3"/>
        <v>curl -X POST http://172.16.148.160:8001/upstreams/ups-v810-bes_acc_im012_ffts_account_history/targets -d 'target=172.16.148.197:31215'</v>
      </c>
      <c r="X48" t="str">
        <f t="shared" si="4"/>
        <v>curl -X POST http://172.16.148.160:8001/upstreams/ups-v810-bes_acc_im012_ffts_account_history/targets -d 'target=172.16.148.198:31215'</v>
      </c>
      <c r="Y48" t="str">
        <f t="shared" si="5"/>
        <v>curl -X POST http://172.16.148.160:8001/upstreams/ups-v810-bes_acc_im012_ffts_account_history/targets -d 'target=172.16.148.199:31215'</v>
      </c>
      <c r="Z48" t="str">
        <f t="shared" si="6"/>
        <v>curl -X POST http://172.16.148.160:8001/upstreams/ups-v810-bes_acc_im012_ffts_account_history/targets -d 'target=172.16.148.200:31215'</v>
      </c>
    </row>
    <row r="49" spans="1:26">
      <c r="A49">
        <f>IF(ISNUMBER(SEARCH("rest_api",svc!R48)),1,0)</f>
        <v>1</v>
      </c>
      <c r="C49" t="str">
        <f>svc!D48</f>
        <v>trust</v>
      </c>
      <c r="D49" t="str">
        <f>svc!$B48</f>
        <v>v510</v>
      </c>
      <c r="E49">
        <f>svc!G48</f>
        <v>31214</v>
      </c>
      <c r="F49" t="str">
        <f>CONCATENATE("ups-",svc!$B48,"-",svc!I48)</f>
        <v>ups-v510-bes_acc_im013_ffts_performance_monitoring</v>
      </c>
      <c r="G49" t="str">
        <f>CONCATENATE("svc-",svc!$B48,"-",svc!I48)</f>
        <v>svc-v510-bes_acc_im013_ffts_performance_monitoring</v>
      </c>
      <c r="H49" t="str">
        <f>CONCATENATE("route-",VLOOKUP($D49,kong_p1_var!$B$10:$D$16,2,FALSE),"-",svc!$B48,"-",svc!I48)</f>
        <v>route-v504-v510-bes_acc_im013_ffts_performance_monitoring</v>
      </c>
      <c r="I49" t="str">
        <f>CONCATENATE(VLOOKUP($D49,kong_p1_var!$B$20:$H$26,SUBSTITUTE(I$1,"target_","") + 1,FALSE),":",$E49)</f>
        <v>172.16.148.131:31214</v>
      </c>
      <c r="J49" t="str">
        <f>CONCATENATE(VLOOKUP($D49,kong_p1_var!$B$20:$H$26,SUBSTITUTE(J$1,"target_","") + 1,FALSE),":",$E49)</f>
        <v>172.16.148.132:31214</v>
      </c>
      <c r="K49" t="str">
        <f>CONCATENATE(VLOOKUP($D49,kong_p1_var!$B$20:$H$26,SUBSTITUTE(K$1,"target_","") + 1,FALSE),":",$E49)</f>
        <v>172.16.148.133:31214</v>
      </c>
      <c r="L49" t="str">
        <f>IF($C49="dmz","",CONCATENATE(VLOOKUP($D49,kong_p1_var!$B$20:$H$26,SUBSTITUTE(L$1,"target_","") + 1,FALSE),":",$E49))</f>
        <v>172.16.148.134:31214</v>
      </c>
      <c r="M49" t="str">
        <f>IF($C49="dmz","",CONCATENATE(VLOOKUP($D49,kong_p1_var!$B$20:$H$26,SUBSTITUTE(M$1,"target_","") + 1,FALSE),":",$E49))</f>
        <v>172.16.148.135:31214</v>
      </c>
      <c r="N49" t="str">
        <f>IF($C49="dmz","",CONCATENATE(VLOOKUP($D49,kong_p1_var!$B$20:$H$26,SUBSTITUTE(N$1,"target_","") + 1,FALSE),":",$E49))</f>
        <v>172.16.148.136:31214</v>
      </c>
      <c r="O49" t="str">
        <f>VLOOKUP($D49,kong_p1_var!$B$10:$D$16,3,FALSE)</f>
        <v>172.16.149.183</v>
      </c>
      <c r="P49" t="str">
        <f>CONCATENATE("/",C49,MID(D49,2,15),"/",svc!$I48)</f>
        <v>/trust510/bes_acc_im013_ffts_performance_monitoring</v>
      </c>
      <c r="Q49" t="str">
        <f>VLOOKUP(C49,kong_p1_var!$B$6:$C$7,2,FALSE)</f>
        <v>http://172.16.148.160:8001</v>
      </c>
      <c r="R49" t="str">
        <f>SUBSTITUTE(SUBSTITUTE(kong_p1_var!$J$1,"&lt;upstream_name&gt;",$F49),"&lt;kong_api_url&gt;",$Q49)</f>
        <v>curl -X PUT http://172.16.148.160:8001/upstreams/ups-v510-bes_acc_im013_ffts_performance_monitoring</v>
      </c>
      <c r="S49" t="str">
        <f>SUBSTITUTE(SUBSTITUTE(SUBSTITUTE(SUBSTITUTE(kong_p1_var!$J$2,"&lt;kong_api_url&gt;",$Q49),"&lt;upstream_name&gt;",$F49),"&lt;port&gt;",$E49),"&lt;service_name&gt;",$G49)</f>
        <v>curl -X PUT http://172.16.148.160:8001/services/svc-v510-bes_acc_im013_ffts_performance_monitoring -H "Content-Type: application/json" -d '{"protocol":"http","host":"ups-v510-bes_acc_im013_ffts_performance_monitoring","port":31214}'</v>
      </c>
      <c r="T49" t="str">
        <f>SUBSTITUTE(SUBSTITUTE(SUBSTITUTE(SUBSTITUTE(SUBSTITUTE(kong_p1_var!$J$3,"&lt;kong_api_url&gt;",$Q49),"&lt;route_name&gt;",$H49),"&lt;service_name&gt;",$G49),"&lt;host&gt;",$O49),"&lt;path&gt;",$P49)</f>
        <v>curl -X PUT http://172.16.148.160:8001/services/svc-v510-bes_acc_im013_ffts_performance_monitoring/routes/route-v504-v510-bes_acc_im013_ffts_performance_monitoring -H "Content-Type: application/json" -d '{"protocols":["http"],"hosts":["172.16.149.183"],"paths":["/trust510/bes_acc_im013_ffts_performance_monitoring"]}'</v>
      </c>
      <c r="U49" t="str">
        <f t="shared" si="1"/>
        <v>curl -X POST http://172.16.148.160:8001/upstreams/ups-v510-bes_acc_im013_ffts_performance_monitoring/targets -d 'target=172.16.148.131:31214'</v>
      </c>
      <c r="V49" t="str">
        <f t="shared" si="2"/>
        <v>curl -X POST http://172.16.148.160:8001/upstreams/ups-v510-bes_acc_im013_ffts_performance_monitoring/targets -d 'target=172.16.148.132:31214'</v>
      </c>
      <c r="W49" t="str">
        <f t="shared" si="3"/>
        <v>curl -X POST http://172.16.148.160:8001/upstreams/ups-v510-bes_acc_im013_ffts_performance_monitoring/targets -d 'target=172.16.148.133:31214'</v>
      </c>
      <c r="X49" t="str">
        <f t="shared" si="4"/>
        <v>curl -X POST http://172.16.148.160:8001/upstreams/ups-v510-bes_acc_im013_ffts_performance_monitoring/targets -d 'target=172.16.148.134:31214'</v>
      </c>
      <c r="Y49" t="str">
        <f t="shared" si="5"/>
        <v>curl -X POST http://172.16.148.160:8001/upstreams/ups-v510-bes_acc_im013_ffts_performance_monitoring/targets -d 'target=172.16.148.135:31214'</v>
      </c>
      <c r="Z49" t="str">
        <f t="shared" si="6"/>
        <v>curl -X POST http://172.16.148.160:8001/upstreams/ups-v510-bes_acc_im013_ffts_performance_monitoring/targets -d 'target=172.16.148.136:31214'</v>
      </c>
    </row>
    <row r="50" spans="1:26">
      <c r="A50">
        <f>IF(ISNUMBER(SEARCH("rest_api",svc!R49)),1,0)</f>
        <v>1</v>
      </c>
      <c r="C50" t="str">
        <f>svc!D49</f>
        <v>trust</v>
      </c>
      <c r="D50" t="str">
        <f>svc!$B49</f>
        <v>v810</v>
      </c>
      <c r="E50">
        <f>svc!G49</f>
        <v>31214</v>
      </c>
      <c r="F50" t="str">
        <f>CONCATENATE("ups-",svc!$B49,"-",svc!I49)</f>
        <v>ups-v810-bes_acc_im013_ffts_performance_monitoring</v>
      </c>
      <c r="G50" t="str">
        <f>CONCATENATE("svc-",svc!$B49,"-",svc!I49)</f>
        <v>svc-v810-bes_acc_im013_ffts_performance_monitoring</v>
      </c>
      <c r="H50" t="str">
        <f>CONCATENATE("route-",VLOOKUP($D50,kong_p1_var!$B$10:$D$16,2,FALSE),"-",svc!$B49,"-",svc!I49)</f>
        <v>route-v804-v810-bes_acc_im013_ffts_performance_monitoring</v>
      </c>
      <c r="I50" t="str">
        <f>CONCATENATE(VLOOKUP($D50,kong_p1_var!$B$20:$H$26,SUBSTITUTE(I$1,"target_","") + 1,FALSE),":",$E50)</f>
        <v>172.16.148.195:31214</v>
      </c>
      <c r="J50" t="str">
        <f>CONCATENATE(VLOOKUP($D50,kong_p1_var!$B$20:$H$26,SUBSTITUTE(J$1,"target_","") + 1,FALSE),":",$E50)</f>
        <v>172.16.148.196:31214</v>
      </c>
      <c r="K50" t="str">
        <f>CONCATENATE(VLOOKUP($D50,kong_p1_var!$B$20:$H$26,SUBSTITUTE(K$1,"target_","") + 1,FALSE),":",$E50)</f>
        <v>172.16.148.197:31214</v>
      </c>
      <c r="L50" t="str">
        <f>IF($C50="dmz","",CONCATENATE(VLOOKUP($D50,kong_p1_var!$B$20:$H$26,SUBSTITUTE(L$1,"target_","") + 1,FALSE),":",$E50))</f>
        <v>172.16.148.198:31214</v>
      </c>
      <c r="M50" t="str">
        <f>IF($C50="dmz","",CONCATENATE(VLOOKUP($D50,kong_p1_var!$B$20:$H$26,SUBSTITUTE(M$1,"target_","") + 1,FALSE),":",$E50))</f>
        <v>172.16.148.199:31214</v>
      </c>
      <c r="N50" t="str">
        <f>IF($C50="dmz","",CONCATENATE(VLOOKUP($D50,kong_p1_var!$B$20:$H$26,SUBSTITUTE(N$1,"target_","") + 1,FALSE),":",$E50))</f>
        <v>172.16.148.200:31214</v>
      </c>
      <c r="O50" t="str">
        <f>VLOOKUP($D50,kong_p1_var!$B$10:$D$16,3,FALSE)</f>
        <v>172.16.149.151</v>
      </c>
      <c r="P50" t="str">
        <f>CONCATENATE("/",C50,MID(D50,2,15),"/",svc!$I49)</f>
        <v>/trust810/bes_acc_im013_ffts_performance_monitoring</v>
      </c>
      <c r="Q50" t="str">
        <f>VLOOKUP(C50,kong_p1_var!$B$6:$C$7,2,FALSE)</f>
        <v>http://172.16.148.160:8001</v>
      </c>
      <c r="R50" t="str">
        <f>SUBSTITUTE(SUBSTITUTE(kong_p1_var!$J$1,"&lt;upstream_name&gt;",$F50),"&lt;kong_api_url&gt;",$Q50)</f>
        <v>curl -X PUT http://172.16.148.160:8001/upstreams/ups-v810-bes_acc_im013_ffts_performance_monitoring</v>
      </c>
      <c r="S50" t="str">
        <f>SUBSTITUTE(SUBSTITUTE(SUBSTITUTE(SUBSTITUTE(kong_p1_var!$J$2,"&lt;kong_api_url&gt;",$Q50),"&lt;upstream_name&gt;",$F50),"&lt;port&gt;",$E50),"&lt;service_name&gt;",$G50)</f>
        <v>curl -X PUT http://172.16.148.160:8001/services/svc-v810-bes_acc_im013_ffts_performance_monitoring -H "Content-Type: application/json" -d '{"protocol":"http","host":"ups-v810-bes_acc_im013_ffts_performance_monitoring","port":31214}'</v>
      </c>
      <c r="T50" t="str">
        <f>SUBSTITUTE(SUBSTITUTE(SUBSTITUTE(SUBSTITUTE(SUBSTITUTE(kong_p1_var!$J$3,"&lt;kong_api_url&gt;",$Q50),"&lt;route_name&gt;",$H50),"&lt;service_name&gt;",$G50),"&lt;host&gt;",$O50),"&lt;path&gt;",$P50)</f>
        <v>curl -X PUT http://172.16.148.160:8001/services/svc-v810-bes_acc_im013_ffts_performance_monitoring/routes/route-v804-v810-bes_acc_im013_ffts_performance_monitoring -H "Content-Type: application/json" -d '{"protocols":["http"],"hosts":["172.16.149.151"],"paths":["/trust810/bes_acc_im013_ffts_performance_monitoring"]}'</v>
      </c>
      <c r="U50" t="str">
        <f t="shared" si="1"/>
        <v>curl -X POST http://172.16.148.160:8001/upstreams/ups-v810-bes_acc_im013_ffts_performance_monitoring/targets -d 'target=172.16.148.195:31214'</v>
      </c>
      <c r="V50" t="str">
        <f t="shared" si="2"/>
        <v>curl -X POST http://172.16.148.160:8001/upstreams/ups-v810-bes_acc_im013_ffts_performance_monitoring/targets -d 'target=172.16.148.196:31214'</v>
      </c>
      <c r="W50" t="str">
        <f t="shared" si="3"/>
        <v>curl -X POST http://172.16.148.160:8001/upstreams/ups-v810-bes_acc_im013_ffts_performance_monitoring/targets -d 'target=172.16.148.197:31214'</v>
      </c>
      <c r="X50" t="str">
        <f t="shared" si="4"/>
        <v>curl -X POST http://172.16.148.160:8001/upstreams/ups-v810-bes_acc_im013_ffts_performance_monitoring/targets -d 'target=172.16.148.198:31214'</v>
      </c>
      <c r="Y50" t="str">
        <f t="shared" si="5"/>
        <v>curl -X POST http://172.16.148.160:8001/upstreams/ups-v810-bes_acc_im013_ffts_performance_monitoring/targets -d 'target=172.16.148.199:31214'</v>
      </c>
      <c r="Z50" t="str">
        <f t="shared" si="6"/>
        <v>curl -X POST http://172.16.148.160:8001/upstreams/ups-v810-bes_acc_im013_ffts_performance_monitoring/targets -d 'target=172.16.148.200:31214'</v>
      </c>
    </row>
    <row r="51" spans="1:26">
      <c r="A51">
        <f>IF(ISNUMBER(SEARCH("rest_api",svc!R50)),1,0)</f>
        <v>1</v>
      </c>
      <c r="C51" t="str">
        <f>svc!D50</f>
        <v>trust</v>
      </c>
      <c r="D51" t="str">
        <f>svc!$B50</f>
        <v>v510</v>
      </c>
      <c r="E51">
        <f>svc!G50</f>
        <v>31311</v>
      </c>
      <c r="F51" t="str">
        <f>CONCATENATE("ups-",svc!$B50,"-",svc!I50)</f>
        <v>ups-v510-bes_ccs</v>
      </c>
      <c r="G51" t="str">
        <f>CONCATENATE("svc-",svc!$B50,"-",svc!I50)</f>
        <v>svc-v510-bes_ccs</v>
      </c>
      <c r="H51" t="str">
        <f>CONCATENATE("route-",VLOOKUP($D51,kong_p1_var!$B$10:$D$16,2,FALSE),"-",svc!$B50,"-",svc!I50)</f>
        <v>route-v504-v510-bes_ccs</v>
      </c>
      <c r="I51" t="str">
        <f>CONCATENATE(VLOOKUP($D51,kong_p1_var!$B$20:$H$26,SUBSTITUTE(I$1,"target_","") + 1,FALSE),":",$E51)</f>
        <v>172.16.148.131:31311</v>
      </c>
      <c r="J51" t="str">
        <f>CONCATENATE(VLOOKUP($D51,kong_p1_var!$B$20:$H$26,SUBSTITUTE(J$1,"target_","") + 1,FALSE),":",$E51)</f>
        <v>172.16.148.132:31311</v>
      </c>
      <c r="K51" t="str">
        <f>CONCATENATE(VLOOKUP($D51,kong_p1_var!$B$20:$H$26,SUBSTITUTE(K$1,"target_","") + 1,FALSE),":",$E51)</f>
        <v>172.16.148.133:31311</v>
      </c>
      <c r="L51" t="str">
        <f>IF($C51="dmz","",CONCATENATE(VLOOKUP($D51,kong_p1_var!$B$20:$H$26,SUBSTITUTE(L$1,"target_","") + 1,FALSE),":",$E51))</f>
        <v>172.16.148.134:31311</v>
      </c>
      <c r="M51" t="str">
        <f>IF($C51="dmz","",CONCATENATE(VLOOKUP($D51,kong_p1_var!$B$20:$H$26,SUBSTITUTE(M$1,"target_","") + 1,FALSE),":",$E51))</f>
        <v>172.16.148.135:31311</v>
      </c>
      <c r="N51" t="str">
        <f>IF($C51="dmz","",CONCATENATE(VLOOKUP($D51,kong_p1_var!$B$20:$H$26,SUBSTITUTE(N$1,"target_","") + 1,FALSE),":",$E51))</f>
        <v>172.16.148.136:31311</v>
      </c>
      <c r="O51" t="str">
        <f>VLOOKUP($D51,kong_p1_var!$B$10:$D$16,3,FALSE)</f>
        <v>172.16.149.183</v>
      </c>
      <c r="P51" t="str">
        <f>CONCATENATE("/",C51,MID(D51,2,15),"/",svc!$I50)</f>
        <v>/trust510/bes_ccs</v>
      </c>
      <c r="Q51" t="str">
        <f>VLOOKUP(C51,kong_p1_var!$B$6:$C$7,2,FALSE)</f>
        <v>http://172.16.148.160:8001</v>
      </c>
      <c r="R51" t="str">
        <f>SUBSTITUTE(SUBSTITUTE(kong_p1_var!$J$1,"&lt;upstream_name&gt;",$F51),"&lt;kong_api_url&gt;",$Q51)</f>
        <v>curl -X PUT http://172.16.148.160:8001/upstreams/ups-v510-bes_ccs</v>
      </c>
      <c r="S51" t="str">
        <f>SUBSTITUTE(SUBSTITUTE(SUBSTITUTE(SUBSTITUTE(kong_p1_var!$J$2,"&lt;kong_api_url&gt;",$Q51),"&lt;upstream_name&gt;",$F51),"&lt;port&gt;",$E51),"&lt;service_name&gt;",$G51)</f>
        <v>curl -X PUT http://172.16.148.160:8001/services/svc-v510-bes_ccs -H "Content-Type: application/json" -d '{"protocol":"http","host":"ups-v510-bes_ccs","port":31311}'</v>
      </c>
      <c r="T51" t="str">
        <f>SUBSTITUTE(SUBSTITUTE(SUBSTITUTE(SUBSTITUTE(SUBSTITUTE(kong_p1_var!$J$3,"&lt;kong_api_url&gt;",$Q51),"&lt;route_name&gt;",$H51),"&lt;service_name&gt;",$G51),"&lt;host&gt;",$O51),"&lt;path&gt;",$P51)</f>
        <v>curl -X PUT http://172.16.148.160:8001/services/svc-v510-bes_ccs/routes/route-v504-v510-bes_ccs -H "Content-Type: application/json" -d '{"protocols":["http"],"hosts":["172.16.149.183"],"paths":["/trust510/bes_ccs"]}'</v>
      </c>
      <c r="U51" t="str">
        <f t="shared" si="1"/>
        <v>curl -X POST http://172.16.148.160:8001/upstreams/ups-v510-bes_ccs/targets -d 'target=172.16.148.131:31311'</v>
      </c>
      <c r="V51" t="str">
        <f t="shared" si="2"/>
        <v>curl -X POST http://172.16.148.160:8001/upstreams/ups-v510-bes_ccs/targets -d 'target=172.16.148.132:31311'</v>
      </c>
      <c r="W51" t="str">
        <f t="shared" si="3"/>
        <v>curl -X POST http://172.16.148.160:8001/upstreams/ups-v510-bes_ccs/targets -d 'target=172.16.148.133:31311'</v>
      </c>
      <c r="X51" t="str">
        <f t="shared" si="4"/>
        <v>curl -X POST http://172.16.148.160:8001/upstreams/ups-v510-bes_ccs/targets -d 'target=172.16.148.134:31311'</v>
      </c>
      <c r="Y51" t="str">
        <f t="shared" si="5"/>
        <v>curl -X POST http://172.16.148.160:8001/upstreams/ups-v510-bes_ccs/targets -d 'target=172.16.148.135:31311'</v>
      </c>
      <c r="Z51" t="str">
        <f t="shared" si="6"/>
        <v>curl -X POST http://172.16.148.160:8001/upstreams/ups-v510-bes_ccs/targets -d 'target=172.16.148.136:31311'</v>
      </c>
    </row>
    <row r="52" spans="1:26">
      <c r="A52">
        <f>IF(ISNUMBER(SEARCH("rest_api",svc!R51)),1,0)</f>
        <v>1</v>
      </c>
      <c r="C52" t="str">
        <f>svc!D51</f>
        <v>trust</v>
      </c>
      <c r="D52" t="str">
        <f>svc!$B51</f>
        <v>v510</v>
      </c>
      <c r="E52">
        <f>svc!G51</f>
        <v>31301</v>
      </c>
      <c r="F52" t="str">
        <f>CONCATENATE("ups-",svc!$B51,"-",svc!I51)</f>
        <v>ups-v510-bes_cre_im001_tokenization</v>
      </c>
      <c r="G52" t="str">
        <f>CONCATENATE("svc-",svc!$B51,"-",svc!I51)</f>
        <v>svc-v510-bes_cre_im001_tokenization</v>
      </c>
      <c r="H52" t="str">
        <f>CONCATENATE("route-",VLOOKUP($D52,kong_p1_var!$B$10:$D$16,2,FALSE),"-",svc!$B51,"-",svc!I51)</f>
        <v>route-v504-v510-bes_cre_im001_tokenization</v>
      </c>
      <c r="I52" t="str">
        <f>CONCATENATE(VLOOKUP($D52,kong_p1_var!$B$20:$H$26,SUBSTITUTE(I$1,"target_","") + 1,FALSE),":",$E52)</f>
        <v>172.16.148.131:31301</v>
      </c>
      <c r="J52" t="str">
        <f>CONCATENATE(VLOOKUP($D52,kong_p1_var!$B$20:$H$26,SUBSTITUTE(J$1,"target_","") + 1,FALSE),":",$E52)</f>
        <v>172.16.148.132:31301</v>
      </c>
      <c r="K52" t="str">
        <f>CONCATENATE(VLOOKUP($D52,kong_p1_var!$B$20:$H$26,SUBSTITUTE(K$1,"target_","") + 1,FALSE),":",$E52)</f>
        <v>172.16.148.133:31301</v>
      </c>
      <c r="L52" t="str">
        <f>IF($C52="dmz","",CONCATENATE(VLOOKUP($D52,kong_p1_var!$B$20:$H$26,SUBSTITUTE(L$1,"target_","") + 1,FALSE),":",$E52))</f>
        <v>172.16.148.134:31301</v>
      </c>
      <c r="M52" t="str">
        <f>IF($C52="dmz","",CONCATENATE(VLOOKUP($D52,kong_p1_var!$B$20:$H$26,SUBSTITUTE(M$1,"target_","") + 1,FALSE),":",$E52))</f>
        <v>172.16.148.135:31301</v>
      </c>
      <c r="N52" t="str">
        <f>IF($C52="dmz","",CONCATENATE(VLOOKUP($D52,kong_p1_var!$B$20:$H$26,SUBSTITUTE(N$1,"target_","") + 1,FALSE),":",$E52))</f>
        <v>172.16.148.136:31301</v>
      </c>
      <c r="O52" t="str">
        <f>VLOOKUP($D52,kong_p1_var!$B$10:$D$16,3,FALSE)</f>
        <v>172.16.149.183</v>
      </c>
      <c r="P52" t="str">
        <f>CONCATENATE("/",C52,MID(D52,2,15),"/",svc!$I51)</f>
        <v>/trust510/bes_cre_im001_tokenization</v>
      </c>
      <c r="Q52" t="str">
        <f>VLOOKUP(C52,kong_p1_var!$B$6:$C$7,2,FALSE)</f>
        <v>http://172.16.148.160:8001</v>
      </c>
      <c r="R52" t="str">
        <f>SUBSTITUTE(SUBSTITUTE(kong_p1_var!$J$1,"&lt;upstream_name&gt;",$F52),"&lt;kong_api_url&gt;",$Q52)</f>
        <v>curl -X PUT http://172.16.148.160:8001/upstreams/ups-v510-bes_cre_im001_tokenization</v>
      </c>
      <c r="S52" t="str">
        <f>SUBSTITUTE(SUBSTITUTE(SUBSTITUTE(SUBSTITUTE(kong_p1_var!$J$2,"&lt;kong_api_url&gt;",$Q52),"&lt;upstream_name&gt;",$F52),"&lt;port&gt;",$E52),"&lt;service_name&gt;",$G52)</f>
        <v>curl -X PUT http://172.16.148.160:8001/services/svc-v510-bes_cre_im001_tokenization -H "Content-Type: application/json" -d '{"protocol":"http","host":"ups-v510-bes_cre_im001_tokenization","port":31301}'</v>
      </c>
      <c r="T52" t="str">
        <f>SUBSTITUTE(SUBSTITUTE(SUBSTITUTE(SUBSTITUTE(SUBSTITUTE(kong_p1_var!$J$3,"&lt;kong_api_url&gt;",$Q52),"&lt;route_name&gt;",$H52),"&lt;service_name&gt;",$G52),"&lt;host&gt;",$O52),"&lt;path&gt;",$P52)</f>
        <v>curl -X PUT http://172.16.148.160:8001/services/svc-v510-bes_cre_im001_tokenization/routes/route-v504-v510-bes_cre_im001_tokenization -H "Content-Type: application/json" -d '{"protocols":["http"],"hosts":["172.16.149.183"],"paths":["/trust510/bes_cre_im001_tokenization"]}'</v>
      </c>
      <c r="U52" t="str">
        <f t="shared" si="1"/>
        <v>curl -X POST http://172.16.148.160:8001/upstreams/ups-v510-bes_cre_im001_tokenization/targets -d 'target=172.16.148.131:31301'</v>
      </c>
      <c r="V52" t="str">
        <f t="shared" si="2"/>
        <v>curl -X POST http://172.16.148.160:8001/upstreams/ups-v510-bes_cre_im001_tokenization/targets -d 'target=172.16.148.132:31301'</v>
      </c>
      <c r="W52" t="str">
        <f t="shared" si="3"/>
        <v>curl -X POST http://172.16.148.160:8001/upstreams/ups-v510-bes_cre_im001_tokenization/targets -d 'target=172.16.148.133:31301'</v>
      </c>
      <c r="X52" t="str">
        <f t="shared" si="4"/>
        <v>curl -X POST http://172.16.148.160:8001/upstreams/ups-v510-bes_cre_im001_tokenization/targets -d 'target=172.16.148.134:31301'</v>
      </c>
      <c r="Y52" t="str">
        <f t="shared" si="5"/>
        <v>curl -X POST http://172.16.148.160:8001/upstreams/ups-v510-bes_cre_im001_tokenization/targets -d 'target=172.16.148.135:31301'</v>
      </c>
      <c r="Z52" t="str">
        <f t="shared" si="6"/>
        <v>curl -X POST http://172.16.148.160:8001/upstreams/ups-v510-bes_cre_im001_tokenization/targets -d 'target=172.16.148.136:31301'</v>
      </c>
    </row>
    <row r="53" spans="1:26">
      <c r="A53">
        <f>IF(ISNUMBER(SEARCH("rest_api",svc!R52)),1,0)</f>
        <v>1</v>
      </c>
      <c r="C53" t="str">
        <f>svc!D52</f>
        <v>trust</v>
      </c>
      <c r="D53" t="str">
        <f>svc!$B52</f>
        <v>v810</v>
      </c>
      <c r="E53">
        <f>svc!G52</f>
        <v>31301</v>
      </c>
      <c r="F53" t="str">
        <f>CONCATENATE("ups-",svc!$B52,"-",svc!I52)</f>
        <v>ups-v810-bes_cre_im001_tokenization</v>
      </c>
      <c r="G53" t="str">
        <f>CONCATENATE("svc-",svc!$B52,"-",svc!I52)</f>
        <v>svc-v810-bes_cre_im001_tokenization</v>
      </c>
      <c r="H53" t="str">
        <f>CONCATENATE("route-",VLOOKUP($D53,kong_p1_var!$B$10:$D$16,2,FALSE),"-",svc!$B52,"-",svc!I52)</f>
        <v>route-v804-v810-bes_cre_im001_tokenization</v>
      </c>
      <c r="I53" t="str">
        <f>CONCATENATE(VLOOKUP($D53,kong_p1_var!$B$20:$H$26,SUBSTITUTE(I$1,"target_","") + 1,FALSE),":",$E53)</f>
        <v>172.16.148.195:31301</v>
      </c>
      <c r="J53" t="str">
        <f>CONCATENATE(VLOOKUP($D53,kong_p1_var!$B$20:$H$26,SUBSTITUTE(J$1,"target_","") + 1,FALSE),":",$E53)</f>
        <v>172.16.148.196:31301</v>
      </c>
      <c r="K53" t="str">
        <f>CONCATENATE(VLOOKUP($D53,kong_p1_var!$B$20:$H$26,SUBSTITUTE(K$1,"target_","") + 1,FALSE),":",$E53)</f>
        <v>172.16.148.197:31301</v>
      </c>
      <c r="L53" t="str">
        <f>IF($C53="dmz","",CONCATENATE(VLOOKUP($D53,kong_p1_var!$B$20:$H$26,SUBSTITUTE(L$1,"target_","") + 1,FALSE),":",$E53))</f>
        <v>172.16.148.198:31301</v>
      </c>
      <c r="M53" t="str">
        <f>IF($C53="dmz","",CONCATENATE(VLOOKUP($D53,kong_p1_var!$B$20:$H$26,SUBSTITUTE(M$1,"target_","") + 1,FALSE),":",$E53))</f>
        <v>172.16.148.199:31301</v>
      </c>
      <c r="N53" t="str">
        <f>IF($C53="dmz","",CONCATENATE(VLOOKUP($D53,kong_p1_var!$B$20:$H$26,SUBSTITUTE(N$1,"target_","") + 1,FALSE),":",$E53))</f>
        <v>172.16.148.200:31301</v>
      </c>
      <c r="O53" t="str">
        <f>VLOOKUP($D53,kong_p1_var!$B$10:$D$16,3,FALSE)</f>
        <v>172.16.149.151</v>
      </c>
      <c r="P53" t="str">
        <f>CONCATENATE("/",C53,MID(D53,2,15),"/",svc!$I52)</f>
        <v>/trust810/bes_cre_im001_tokenization</v>
      </c>
      <c r="Q53" t="str">
        <f>VLOOKUP(C53,kong_p1_var!$B$6:$C$7,2,FALSE)</f>
        <v>http://172.16.148.160:8001</v>
      </c>
      <c r="R53" t="str">
        <f>SUBSTITUTE(SUBSTITUTE(kong_p1_var!$J$1,"&lt;upstream_name&gt;",$F53),"&lt;kong_api_url&gt;",$Q53)</f>
        <v>curl -X PUT http://172.16.148.160:8001/upstreams/ups-v810-bes_cre_im001_tokenization</v>
      </c>
      <c r="S53" t="str">
        <f>SUBSTITUTE(SUBSTITUTE(SUBSTITUTE(SUBSTITUTE(kong_p1_var!$J$2,"&lt;kong_api_url&gt;",$Q53),"&lt;upstream_name&gt;",$F53),"&lt;port&gt;",$E53),"&lt;service_name&gt;",$G53)</f>
        <v>curl -X PUT http://172.16.148.160:8001/services/svc-v810-bes_cre_im001_tokenization -H "Content-Type: application/json" -d '{"protocol":"http","host":"ups-v810-bes_cre_im001_tokenization","port":31301}'</v>
      </c>
      <c r="T53" t="str">
        <f>SUBSTITUTE(SUBSTITUTE(SUBSTITUTE(SUBSTITUTE(SUBSTITUTE(kong_p1_var!$J$3,"&lt;kong_api_url&gt;",$Q53),"&lt;route_name&gt;",$H53),"&lt;service_name&gt;",$G53),"&lt;host&gt;",$O53),"&lt;path&gt;",$P53)</f>
        <v>curl -X PUT http://172.16.148.160:8001/services/svc-v810-bes_cre_im001_tokenization/routes/route-v804-v810-bes_cre_im001_tokenization -H "Content-Type: application/json" -d '{"protocols":["http"],"hosts":["172.16.149.151"],"paths":["/trust810/bes_cre_im001_tokenization"]}'</v>
      </c>
      <c r="U53" t="str">
        <f t="shared" si="1"/>
        <v>curl -X POST http://172.16.148.160:8001/upstreams/ups-v810-bes_cre_im001_tokenization/targets -d 'target=172.16.148.195:31301'</v>
      </c>
      <c r="V53" t="str">
        <f t="shared" si="2"/>
        <v>curl -X POST http://172.16.148.160:8001/upstreams/ups-v810-bes_cre_im001_tokenization/targets -d 'target=172.16.148.196:31301'</v>
      </c>
      <c r="W53" t="str">
        <f t="shared" si="3"/>
        <v>curl -X POST http://172.16.148.160:8001/upstreams/ups-v810-bes_cre_im001_tokenization/targets -d 'target=172.16.148.197:31301'</v>
      </c>
      <c r="X53" t="str">
        <f t="shared" si="4"/>
        <v>curl -X POST http://172.16.148.160:8001/upstreams/ups-v810-bes_cre_im001_tokenization/targets -d 'target=172.16.148.198:31301'</v>
      </c>
      <c r="Y53" t="str">
        <f t="shared" si="5"/>
        <v>curl -X POST http://172.16.148.160:8001/upstreams/ups-v810-bes_cre_im001_tokenization/targets -d 'target=172.16.148.199:31301'</v>
      </c>
      <c r="Z53" t="str">
        <f t="shared" si="6"/>
        <v>curl -X POST http://172.16.148.160:8001/upstreams/ups-v810-bes_cre_im001_tokenization/targets -d 'target=172.16.148.200:31301'</v>
      </c>
    </row>
    <row r="54" spans="1:26">
      <c r="A54">
        <f>IF(ISNUMBER(SEARCH("rest_api",svc!R53)),1,0)</f>
        <v>1</v>
      </c>
      <c r="C54" t="str">
        <f>svc!D53</f>
        <v>trust</v>
      </c>
      <c r="D54" t="str">
        <f>svc!$B53</f>
        <v>v510</v>
      </c>
      <c r="E54">
        <f>svc!G53</f>
        <v>31302</v>
      </c>
      <c r="F54" t="str">
        <f>CONCATENATE("ups-",svc!$B53,"-",svc!I53)</f>
        <v>ups-v510-bes_cre_im002_otp</v>
      </c>
      <c r="G54" t="str">
        <f>CONCATENATE("svc-",svc!$B53,"-",svc!I53)</f>
        <v>svc-v510-bes_cre_im002_otp</v>
      </c>
      <c r="H54" t="str">
        <f>CONCATENATE("route-",VLOOKUP($D54,kong_p1_var!$B$10:$D$16,2,FALSE),"-",svc!$B53,"-",svc!I53)</f>
        <v>route-v504-v510-bes_cre_im002_otp</v>
      </c>
      <c r="I54" t="str">
        <f>CONCATENATE(VLOOKUP($D54,kong_p1_var!$B$20:$H$26,SUBSTITUTE(I$1,"target_","") + 1,FALSE),":",$E54)</f>
        <v>172.16.148.131:31302</v>
      </c>
      <c r="J54" t="str">
        <f>CONCATENATE(VLOOKUP($D54,kong_p1_var!$B$20:$H$26,SUBSTITUTE(J$1,"target_","") + 1,FALSE),":",$E54)</f>
        <v>172.16.148.132:31302</v>
      </c>
      <c r="K54" t="str">
        <f>CONCATENATE(VLOOKUP($D54,kong_p1_var!$B$20:$H$26,SUBSTITUTE(K$1,"target_","") + 1,FALSE),":",$E54)</f>
        <v>172.16.148.133:31302</v>
      </c>
      <c r="L54" t="str">
        <f>IF($C54="dmz","",CONCATENATE(VLOOKUP($D54,kong_p1_var!$B$20:$H$26,SUBSTITUTE(L$1,"target_","") + 1,FALSE),":",$E54))</f>
        <v>172.16.148.134:31302</v>
      </c>
      <c r="M54" t="str">
        <f>IF($C54="dmz","",CONCATENATE(VLOOKUP($D54,kong_p1_var!$B$20:$H$26,SUBSTITUTE(M$1,"target_","") + 1,FALSE),":",$E54))</f>
        <v>172.16.148.135:31302</v>
      </c>
      <c r="N54" t="str">
        <f>IF($C54="dmz","",CONCATENATE(VLOOKUP($D54,kong_p1_var!$B$20:$H$26,SUBSTITUTE(N$1,"target_","") + 1,FALSE),":",$E54))</f>
        <v>172.16.148.136:31302</v>
      </c>
      <c r="O54" t="str">
        <f>VLOOKUP($D54,kong_p1_var!$B$10:$D$16,3,FALSE)</f>
        <v>172.16.149.183</v>
      </c>
      <c r="P54" t="str">
        <f>CONCATENATE("/",C54,MID(D54,2,15),"/",svc!$I53)</f>
        <v>/trust510/bes_cre_im002_otp</v>
      </c>
      <c r="Q54" t="str">
        <f>VLOOKUP(C54,kong_p1_var!$B$6:$C$7,2,FALSE)</f>
        <v>http://172.16.148.160:8001</v>
      </c>
      <c r="R54" t="str">
        <f>SUBSTITUTE(SUBSTITUTE(kong_p1_var!$J$1,"&lt;upstream_name&gt;",$F54),"&lt;kong_api_url&gt;",$Q54)</f>
        <v>curl -X PUT http://172.16.148.160:8001/upstreams/ups-v510-bes_cre_im002_otp</v>
      </c>
      <c r="S54" t="str">
        <f>SUBSTITUTE(SUBSTITUTE(SUBSTITUTE(SUBSTITUTE(kong_p1_var!$J$2,"&lt;kong_api_url&gt;",$Q54),"&lt;upstream_name&gt;",$F54),"&lt;port&gt;",$E54),"&lt;service_name&gt;",$G54)</f>
        <v>curl -X PUT http://172.16.148.160:8001/services/svc-v510-bes_cre_im002_otp -H "Content-Type: application/json" -d '{"protocol":"http","host":"ups-v510-bes_cre_im002_otp","port":31302}'</v>
      </c>
      <c r="T54" t="str">
        <f>SUBSTITUTE(SUBSTITUTE(SUBSTITUTE(SUBSTITUTE(SUBSTITUTE(kong_p1_var!$J$3,"&lt;kong_api_url&gt;",$Q54),"&lt;route_name&gt;",$H54),"&lt;service_name&gt;",$G54),"&lt;host&gt;",$O54),"&lt;path&gt;",$P54)</f>
        <v>curl -X PUT http://172.16.148.160:8001/services/svc-v510-bes_cre_im002_otp/routes/route-v504-v510-bes_cre_im002_otp -H "Content-Type: application/json" -d '{"protocols":["http"],"hosts":["172.16.149.183"],"paths":["/trust510/bes_cre_im002_otp"]}'</v>
      </c>
      <c r="U54" t="str">
        <f t="shared" si="1"/>
        <v>curl -X POST http://172.16.148.160:8001/upstreams/ups-v510-bes_cre_im002_otp/targets -d 'target=172.16.148.131:31302'</v>
      </c>
      <c r="V54" t="str">
        <f t="shared" si="2"/>
        <v>curl -X POST http://172.16.148.160:8001/upstreams/ups-v510-bes_cre_im002_otp/targets -d 'target=172.16.148.132:31302'</v>
      </c>
      <c r="W54" t="str">
        <f t="shared" si="3"/>
        <v>curl -X POST http://172.16.148.160:8001/upstreams/ups-v510-bes_cre_im002_otp/targets -d 'target=172.16.148.133:31302'</v>
      </c>
      <c r="X54" t="str">
        <f t="shared" si="4"/>
        <v>curl -X POST http://172.16.148.160:8001/upstreams/ups-v510-bes_cre_im002_otp/targets -d 'target=172.16.148.134:31302'</v>
      </c>
      <c r="Y54" t="str">
        <f t="shared" si="5"/>
        <v>curl -X POST http://172.16.148.160:8001/upstreams/ups-v510-bes_cre_im002_otp/targets -d 'target=172.16.148.135:31302'</v>
      </c>
      <c r="Z54" t="str">
        <f t="shared" si="6"/>
        <v>curl -X POST http://172.16.148.160:8001/upstreams/ups-v510-bes_cre_im002_otp/targets -d 'target=172.16.148.136:31302'</v>
      </c>
    </row>
    <row r="55" spans="1:26">
      <c r="A55">
        <f>IF(ISNUMBER(SEARCH("rest_api",svc!R54)),1,0)</f>
        <v>1</v>
      </c>
      <c r="C55" t="str">
        <f>svc!D54</f>
        <v>trust</v>
      </c>
      <c r="D55" t="str">
        <f>svc!$B54</f>
        <v>v810</v>
      </c>
      <c r="E55">
        <f>svc!G54</f>
        <v>31302</v>
      </c>
      <c r="F55" t="str">
        <f>CONCATENATE("ups-",svc!$B54,"-",svc!I54)</f>
        <v>ups-v810-bes_cre_im002_otp</v>
      </c>
      <c r="G55" t="str">
        <f>CONCATENATE("svc-",svc!$B54,"-",svc!I54)</f>
        <v>svc-v810-bes_cre_im002_otp</v>
      </c>
      <c r="H55" t="str">
        <f>CONCATENATE("route-",VLOOKUP($D55,kong_p1_var!$B$10:$D$16,2,FALSE),"-",svc!$B54,"-",svc!I54)</f>
        <v>route-v804-v810-bes_cre_im002_otp</v>
      </c>
      <c r="I55" t="str">
        <f>CONCATENATE(VLOOKUP($D55,kong_p1_var!$B$20:$H$26,SUBSTITUTE(I$1,"target_","") + 1,FALSE),":",$E55)</f>
        <v>172.16.148.195:31302</v>
      </c>
      <c r="J55" t="str">
        <f>CONCATENATE(VLOOKUP($D55,kong_p1_var!$B$20:$H$26,SUBSTITUTE(J$1,"target_","") + 1,FALSE),":",$E55)</f>
        <v>172.16.148.196:31302</v>
      </c>
      <c r="K55" t="str">
        <f>CONCATENATE(VLOOKUP($D55,kong_p1_var!$B$20:$H$26,SUBSTITUTE(K$1,"target_","") + 1,FALSE),":",$E55)</f>
        <v>172.16.148.197:31302</v>
      </c>
      <c r="L55" t="str">
        <f>IF($C55="dmz","",CONCATENATE(VLOOKUP($D55,kong_p1_var!$B$20:$H$26,SUBSTITUTE(L$1,"target_","") + 1,FALSE),":",$E55))</f>
        <v>172.16.148.198:31302</v>
      </c>
      <c r="M55" t="str">
        <f>IF($C55="dmz","",CONCATENATE(VLOOKUP($D55,kong_p1_var!$B$20:$H$26,SUBSTITUTE(M$1,"target_","") + 1,FALSE),":",$E55))</f>
        <v>172.16.148.199:31302</v>
      </c>
      <c r="N55" t="str">
        <f>IF($C55="dmz","",CONCATENATE(VLOOKUP($D55,kong_p1_var!$B$20:$H$26,SUBSTITUTE(N$1,"target_","") + 1,FALSE),":",$E55))</f>
        <v>172.16.148.200:31302</v>
      </c>
      <c r="O55" t="str">
        <f>VLOOKUP($D55,kong_p1_var!$B$10:$D$16,3,FALSE)</f>
        <v>172.16.149.151</v>
      </c>
      <c r="P55" t="str">
        <f>CONCATENATE("/",C55,MID(D55,2,15),"/",svc!$I54)</f>
        <v>/trust810/bes_cre_im002_otp</v>
      </c>
      <c r="Q55" t="str">
        <f>VLOOKUP(C55,kong_p1_var!$B$6:$C$7,2,FALSE)</f>
        <v>http://172.16.148.160:8001</v>
      </c>
      <c r="R55" t="str">
        <f>SUBSTITUTE(SUBSTITUTE(kong_p1_var!$J$1,"&lt;upstream_name&gt;",$F55),"&lt;kong_api_url&gt;",$Q55)</f>
        <v>curl -X PUT http://172.16.148.160:8001/upstreams/ups-v810-bes_cre_im002_otp</v>
      </c>
      <c r="S55" t="str">
        <f>SUBSTITUTE(SUBSTITUTE(SUBSTITUTE(SUBSTITUTE(kong_p1_var!$J$2,"&lt;kong_api_url&gt;",$Q55),"&lt;upstream_name&gt;",$F55),"&lt;port&gt;",$E55),"&lt;service_name&gt;",$G55)</f>
        <v>curl -X PUT http://172.16.148.160:8001/services/svc-v810-bes_cre_im002_otp -H "Content-Type: application/json" -d '{"protocol":"http","host":"ups-v810-bes_cre_im002_otp","port":31302}'</v>
      </c>
      <c r="T55" t="str">
        <f>SUBSTITUTE(SUBSTITUTE(SUBSTITUTE(SUBSTITUTE(SUBSTITUTE(kong_p1_var!$J$3,"&lt;kong_api_url&gt;",$Q55),"&lt;route_name&gt;",$H55),"&lt;service_name&gt;",$G55),"&lt;host&gt;",$O55),"&lt;path&gt;",$P55)</f>
        <v>curl -X PUT http://172.16.148.160:8001/services/svc-v810-bes_cre_im002_otp/routes/route-v804-v810-bes_cre_im002_otp -H "Content-Type: application/json" -d '{"protocols":["http"],"hosts":["172.16.149.151"],"paths":["/trust810/bes_cre_im002_otp"]}'</v>
      </c>
      <c r="U55" t="str">
        <f t="shared" si="1"/>
        <v>curl -X POST http://172.16.148.160:8001/upstreams/ups-v810-bes_cre_im002_otp/targets -d 'target=172.16.148.195:31302'</v>
      </c>
      <c r="V55" t="str">
        <f t="shared" si="2"/>
        <v>curl -X POST http://172.16.148.160:8001/upstreams/ups-v810-bes_cre_im002_otp/targets -d 'target=172.16.148.196:31302'</v>
      </c>
      <c r="W55" t="str">
        <f t="shared" si="3"/>
        <v>curl -X POST http://172.16.148.160:8001/upstreams/ups-v810-bes_cre_im002_otp/targets -d 'target=172.16.148.197:31302'</v>
      </c>
      <c r="X55" t="str">
        <f t="shared" si="4"/>
        <v>curl -X POST http://172.16.148.160:8001/upstreams/ups-v810-bes_cre_im002_otp/targets -d 'target=172.16.148.198:31302'</v>
      </c>
      <c r="Y55" t="str">
        <f t="shared" si="5"/>
        <v>curl -X POST http://172.16.148.160:8001/upstreams/ups-v810-bes_cre_im002_otp/targets -d 'target=172.16.148.199:31302'</v>
      </c>
      <c r="Z55" t="str">
        <f t="shared" si="6"/>
        <v>curl -X POST http://172.16.148.160:8001/upstreams/ups-v810-bes_cre_im002_otp/targets -d 'target=172.16.148.200:31302'</v>
      </c>
    </row>
    <row r="56" spans="1:26">
      <c r="A56">
        <f>IF(ISNUMBER(SEARCH("rest_api",svc!R55)),1,0)</f>
        <v>1</v>
      </c>
      <c r="C56" t="str">
        <f>svc!D55</f>
        <v>trust</v>
      </c>
      <c r="D56" t="str">
        <f>svc!$B55</f>
        <v>v510</v>
      </c>
      <c r="E56">
        <f>svc!G55</f>
        <v>31307</v>
      </c>
      <c r="F56" t="str">
        <f>CONCATENATE("ups-",svc!$B55,"-",svc!I55)</f>
        <v>ups-v510-bes_cre_im007_notification_template_management</v>
      </c>
      <c r="G56" t="str">
        <f>CONCATENATE("svc-",svc!$B55,"-",svc!I55)</f>
        <v>svc-v510-bes_cre_im007_notification_template_management</v>
      </c>
      <c r="H56" t="str">
        <f>CONCATENATE("route-",VLOOKUP($D56,kong_p1_var!$B$10:$D$16,2,FALSE),"-",svc!$B55,"-",svc!I55)</f>
        <v>route-v504-v510-bes_cre_im007_notification_template_management</v>
      </c>
      <c r="I56" t="str">
        <f>CONCATENATE(VLOOKUP($D56,kong_p1_var!$B$20:$H$26,SUBSTITUTE(I$1,"target_","") + 1,FALSE),":",$E56)</f>
        <v>172.16.148.131:31307</v>
      </c>
      <c r="J56" t="str">
        <f>CONCATENATE(VLOOKUP($D56,kong_p1_var!$B$20:$H$26,SUBSTITUTE(J$1,"target_","") + 1,FALSE),":",$E56)</f>
        <v>172.16.148.132:31307</v>
      </c>
      <c r="K56" t="str">
        <f>CONCATENATE(VLOOKUP($D56,kong_p1_var!$B$20:$H$26,SUBSTITUTE(K$1,"target_","") + 1,FALSE),":",$E56)</f>
        <v>172.16.148.133:31307</v>
      </c>
      <c r="L56" t="str">
        <f>IF($C56="dmz","",CONCATENATE(VLOOKUP($D56,kong_p1_var!$B$20:$H$26,SUBSTITUTE(L$1,"target_","") + 1,FALSE),":",$E56))</f>
        <v>172.16.148.134:31307</v>
      </c>
      <c r="M56" t="str">
        <f>IF($C56="dmz","",CONCATENATE(VLOOKUP($D56,kong_p1_var!$B$20:$H$26,SUBSTITUTE(M$1,"target_","") + 1,FALSE),":",$E56))</f>
        <v>172.16.148.135:31307</v>
      </c>
      <c r="N56" t="str">
        <f>IF($C56="dmz","",CONCATENATE(VLOOKUP($D56,kong_p1_var!$B$20:$H$26,SUBSTITUTE(N$1,"target_","") + 1,FALSE),":",$E56))</f>
        <v>172.16.148.136:31307</v>
      </c>
      <c r="O56" t="str">
        <f>VLOOKUP($D56,kong_p1_var!$B$10:$D$16,3,FALSE)</f>
        <v>172.16.149.183</v>
      </c>
      <c r="P56" t="str">
        <f>CONCATENATE("/",C56,MID(D56,2,15),"/",svc!$I55)</f>
        <v>/trust510/bes_cre_im007_notification_template_management</v>
      </c>
      <c r="Q56" t="str">
        <f>VLOOKUP(C56,kong_p1_var!$B$6:$C$7,2,FALSE)</f>
        <v>http://172.16.148.160:8001</v>
      </c>
      <c r="R56" t="str">
        <f>SUBSTITUTE(SUBSTITUTE(kong_p1_var!$J$1,"&lt;upstream_name&gt;",$F56),"&lt;kong_api_url&gt;",$Q56)</f>
        <v>curl -X PUT http://172.16.148.160:8001/upstreams/ups-v510-bes_cre_im007_notification_template_management</v>
      </c>
      <c r="S56" t="str">
        <f>SUBSTITUTE(SUBSTITUTE(SUBSTITUTE(SUBSTITUTE(kong_p1_var!$J$2,"&lt;kong_api_url&gt;",$Q56),"&lt;upstream_name&gt;",$F56),"&lt;port&gt;",$E56),"&lt;service_name&gt;",$G56)</f>
        <v>curl -X PUT http://172.16.148.160:8001/services/svc-v510-bes_cre_im007_notification_template_management -H "Content-Type: application/json" -d '{"protocol":"http","host":"ups-v510-bes_cre_im007_notification_template_management","port":31307}'</v>
      </c>
      <c r="T56" t="str">
        <f>SUBSTITUTE(SUBSTITUTE(SUBSTITUTE(SUBSTITUTE(SUBSTITUTE(kong_p1_var!$J$3,"&lt;kong_api_url&gt;",$Q56),"&lt;route_name&gt;",$H56),"&lt;service_name&gt;",$G56),"&lt;host&gt;",$O56),"&lt;path&gt;",$P56)</f>
        <v>curl -X PUT http://172.16.148.160:8001/services/svc-v510-bes_cre_im007_notification_template_management/routes/route-v504-v510-bes_cre_im007_notification_template_management -H "Content-Type: application/json" -d '{"protocols":["http"],"hosts":["172.16.149.183"],"paths":["/trust510/bes_cre_im007_notification_template_management"]}'</v>
      </c>
      <c r="U56" t="str">
        <f t="shared" si="1"/>
        <v>curl -X POST http://172.16.148.160:8001/upstreams/ups-v510-bes_cre_im007_notification_template_management/targets -d 'target=172.16.148.131:31307'</v>
      </c>
      <c r="V56" t="str">
        <f t="shared" si="2"/>
        <v>curl -X POST http://172.16.148.160:8001/upstreams/ups-v510-bes_cre_im007_notification_template_management/targets -d 'target=172.16.148.132:31307'</v>
      </c>
      <c r="W56" t="str">
        <f t="shared" si="3"/>
        <v>curl -X POST http://172.16.148.160:8001/upstreams/ups-v510-bes_cre_im007_notification_template_management/targets -d 'target=172.16.148.133:31307'</v>
      </c>
      <c r="X56" t="str">
        <f t="shared" si="4"/>
        <v>curl -X POST http://172.16.148.160:8001/upstreams/ups-v510-bes_cre_im007_notification_template_management/targets -d 'target=172.16.148.134:31307'</v>
      </c>
      <c r="Y56" t="str">
        <f t="shared" si="5"/>
        <v>curl -X POST http://172.16.148.160:8001/upstreams/ups-v510-bes_cre_im007_notification_template_management/targets -d 'target=172.16.148.135:31307'</v>
      </c>
      <c r="Z56" t="str">
        <f t="shared" si="6"/>
        <v>curl -X POST http://172.16.148.160:8001/upstreams/ups-v510-bes_cre_im007_notification_template_management/targets -d 'target=172.16.148.136:31307'</v>
      </c>
    </row>
    <row r="57" spans="1:26">
      <c r="A57">
        <f>IF(ISNUMBER(SEARCH("rest_api",svc!R56)),1,0)</f>
        <v>1</v>
      </c>
      <c r="C57" t="str">
        <f>svc!D56</f>
        <v>trust</v>
      </c>
      <c r="D57" t="str">
        <f>svc!$B56</f>
        <v>v810</v>
      </c>
      <c r="E57">
        <f>svc!G56</f>
        <v>31307</v>
      </c>
      <c r="F57" t="str">
        <f>CONCATENATE("ups-",svc!$B56,"-",svc!I56)</f>
        <v>ups-v810-bes_cre_im007_notification_template_management</v>
      </c>
      <c r="G57" t="str">
        <f>CONCATENATE("svc-",svc!$B56,"-",svc!I56)</f>
        <v>svc-v810-bes_cre_im007_notification_template_management</v>
      </c>
      <c r="H57" t="str">
        <f>CONCATENATE("route-",VLOOKUP($D57,kong_p1_var!$B$10:$D$16,2,FALSE),"-",svc!$B56,"-",svc!I56)</f>
        <v>route-v804-v810-bes_cre_im007_notification_template_management</v>
      </c>
      <c r="I57" t="str">
        <f>CONCATENATE(VLOOKUP($D57,kong_p1_var!$B$20:$H$26,SUBSTITUTE(I$1,"target_","") + 1,FALSE),":",$E57)</f>
        <v>172.16.148.195:31307</v>
      </c>
      <c r="J57" t="str">
        <f>CONCATENATE(VLOOKUP($D57,kong_p1_var!$B$20:$H$26,SUBSTITUTE(J$1,"target_","") + 1,FALSE),":",$E57)</f>
        <v>172.16.148.196:31307</v>
      </c>
      <c r="K57" t="str">
        <f>CONCATENATE(VLOOKUP($D57,kong_p1_var!$B$20:$H$26,SUBSTITUTE(K$1,"target_","") + 1,FALSE),":",$E57)</f>
        <v>172.16.148.197:31307</v>
      </c>
      <c r="L57" t="str">
        <f>IF($C57="dmz","",CONCATENATE(VLOOKUP($D57,kong_p1_var!$B$20:$H$26,SUBSTITUTE(L$1,"target_","") + 1,FALSE),":",$E57))</f>
        <v>172.16.148.198:31307</v>
      </c>
      <c r="M57" t="str">
        <f>IF($C57="dmz","",CONCATENATE(VLOOKUP($D57,kong_p1_var!$B$20:$H$26,SUBSTITUTE(M$1,"target_","") + 1,FALSE),":",$E57))</f>
        <v>172.16.148.199:31307</v>
      </c>
      <c r="N57" t="str">
        <f>IF($C57="dmz","",CONCATENATE(VLOOKUP($D57,kong_p1_var!$B$20:$H$26,SUBSTITUTE(N$1,"target_","") + 1,FALSE),":",$E57))</f>
        <v>172.16.148.200:31307</v>
      </c>
      <c r="O57" t="str">
        <f>VLOOKUP($D57,kong_p1_var!$B$10:$D$16,3,FALSE)</f>
        <v>172.16.149.151</v>
      </c>
      <c r="P57" t="str">
        <f>CONCATENATE("/",C57,MID(D57,2,15),"/",svc!$I56)</f>
        <v>/trust810/bes_cre_im007_notification_template_management</v>
      </c>
      <c r="Q57" t="str">
        <f>VLOOKUP(C57,kong_p1_var!$B$6:$C$7,2,FALSE)</f>
        <v>http://172.16.148.160:8001</v>
      </c>
      <c r="R57" t="str">
        <f>SUBSTITUTE(SUBSTITUTE(kong_p1_var!$J$1,"&lt;upstream_name&gt;",$F57),"&lt;kong_api_url&gt;",$Q57)</f>
        <v>curl -X PUT http://172.16.148.160:8001/upstreams/ups-v810-bes_cre_im007_notification_template_management</v>
      </c>
      <c r="S57" t="str">
        <f>SUBSTITUTE(SUBSTITUTE(SUBSTITUTE(SUBSTITUTE(kong_p1_var!$J$2,"&lt;kong_api_url&gt;",$Q57),"&lt;upstream_name&gt;",$F57),"&lt;port&gt;",$E57),"&lt;service_name&gt;",$G57)</f>
        <v>curl -X PUT http://172.16.148.160:8001/services/svc-v810-bes_cre_im007_notification_template_management -H "Content-Type: application/json" -d '{"protocol":"http","host":"ups-v810-bes_cre_im007_notification_template_management","port":31307}'</v>
      </c>
      <c r="T57" t="str">
        <f>SUBSTITUTE(SUBSTITUTE(SUBSTITUTE(SUBSTITUTE(SUBSTITUTE(kong_p1_var!$J$3,"&lt;kong_api_url&gt;",$Q57),"&lt;route_name&gt;",$H57),"&lt;service_name&gt;",$G57),"&lt;host&gt;",$O57),"&lt;path&gt;",$P57)</f>
        <v>curl -X PUT http://172.16.148.160:8001/services/svc-v810-bes_cre_im007_notification_template_management/routes/route-v804-v810-bes_cre_im007_notification_template_management -H "Content-Type: application/json" -d '{"protocols":["http"],"hosts":["172.16.149.151"],"paths":["/trust810/bes_cre_im007_notification_template_management"]}'</v>
      </c>
      <c r="U57" t="str">
        <f t="shared" si="1"/>
        <v>curl -X POST http://172.16.148.160:8001/upstreams/ups-v810-bes_cre_im007_notification_template_management/targets -d 'target=172.16.148.195:31307'</v>
      </c>
      <c r="V57" t="str">
        <f t="shared" si="2"/>
        <v>curl -X POST http://172.16.148.160:8001/upstreams/ups-v810-bes_cre_im007_notification_template_management/targets -d 'target=172.16.148.196:31307'</v>
      </c>
      <c r="W57" t="str">
        <f t="shared" si="3"/>
        <v>curl -X POST http://172.16.148.160:8001/upstreams/ups-v810-bes_cre_im007_notification_template_management/targets -d 'target=172.16.148.197:31307'</v>
      </c>
      <c r="X57" t="str">
        <f t="shared" si="4"/>
        <v>curl -X POST http://172.16.148.160:8001/upstreams/ups-v810-bes_cre_im007_notification_template_management/targets -d 'target=172.16.148.198:31307'</v>
      </c>
      <c r="Y57" t="str">
        <f t="shared" si="5"/>
        <v>curl -X POST http://172.16.148.160:8001/upstreams/ups-v810-bes_cre_im007_notification_template_management/targets -d 'target=172.16.148.199:31307'</v>
      </c>
      <c r="Z57" t="str">
        <f t="shared" si="6"/>
        <v>curl -X POST http://172.16.148.160:8001/upstreams/ups-v810-bes_cre_im007_notification_template_management/targets -d 'target=172.16.148.200:31307'</v>
      </c>
    </row>
    <row r="58" spans="1:26">
      <c r="A58">
        <f>IF(ISNUMBER(SEARCH("rest_api",svc!R57)),1,0)</f>
        <v>1</v>
      </c>
      <c r="C58" t="str">
        <f>svc!D57</f>
        <v>trust</v>
      </c>
      <c r="D58" t="str">
        <f>svc!$B57</f>
        <v>v510</v>
      </c>
      <c r="E58">
        <f>svc!G57</f>
        <v>31308</v>
      </c>
      <c r="F58" t="str">
        <f>CONCATENATE("ups-",svc!$B57,"-",svc!I57)</f>
        <v>ups-v510-bes_cre_im008_notification_message_management</v>
      </c>
      <c r="G58" t="str">
        <f>CONCATENATE("svc-",svc!$B57,"-",svc!I57)</f>
        <v>svc-v510-bes_cre_im008_notification_message_management</v>
      </c>
      <c r="H58" t="str">
        <f>CONCATENATE("route-",VLOOKUP($D58,kong_p1_var!$B$10:$D$16,2,FALSE),"-",svc!$B57,"-",svc!I57)</f>
        <v>route-v504-v510-bes_cre_im008_notification_message_management</v>
      </c>
      <c r="I58" t="str">
        <f>CONCATENATE(VLOOKUP($D58,kong_p1_var!$B$20:$H$26,SUBSTITUTE(I$1,"target_","") + 1,FALSE),":",$E58)</f>
        <v>172.16.148.131:31308</v>
      </c>
      <c r="J58" t="str">
        <f>CONCATENATE(VLOOKUP($D58,kong_p1_var!$B$20:$H$26,SUBSTITUTE(J$1,"target_","") + 1,FALSE),":",$E58)</f>
        <v>172.16.148.132:31308</v>
      </c>
      <c r="K58" t="str">
        <f>CONCATENATE(VLOOKUP($D58,kong_p1_var!$B$20:$H$26,SUBSTITUTE(K$1,"target_","") + 1,FALSE),":",$E58)</f>
        <v>172.16.148.133:31308</v>
      </c>
      <c r="L58" t="str">
        <f>IF($C58="dmz","",CONCATENATE(VLOOKUP($D58,kong_p1_var!$B$20:$H$26,SUBSTITUTE(L$1,"target_","") + 1,FALSE),":",$E58))</f>
        <v>172.16.148.134:31308</v>
      </c>
      <c r="M58" t="str">
        <f>IF($C58="dmz","",CONCATENATE(VLOOKUP($D58,kong_p1_var!$B$20:$H$26,SUBSTITUTE(M$1,"target_","") + 1,FALSE),":",$E58))</f>
        <v>172.16.148.135:31308</v>
      </c>
      <c r="N58" t="str">
        <f>IF($C58="dmz","",CONCATENATE(VLOOKUP($D58,kong_p1_var!$B$20:$H$26,SUBSTITUTE(N$1,"target_","") + 1,FALSE),":",$E58))</f>
        <v>172.16.148.136:31308</v>
      </c>
      <c r="O58" t="str">
        <f>VLOOKUP($D58,kong_p1_var!$B$10:$D$16,3,FALSE)</f>
        <v>172.16.149.183</v>
      </c>
      <c r="P58" t="str">
        <f>CONCATENATE("/",C58,MID(D58,2,15),"/",svc!$I57)</f>
        <v>/trust510/bes_cre_im008_notification_message_management</v>
      </c>
      <c r="Q58" t="str">
        <f>VLOOKUP(C58,kong_p1_var!$B$6:$C$7,2,FALSE)</f>
        <v>http://172.16.148.160:8001</v>
      </c>
      <c r="R58" t="str">
        <f>SUBSTITUTE(SUBSTITUTE(kong_p1_var!$J$1,"&lt;upstream_name&gt;",$F58),"&lt;kong_api_url&gt;",$Q58)</f>
        <v>curl -X PUT http://172.16.148.160:8001/upstreams/ups-v510-bes_cre_im008_notification_message_management</v>
      </c>
      <c r="S58" t="str">
        <f>SUBSTITUTE(SUBSTITUTE(SUBSTITUTE(SUBSTITUTE(kong_p1_var!$J$2,"&lt;kong_api_url&gt;",$Q58),"&lt;upstream_name&gt;",$F58),"&lt;port&gt;",$E58),"&lt;service_name&gt;",$G58)</f>
        <v>curl -X PUT http://172.16.148.160:8001/services/svc-v510-bes_cre_im008_notification_message_management -H "Content-Type: application/json" -d '{"protocol":"http","host":"ups-v510-bes_cre_im008_notification_message_management","port":31308}'</v>
      </c>
      <c r="T58" t="str">
        <f>SUBSTITUTE(SUBSTITUTE(SUBSTITUTE(SUBSTITUTE(SUBSTITUTE(kong_p1_var!$J$3,"&lt;kong_api_url&gt;",$Q58),"&lt;route_name&gt;",$H58),"&lt;service_name&gt;",$G58),"&lt;host&gt;",$O58),"&lt;path&gt;",$P58)</f>
        <v>curl -X PUT http://172.16.148.160:8001/services/svc-v510-bes_cre_im008_notification_message_management/routes/route-v504-v510-bes_cre_im008_notification_message_management -H "Content-Type: application/json" -d '{"protocols":["http"],"hosts":["172.16.149.183"],"paths":["/trust510/bes_cre_im008_notification_message_management"]}'</v>
      </c>
      <c r="U58" t="str">
        <f t="shared" si="1"/>
        <v>curl -X POST http://172.16.148.160:8001/upstreams/ups-v510-bes_cre_im008_notification_message_management/targets -d 'target=172.16.148.131:31308'</v>
      </c>
      <c r="V58" t="str">
        <f t="shared" si="2"/>
        <v>curl -X POST http://172.16.148.160:8001/upstreams/ups-v510-bes_cre_im008_notification_message_management/targets -d 'target=172.16.148.132:31308'</v>
      </c>
      <c r="W58" t="str">
        <f t="shared" si="3"/>
        <v>curl -X POST http://172.16.148.160:8001/upstreams/ups-v510-bes_cre_im008_notification_message_management/targets -d 'target=172.16.148.133:31308'</v>
      </c>
      <c r="X58" t="str">
        <f t="shared" si="4"/>
        <v>curl -X POST http://172.16.148.160:8001/upstreams/ups-v510-bes_cre_im008_notification_message_management/targets -d 'target=172.16.148.134:31308'</v>
      </c>
      <c r="Y58" t="str">
        <f t="shared" si="5"/>
        <v>curl -X POST http://172.16.148.160:8001/upstreams/ups-v510-bes_cre_im008_notification_message_management/targets -d 'target=172.16.148.135:31308'</v>
      </c>
      <c r="Z58" t="str">
        <f t="shared" si="6"/>
        <v>curl -X POST http://172.16.148.160:8001/upstreams/ups-v510-bes_cre_im008_notification_message_management/targets -d 'target=172.16.148.136:31308'</v>
      </c>
    </row>
    <row r="59" spans="1:26">
      <c r="A59">
        <f>IF(ISNUMBER(SEARCH("rest_api",svc!R58)),1,0)</f>
        <v>1</v>
      </c>
      <c r="C59" t="str">
        <f>svc!D58</f>
        <v>trust</v>
      </c>
      <c r="D59" t="str">
        <f>svc!$B58</f>
        <v>v810</v>
      </c>
      <c r="E59">
        <f>svc!G58</f>
        <v>31308</v>
      </c>
      <c r="F59" t="str">
        <f>CONCATENATE("ups-",svc!$B58,"-",svc!I58)</f>
        <v>ups-v810-bes_cre_im008_notification_message_management</v>
      </c>
      <c r="G59" t="str">
        <f>CONCATENATE("svc-",svc!$B58,"-",svc!I58)</f>
        <v>svc-v810-bes_cre_im008_notification_message_management</v>
      </c>
      <c r="H59" t="str">
        <f>CONCATENATE("route-",VLOOKUP($D59,kong_p1_var!$B$10:$D$16,2,FALSE),"-",svc!$B58,"-",svc!I58)</f>
        <v>route-v804-v810-bes_cre_im008_notification_message_management</v>
      </c>
      <c r="I59" t="str">
        <f>CONCATENATE(VLOOKUP($D59,kong_p1_var!$B$20:$H$26,SUBSTITUTE(I$1,"target_","") + 1,FALSE),":",$E59)</f>
        <v>172.16.148.195:31308</v>
      </c>
      <c r="J59" t="str">
        <f>CONCATENATE(VLOOKUP($D59,kong_p1_var!$B$20:$H$26,SUBSTITUTE(J$1,"target_","") + 1,FALSE),":",$E59)</f>
        <v>172.16.148.196:31308</v>
      </c>
      <c r="K59" t="str">
        <f>CONCATENATE(VLOOKUP($D59,kong_p1_var!$B$20:$H$26,SUBSTITUTE(K$1,"target_","") + 1,FALSE),":",$E59)</f>
        <v>172.16.148.197:31308</v>
      </c>
      <c r="L59" t="str">
        <f>IF($C59="dmz","",CONCATENATE(VLOOKUP($D59,kong_p1_var!$B$20:$H$26,SUBSTITUTE(L$1,"target_","") + 1,FALSE),":",$E59))</f>
        <v>172.16.148.198:31308</v>
      </c>
      <c r="M59" t="str">
        <f>IF($C59="dmz","",CONCATENATE(VLOOKUP($D59,kong_p1_var!$B$20:$H$26,SUBSTITUTE(M$1,"target_","") + 1,FALSE),":",$E59))</f>
        <v>172.16.148.199:31308</v>
      </c>
      <c r="N59" t="str">
        <f>IF($C59="dmz","",CONCATENATE(VLOOKUP($D59,kong_p1_var!$B$20:$H$26,SUBSTITUTE(N$1,"target_","") + 1,FALSE),":",$E59))</f>
        <v>172.16.148.200:31308</v>
      </c>
      <c r="O59" t="str">
        <f>VLOOKUP($D59,kong_p1_var!$B$10:$D$16,3,FALSE)</f>
        <v>172.16.149.151</v>
      </c>
      <c r="P59" t="str">
        <f>CONCATENATE("/",C59,MID(D59,2,15),"/",svc!$I58)</f>
        <v>/trust810/bes_cre_im008_notification_message_management</v>
      </c>
      <c r="Q59" t="str">
        <f>VLOOKUP(C59,kong_p1_var!$B$6:$C$7,2,FALSE)</f>
        <v>http://172.16.148.160:8001</v>
      </c>
      <c r="R59" t="str">
        <f>SUBSTITUTE(SUBSTITUTE(kong_p1_var!$J$1,"&lt;upstream_name&gt;",$F59),"&lt;kong_api_url&gt;",$Q59)</f>
        <v>curl -X PUT http://172.16.148.160:8001/upstreams/ups-v810-bes_cre_im008_notification_message_management</v>
      </c>
      <c r="S59" t="str">
        <f>SUBSTITUTE(SUBSTITUTE(SUBSTITUTE(SUBSTITUTE(kong_p1_var!$J$2,"&lt;kong_api_url&gt;",$Q59),"&lt;upstream_name&gt;",$F59),"&lt;port&gt;",$E59),"&lt;service_name&gt;",$G59)</f>
        <v>curl -X PUT http://172.16.148.160:8001/services/svc-v810-bes_cre_im008_notification_message_management -H "Content-Type: application/json" -d '{"protocol":"http","host":"ups-v810-bes_cre_im008_notification_message_management","port":31308}'</v>
      </c>
      <c r="T59" t="str">
        <f>SUBSTITUTE(SUBSTITUTE(SUBSTITUTE(SUBSTITUTE(SUBSTITUTE(kong_p1_var!$J$3,"&lt;kong_api_url&gt;",$Q59),"&lt;route_name&gt;",$H59),"&lt;service_name&gt;",$G59),"&lt;host&gt;",$O59),"&lt;path&gt;",$P59)</f>
        <v>curl -X PUT http://172.16.148.160:8001/services/svc-v810-bes_cre_im008_notification_message_management/routes/route-v804-v810-bes_cre_im008_notification_message_management -H "Content-Type: application/json" -d '{"protocols":["http"],"hosts":["172.16.149.151"],"paths":["/trust810/bes_cre_im008_notification_message_management"]}'</v>
      </c>
      <c r="U59" t="str">
        <f t="shared" si="1"/>
        <v>curl -X POST http://172.16.148.160:8001/upstreams/ups-v810-bes_cre_im008_notification_message_management/targets -d 'target=172.16.148.195:31308'</v>
      </c>
      <c r="V59" t="str">
        <f t="shared" si="2"/>
        <v>curl -X POST http://172.16.148.160:8001/upstreams/ups-v810-bes_cre_im008_notification_message_management/targets -d 'target=172.16.148.196:31308'</v>
      </c>
      <c r="W59" t="str">
        <f t="shared" si="3"/>
        <v>curl -X POST http://172.16.148.160:8001/upstreams/ups-v810-bes_cre_im008_notification_message_management/targets -d 'target=172.16.148.197:31308'</v>
      </c>
      <c r="X59" t="str">
        <f t="shared" si="4"/>
        <v>curl -X POST http://172.16.148.160:8001/upstreams/ups-v810-bes_cre_im008_notification_message_management/targets -d 'target=172.16.148.198:31308'</v>
      </c>
      <c r="Y59" t="str">
        <f t="shared" si="5"/>
        <v>curl -X POST http://172.16.148.160:8001/upstreams/ups-v810-bes_cre_im008_notification_message_management/targets -d 'target=172.16.148.199:31308'</v>
      </c>
      <c r="Z59" t="str">
        <f t="shared" si="6"/>
        <v>curl -X POST http://172.16.148.160:8001/upstreams/ups-v810-bes_cre_im008_notification_message_management/targets -d 'target=172.16.148.200:31308'</v>
      </c>
    </row>
    <row r="60" spans="1:26">
      <c r="A60">
        <f>IF(ISNUMBER(SEARCH("rest_api",svc!R59)),1,0)</f>
        <v>1</v>
      </c>
      <c r="C60" t="str">
        <f>svc!D59</f>
        <v>trust</v>
      </c>
      <c r="D60" t="str">
        <f>svc!$B59</f>
        <v>v510</v>
      </c>
      <c r="E60">
        <f>svc!G59</f>
        <v>31309</v>
      </c>
      <c r="F60" t="str">
        <f>CONCATENATE("ups-",svc!$B59,"-",svc!I59)</f>
        <v>ups-v510-bes_cre_im009_notification_processor</v>
      </c>
      <c r="G60" t="str">
        <f>CONCATENATE("svc-",svc!$B59,"-",svc!I59)</f>
        <v>svc-v510-bes_cre_im009_notification_processor</v>
      </c>
      <c r="H60" t="str">
        <f>CONCATENATE("route-",VLOOKUP($D60,kong_p1_var!$B$10:$D$16,2,FALSE),"-",svc!$B59,"-",svc!I59)</f>
        <v>route-v504-v510-bes_cre_im009_notification_processor</v>
      </c>
      <c r="I60" t="str">
        <f>CONCATENATE(VLOOKUP($D60,kong_p1_var!$B$20:$H$26,SUBSTITUTE(I$1,"target_","") + 1,FALSE),":",$E60)</f>
        <v>172.16.148.131:31309</v>
      </c>
      <c r="J60" t="str">
        <f>CONCATENATE(VLOOKUP($D60,kong_p1_var!$B$20:$H$26,SUBSTITUTE(J$1,"target_","") + 1,FALSE),":",$E60)</f>
        <v>172.16.148.132:31309</v>
      </c>
      <c r="K60" t="str">
        <f>CONCATENATE(VLOOKUP($D60,kong_p1_var!$B$20:$H$26,SUBSTITUTE(K$1,"target_","") + 1,FALSE),":",$E60)</f>
        <v>172.16.148.133:31309</v>
      </c>
      <c r="L60" t="str">
        <f>IF($C60="dmz","",CONCATENATE(VLOOKUP($D60,kong_p1_var!$B$20:$H$26,SUBSTITUTE(L$1,"target_","") + 1,FALSE),":",$E60))</f>
        <v>172.16.148.134:31309</v>
      </c>
      <c r="M60" t="str">
        <f>IF($C60="dmz","",CONCATENATE(VLOOKUP($D60,kong_p1_var!$B$20:$H$26,SUBSTITUTE(M$1,"target_","") + 1,FALSE),":",$E60))</f>
        <v>172.16.148.135:31309</v>
      </c>
      <c r="N60" t="str">
        <f>IF($C60="dmz","",CONCATENATE(VLOOKUP($D60,kong_p1_var!$B$20:$H$26,SUBSTITUTE(N$1,"target_","") + 1,FALSE),":",$E60))</f>
        <v>172.16.148.136:31309</v>
      </c>
      <c r="O60" t="str">
        <f>VLOOKUP($D60,kong_p1_var!$B$10:$D$16,3,FALSE)</f>
        <v>172.16.149.183</v>
      </c>
      <c r="P60" t="str">
        <f>CONCATENATE("/",C60,MID(D60,2,15),"/",svc!$I59)</f>
        <v>/trust510/bes_cre_im009_notification_processor</v>
      </c>
      <c r="Q60" t="str">
        <f>VLOOKUP(C60,kong_p1_var!$B$6:$C$7,2,FALSE)</f>
        <v>http://172.16.148.160:8001</v>
      </c>
      <c r="R60" t="str">
        <f>SUBSTITUTE(SUBSTITUTE(kong_p1_var!$J$1,"&lt;upstream_name&gt;",$F60),"&lt;kong_api_url&gt;",$Q60)</f>
        <v>curl -X PUT http://172.16.148.160:8001/upstreams/ups-v510-bes_cre_im009_notification_processor</v>
      </c>
      <c r="S60" t="str">
        <f>SUBSTITUTE(SUBSTITUTE(SUBSTITUTE(SUBSTITUTE(kong_p1_var!$J$2,"&lt;kong_api_url&gt;",$Q60),"&lt;upstream_name&gt;",$F60),"&lt;port&gt;",$E60),"&lt;service_name&gt;",$G60)</f>
        <v>curl -X PUT http://172.16.148.160:8001/services/svc-v510-bes_cre_im009_notification_processor -H "Content-Type: application/json" -d '{"protocol":"http","host":"ups-v510-bes_cre_im009_notification_processor","port":31309}'</v>
      </c>
      <c r="T60" t="str">
        <f>SUBSTITUTE(SUBSTITUTE(SUBSTITUTE(SUBSTITUTE(SUBSTITUTE(kong_p1_var!$J$3,"&lt;kong_api_url&gt;",$Q60),"&lt;route_name&gt;",$H60),"&lt;service_name&gt;",$G60),"&lt;host&gt;",$O60),"&lt;path&gt;",$P60)</f>
        <v>curl -X PUT http://172.16.148.160:8001/services/svc-v510-bes_cre_im009_notification_processor/routes/route-v504-v510-bes_cre_im009_notification_processor -H "Content-Type: application/json" -d '{"protocols":["http"],"hosts":["172.16.149.183"],"paths":["/trust510/bes_cre_im009_notification_processor"]}'</v>
      </c>
      <c r="U60" t="str">
        <f t="shared" si="1"/>
        <v>curl -X POST http://172.16.148.160:8001/upstreams/ups-v510-bes_cre_im009_notification_processor/targets -d 'target=172.16.148.131:31309'</v>
      </c>
      <c r="V60" t="str">
        <f t="shared" si="2"/>
        <v>curl -X POST http://172.16.148.160:8001/upstreams/ups-v510-bes_cre_im009_notification_processor/targets -d 'target=172.16.148.132:31309'</v>
      </c>
      <c r="W60" t="str">
        <f t="shared" si="3"/>
        <v>curl -X POST http://172.16.148.160:8001/upstreams/ups-v510-bes_cre_im009_notification_processor/targets -d 'target=172.16.148.133:31309'</v>
      </c>
      <c r="X60" t="str">
        <f t="shared" si="4"/>
        <v>curl -X POST http://172.16.148.160:8001/upstreams/ups-v510-bes_cre_im009_notification_processor/targets -d 'target=172.16.148.134:31309'</v>
      </c>
      <c r="Y60" t="str">
        <f t="shared" si="5"/>
        <v>curl -X POST http://172.16.148.160:8001/upstreams/ups-v510-bes_cre_im009_notification_processor/targets -d 'target=172.16.148.135:31309'</v>
      </c>
      <c r="Z60" t="str">
        <f t="shared" si="6"/>
        <v>curl -X POST http://172.16.148.160:8001/upstreams/ups-v510-bes_cre_im009_notification_processor/targets -d 'target=172.16.148.136:31309'</v>
      </c>
    </row>
    <row r="61" spans="1:26">
      <c r="A61">
        <f>IF(ISNUMBER(SEARCH("rest_api",svc!R60)),1,0)</f>
        <v>1</v>
      </c>
      <c r="C61" t="str">
        <f>svc!D60</f>
        <v>trust</v>
      </c>
      <c r="D61" t="str">
        <f>svc!$B60</f>
        <v>v810</v>
      </c>
      <c r="E61">
        <f>svc!G60</f>
        <v>31309</v>
      </c>
      <c r="F61" t="str">
        <f>CONCATENATE("ups-",svc!$B60,"-",svc!I60)</f>
        <v>ups-v810-bes_cre_im009_notification_processor</v>
      </c>
      <c r="G61" t="str">
        <f>CONCATENATE("svc-",svc!$B60,"-",svc!I60)</f>
        <v>svc-v810-bes_cre_im009_notification_processor</v>
      </c>
      <c r="H61" t="str">
        <f>CONCATENATE("route-",VLOOKUP($D61,kong_p1_var!$B$10:$D$16,2,FALSE),"-",svc!$B60,"-",svc!I60)</f>
        <v>route-v804-v810-bes_cre_im009_notification_processor</v>
      </c>
      <c r="I61" t="str">
        <f>CONCATENATE(VLOOKUP($D61,kong_p1_var!$B$20:$H$26,SUBSTITUTE(I$1,"target_","") + 1,FALSE),":",$E61)</f>
        <v>172.16.148.195:31309</v>
      </c>
      <c r="J61" t="str">
        <f>CONCATENATE(VLOOKUP($D61,kong_p1_var!$B$20:$H$26,SUBSTITUTE(J$1,"target_","") + 1,FALSE),":",$E61)</f>
        <v>172.16.148.196:31309</v>
      </c>
      <c r="K61" t="str">
        <f>CONCATENATE(VLOOKUP($D61,kong_p1_var!$B$20:$H$26,SUBSTITUTE(K$1,"target_","") + 1,FALSE),":",$E61)</f>
        <v>172.16.148.197:31309</v>
      </c>
      <c r="L61" t="str">
        <f>IF($C61="dmz","",CONCATENATE(VLOOKUP($D61,kong_p1_var!$B$20:$H$26,SUBSTITUTE(L$1,"target_","") + 1,FALSE),":",$E61))</f>
        <v>172.16.148.198:31309</v>
      </c>
      <c r="M61" t="str">
        <f>IF($C61="dmz","",CONCATENATE(VLOOKUP($D61,kong_p1_var!$B$20:$H$26,SUBSTITUTE(M$1,"target_","") + 1,FALSE),":",$E61))</f>
        <v>172.16.148.199:31309</v>
      </c>
      <c r="N61" t="str">
        <f>IF($C61="dmz","",CONCATENATE(VLOOKUP($D61,kong_p1_var!$B$20:$H$26,SUBSTITUTE(N$1,"target_","") + 1,FALSE),":",$E61))</f>
        <v>172.16.148.200:31309</v>
      </c>
      <c r="O61" t="str">
        <f>VLOOKUP($D61,kong_p1_var!$B$10:$D$16,3,FALSE)</f>
        <v>172.16.149.151</v>
      </c>
      <c r="P61" t="str">
        <f>CONCATENATE("/",C61,MID(D61,2,15),"/",svc!$I60)</f>
        <v>/trust810/bes_cre_im009_notification_processor</v>
      </c>
      <c r="Q61" t="str">
        <f>VLOOKUP(C61,kong_p1_var!$B$6:$C$7,2,FALSE)</f>
        <v>http://172.16.148.160:8001</v>
      </c>
      <c r="R61" t="str">
        <f>SUBSTITUTE(SUBSTITUTE(kong_p1_var!$J$1,"&lt;upstream_name&gt;",$F61),"&lt;kong_api_url&gt;",$Q61)</f>
        <v>curl -X PUT http://172.16.148.160:8001/upstreams/ups-v810-bes_cre_im009_notification_processor</v>
      </c>
      <c r="S61" t="str">
        <f>SUBSTITUTE(SUBSTITUTE(SUBSTITUTE(SUBSTITUTE(kong_p1_var!$J$2,"&lt;kong_api_url&gt;",$Q61),"&lt;upstream_name&gt;",$F61),"&lt;port&gt;",$E61),"&lt;service_name&gt;",$G61)</f>
        <v>curl -X PUT http://172.16.148.160:8001/services/svc-v810-bes_cre_im009_notification_processor -H "Content-Type: application/json" -d '{"protocol":"http","host":"ups-v810-bes_cre_im009_notification_processor","port":31309}'</v>
      </c>
      <c r="T61" t="str">
        <f>SUBSTITUTE(SUBSTITUTE(SUBSTITUTE(SUBSTITUTE(SUBSTITUTE(kong_p1_var!$J$3,"&lt;kong_api_url&gt;",$Q61),"&lt;route_name&gt;",$H61),"&lt;service_name&gt;",$G61),"&lt;host&gt;",$O61),"&lt;path&gt;",$P61)</f>
        <v>curl -X PUT http://172.16.148.160:8001/services/svc-v810-bes_cre_im009_notification_processor/routes/route-v804-v810-bes_cre_im009_notification_processor -H "Content-Type: application/json" -d '{"protocols":["http"],"hosts":["172.16.149.151"],"paths":["/trust810/bes_cre_im009_notification_processor"]}'</v>
      </c>
      <c r="U61" t="str">
        <f t="shared" si="1"/>
        <v>curl -X POST http://172.16.148.160:8001/upstreams/ups-v810-bes_cre_im009_notification_processor/targets -d 'target=172.16.148.195:31309'</v>
      </c>
      <c r="V61" t="str">
        <f t="shared" si="2"/>
        <v>curl -X POST http://172.16.148.160:8001/upstreams/ups-v810-bes_cre_im009_notification_processor/targets -d 'target=172.16.148.196:31309'</v>
      </c>
      <c r="W61" t="str">
        <f t="shared" si="3"/>
        <v>curl -X POST http://172.16.148.160:8001/upstreams/ups-v810-bes_cre_im009_notification_processor/targets -d 'target=172.16.148.197:31309'</v>
      </c>
      <c r="X61" t="str">
        <f t="shared" si="4"/>
        <v>curl -X POST http://172.16.148.160:8001/upstreams/ups-v810-bes_cre_im009_notification_processor/targets -d 'target=172.16.148.198:31309'</v>
      </c>
      <c r="Y61" t="str">
        <f t="shared" si="5"/>
        <v>curl -X POST http://172.16.148.160:8001/upstreams/ups-v810-bes_cre_im009_notification_processor/targets -d 'target=172.16.148.199:31309'</v>
      </c>
      <c r="Z61" t="str">
        <f t="shared" si="6"/>
        <v>curl -X POST http://172.16.148.160:8001/upstreams/ups-v810-bes_cre_im009_notification_processor/targets -d 'target=172.16.148.200:31309'</v>
      </c>
    </row>
    <row r="62" spans="1:26">
      <c r="A62">
        <f>IF(ISNUMBER(SEARCH("rest_api",svc!R61)),1,0)</f>
        <v>1</v>
      </c>
      <c r="C62" t="str">
        <f>svc!D61</f>
        <v>trust</v>
      </c>
      <c r="D62" t="str">
        <f>svc!$B61</f>
        <v>v510</v>
      </c>
      <c r="E62">
        <f>svc!G61</f>
        <v>31310</v>
      </c>
      <c r="F62" t="str">
        <f>CONCATENATE("ups-",svc!$B61,"-",svc!I61)</f>
        <v>ups-v510-bes_cre_im010_shortlink</v>
      </c>
      <c r="G62" t="str">
        <f>CONCATENATE("svc-",svc!$B61,"-",svc!I61)</f>
        <v>svc-v510-bes_cre_im010_shortlink</v>
      </c>
      <c r="H62" t="str">
        <f>CONCATENATE("route-",VLOOKUP($D62,kong_p1_var!$B$10:$D$16,2,FALSE),"-",svc!$B61,"-",svc!I61)</f>
        <v>route-v504-v510-bes_cre_im010_shortlink</v>
      </c>
      <c r="I62" t="str">
        <f>CONCATENATE(VLOOKUP($D62,kong_p1_var!$B$20:$H$26,SUBSTITUTE(I$1,"target_","") + 1,FALSE),":",$E62)</f>
        <v>172.16.148.131:31310</v>
      </c>
      <c r="J62" t="str">
        <f>CONCATENATE(VLOOKUP($D62,kong_p1_var!$B$20:$H$26,SUBSTITUTE(J$1,"target_","") + 1,FALSE),":",$E62)</f>
        <v>172.16.148.132:31310</v>
      </c>
      <c r="K62" t="str">
        <f>CONCATENATE(VLOOKUP($D62,kong_p1_var!$B$20:$H$26,SUBSTITUTE(K$1,"target_","") + 1,FALSE),":",$E62)</f>
        <v>172.16.148.133:31310</v>
      </c>
      <c r="L62" t="str">
        <f>IF($C62="dmz","",CONCATENATE(VLOOKUP($D62,kong_p1_var!$B$20:$H$26,SUBSTITUTE(L$1,"target_","") + 1,FALSE),":",$E62))</f>
        <v>172.16.148.134:31310</v>
      </c>
      <c r="M62" t="str">
        <f>IF($C62="dmz","",CONCATENATE(VLOOKUP($D62,kong_p1_var!$B$20:$H$26,SUBSTITUTE(M$1,"target_","") + 1,FALSE),":",$E62))</f>
        <v>172.16.148.135:31310</v>
      </c>
      <c r="N62" t="str">
        <f>IF($C62="dmz","",CONCATENATE(VLOOKUP($D62,kong_p1_var!$B$20:$H$26,SUBSTITUTE(N$1,"target_","") + 1,FALSE),":",$E62))</f>
        <v>172.16.148.136:31310</v>
      </c>
      <c r="O62" t="str">
        <f>VLOOKUP($D62,kong_p1_var!$B$10:$D$16,3,FALSE)</f>
        <v>172.16.149.183</v>
      </c>
      <c r="P62" t="str">
        <f>CONCATENATE("/",C62,MID(D62,2,15),"/",svc!$I61)</f>
        <v>/trust510/bes_cre_im010_shortlink</v>
      </c>
      <c r="Q62" t="str">
        <f>VLOOKUP(C62,kong_p1_var!$B$6:$C$7,2,FALSE)</f>
        <v>http://172.16.148.160:8001</v>
      </c>
      <c r="R62" t="str">
        <f>SUBSTITUTE(SUBSTITUTE(kong_p1_var!$J$1,"&lt;upstream_name&gt;",$F62),"&lt;kong_api_url&gt;",$Q62)</f>
        <v>curl -X PUT http://172.16.148.160:8001/upstreams/ups-v510-bes_cre_im010_shortlink</v>
      </c>
      <c r="S62" t="str">
        <f>SUBSTITUTE(SUBSTITUTE(SUBSTITUTE(SUBSTITUTE(kong_p1_var!$J$2,"&lt;kong_api_url&gt;",$Q62),"&lt;upstream_name&gt;",$F62),"&lt;port&gt;",$E62),"&lt;service_name&gt;",$G62)</f>
        <v>curl -X PUT http://172.16.148.160:8001/services/svc-v510-bes_cre_im010_shortlink -H "Content-Type: application/json" -d '{"protocol":"http","host":"ups-v510-bes_cre_im010_shortlink","port":31310}'</v>
      </c>
      <c r="T62" t="str">
        <f>SUBSTITUTE(SUBSTITUTE(SUBSTITUTE(SUBSTITUTE(SUBSTITUTE(kong_p1_var!$J$3,"&lt;kong_api_url&gt;",$Q62),"&lt;route_name&gt;",$H62),"&lt;service_name&gt;",$G62),"&lt;host&gt;",$O62),"&lt;path&gt;",$P62)</f>
        <v>curl -X PUT http://172.16.148.160:8001/services/svc-v510-bes_cre_im010_shortlink/routes/route-v504-v510-bes_cre_im010_shortlink -H "Content-Type: application/json" -d '{"protocols":["http"],"hosts":["172.16.149.183"],"paths":["/trust510/bes_cre_im010_shortlink"]}'</v>
      </c>
      <c r="U62" t="str">
        <f t="shared" si="1"/>
        <v>curl -X POST http://172.16.148.160:8001/upstreams/ups-v510-bes_cre_im010_shortlink/targets -d 'target=172.16.148.131:31310'</v>
      </c>
      <c r="V62" t="str">
        <f t="shared" si="2"/>
        <v>curl -X POST http://172.16.148.160:8001/upstreams/ups-v510-bes_cre_im010_shortlink/targets -d 'target=172.16.148.132:31310'</v>
      </c>
      <c r="W62" t="str">
        <f t="shared" si="3"/>
        <v>curl -X POST http://172.16.148.160:8001/upstreams/ups-v510-bes_cre_im010_shortlink/targets -d 'target=172.16.148.133:31310'</v>
      </c>
      <c r="X62" t="str">
        <f t="shared" si="4"/>
        <v>curl -X POST http://172.16.148.160:8001/upstreams/ups-v510-bes_cre_im010_shortlink/targets -d 'target=172.16.148.134:31310'</v>
      </c>
      <c r="Y62" t="str">
        <f t="shared" si="5"/>
        <v>curl -X POST http://172.16.148.160:8001/upstreams/ups-v510-bes_cre_im010_shortlink/targets -d 'target=172.16.148.135:31310'</v>
      </c>
      <c r="Z62" t="str">
        <f t="shared" si="6"/>
        <v>curl -X POST http://172.16.148.160:8001/upstreams/ups-v510-bes_cre_im010_shortlink/targets -d 'target=172.16.148.136:31310'</v>
      </c>
    </row>
    <row r="63" spans="1:26">
      <c r="A63">
        <f>IF(ISNUMBER(SEARCH("rest_api",svc!R62)),1,0)</f>
        <v>1</v>
      </c>
      <c r="C63" t="str">
        <f>svc!D62</f>
        <v>trust</v>
      </c>
      <c r="D63" t="str">
        <f>svc!$B62</f>
        <v>v810</v>
      </c>
      <c r="E63">
        <f>svc!G62</f>
        <v>31310</v>
      </c>
      <c r="F63" t="str">
        <f>CONCATENATE("ups-",svc!$B62,"-",svc!I62)</f>
        <v>ups-v810-bes_cre_im010_shortlink</v>
      </c>
      <c r="G63" t="str">
        <f>CONCATENATE("svc-",svc!$B62,"-",svc!I62)</f>
        <v>svc-v810-bes_cre_im010_shortlink</v>
      </c>
      <c r="H63" t="str">
        <f>CONCATENATE("route-",VLOOKUP($D63,kong_p1_var!$B$10:$D$16,2,FALSE),"-",svc!$B62,"-",svc!I62)</f>
        <v>route-v804-v810-bes_cre_im010_shortlink</v>
      </c>
      <c r="I63" t="str">
        <f>CONCATENATE(VLOOKUP($D63,kong_p1_var!$B$20:$H$26,SUBSTITUTE(I$1,"target_","") + 1,FALSE),":",$E63)</f>
        <v>172.16.148.195:31310</v>
      </c>
      <c r="J63" t="str">
        <f>CONCATENATE(VLOOKUP($D63,kong_p1_var!$B$20:$H$26,SUBSTITUTE(J$1,"target_","") + 1,FALSE),":",$E63)</f>
        <v>172.16.148.196:31310</v>
      </c>
      <c r="K63" t="str">
        <f>CONCATENATE(VLOOKUP($D63,kong_p1_var!$B$20:$H$26,SUBSTITUTE(K$1,"target_","") + 1,FALSE),":",$E63)</f>
        <v>172.16.148.197:31310</v>
      </c>
      <c r="L63" t="str">
        <f>IF($C63="dmz","",CONCATENATE(VLOOKUP($D63,kong_p1_var!$B$20:$H$26,SUBSTITUTE(L$1,"target_","") + 1,FALSE),":",$E63))</f>
        <v>172.16.148.198:31310</v>
      </c>
      <c r="M63" t="str">
        <f>IF($C63="dmz","",CONCATENATE(VLOOKUP($D63,kong_p1_var!$B$20:$H$26,SUBSTITUTE(M$1,"target_","") + 1,FALSE),":",$E63))</f>
        <v>172.16.148.199:31310</v>
      </c>
      <c r="N63" t="str">
        <f>IF($C63="dmz","",CONCATENATE(VLOOKUP($D63,kong_p1_var!$B$20:$H$26,SUBSTITUTE(N$1,"target_","") + 1,FALSE),":",$E63))</f>
        <v>172.16.148.200:31310</v>
      </c>
      <c r="O63" t="str">
        <f>VLOOKUP($D63,kong_p1_var!$B$10:$D$16,3,FALSE)</f>
        <v>172.16.149.151</v>
      </c>
      <c r="P63" t="str">
        <f>CONCATENATE("/",C63,MID(D63,2,15),"/",svc!$I62)</f>
        <v>/trust810/bes_cre_im010_shortlink</v>
      </c>
      <c r="Q63" t="str">
        <f>VLOOKUP(C63,kong_p1_var!$B$6:$C$7,2,FALSE)</f>
        <v>http://172.16.148.160:8001</v>
      </c>
      <c r="R63" t="str">
        <f>SUBSTITUTE(SUBSTITUTE(kong_p1_var!$J$1,"&lt;upstream_name&gt;",$F63),"&lt;kong_api_url&gt;",$Q63)</f>
        <v>curl -X PUT http://172.16.148.160:8001/upstreams/ups-v810-bes_cre_im010_shortlink</v>
      </c>
      <c r="S63" t="str">
        <f>SUBSTITUTE(SUBSTITUTE(SUBSTITUTE(SUBSTITUTE(kong_p1_var!$J$2,"&lt;kong_api_url&gt;",$Q63),"&lt;upstream_name&gt;",$F63),"&lt;port&gt;",$E63),"&lt;service_name&gt;",$G63)</f>
        <v>curl -X PUT http://172.16.148.160:8001/services/svc-v810-bes_cre_im010_shortlink -H "Content-Type: application/json" -d '{"protocol":"http","host":"ups-v810-bes_cre_im010_shortlink","port":31310}'</v>
      </c>
      <c r="T63" t="str">
        <f>SUBSTITUTE(SUBSTITUTE(SUBSTITUTE(SUBSTITUTE(SUBSTITUTE(kong_p1_var!$J$3,"&lt;kong_api_url&gt;",$Q63),"&lt;route_name&gt;",$H63),"&lt;service_name&gt;",$G63),"&lt;host&gt;",$O63),"&lt;path&gt;",$P63)</f>
        <v>curl -X PUT http://172.16.148.160:8001/services/svc-v810-bes_cre_im010_shortlink/routes/route-v804-v810-bes_cre_im010_shortlink -H "Content-Type: application/json" -d '{"protocols":["http"],"hosts":["172.16.149.151"],"paths":["/trust810/bes_cre_im010_shortlink"]}'</v>
      </c>
      <c r="U63" t="str">
        <f t="shared" si="1"/>
        <v>curl -X POST http://172.16.148.160:8001/upstreams/ups-v810-bes_cre_im010_shortlink/targets -d 'target=172.16.148.195:31310'</v>
      </c>
      <c r="V63" t="str">
        <f t="shared" si="2"/>
        <v>curl -X POST http://172.16.148.160:8001/upstreams/ups-v810-bes_cre_im010_shortlink/targets -d 'target=172.16.148.196:31310'</v>
      </c>
      <c r="W63" t="str">
        <f t="shared" si="3"/>
        <v>curl -X POST http://172.16.148.160:8001/upstreams/ups-v810-bes_cre_im010_shortlink/targets -d 'target=172.16.148.197:31310'</v>
      </c>
      <c r="X63" t="str">
        <f t="shared" si="4"/>
        <v>curl -X POST http://172.16.148.160:8001/upstreams/ups-v810-bes_cre_im010_shortlink/targets -d 'target=172.16.148.198:31310'</v>
      </c>
      <c r="Y63" t="str">
        <f t="shared" si="5"/>
        <v>curl -X POST http://172.16.148.160:8001/upstreams/ups-v810-bes_cre_im010_shortlink/targets -d 'target=172.16.148.199:31310'</v>
      </c>
      <c r="Z63" t="str">
        <f t="shared" si="6"/>
        <v>curl -X POST http://172.16.148.160:8001/upstreams/ups-v810-bes_cre_im010_shortlink/targets -d 'target=172.16.148.200:31310'</v>
      </c>
    </row>
    <row r="64" spans="1:26">
      <c r="A64">
        <f>IF(ISNUMBER(SEARCH("rest_api",svc!R63)),1,0)</f>
        <v>0</v>
      </c>
      <c r="C64" t="str">
        <f>svc!D63</f>
        <v>trust</v>
      </c>
      <c r="D64" t="str">
        <f>svc!$B63</f>
        <v>v510</v>
      </c>
      <c r="E64" t="str">
        <f>svc!G63</f>
        <v>N/A</v>
      </c>
      <c r="F64" t="str">
        <f>CONCATENATE("ups-",svc!$B63,"-",svc!I63)</f>
        <v>ups-v510-bes_notification_pulsar_consumer_services</v>
      </c>
      <c r="G64" t="str">
        <f>CONCATENATE("svc-",svc!$B63,"-",svc!I63)</f>
        <v>svc-v510-bes_notification_pulsar_consumer_services</v>
      </c>
      <c r="H64" t="str">
        <f>CONCATENATE("route-",VLOOKUP($D64,kong_p2_var!$B$10:$D$16,2,FALSE),"-",svc!$B63,"-",svc!I63)</f>
        <v>route-v504-v510-bes_notification_pulsar_consumer_services</v>
      </c>
      <c r="I64" t="str">
        <f>CONCATENATE(VLOOKUP($D64,kong_p2_var!$B$20:$H$26,SUBSTITUTE(I$1,"target_","") + 1,FALSE),":",$E64)</f>
        <v>172.20.148.131:N/A</v>
      </c>
      <c r="J64" t="str">
        <f>CONCATENATE(VLOOKUP($D64,kong_p2_var!$B$20:$H$26,SUBSTITUTE(J$1,"target_","") + 1,FALSE),":",$E64)</f>
        <v>172.20.148.132:N/A</v>
      </c>
      <c r="K64" t="str">
        <f>CONCATENATE(VLOOKUP($D64,kong_p2_var!$B$20:$H$26,SUBSTITUTE(K$1,"target_","") + 1,FALSE),":",$E64)</f>
        <v>172.20.148.133:N/A</v>
      </c>
      <c r="L64" t="str">
        <f>IF($C64="dmz","",CONCATENATE(VLOOKUP($D64,kong_p2_var!$B$20:$H$26,SUBSTITUTE(L$1,"target_","") + 1,FALSE),":",$E64))</f>
        <v>172.20.148.134:N/A</v>
      </c>
      <c r="M64" t="str">
        <f>IF($C64="dmz","",CONCATENATE(VLOOKUP($D64,kong_p2_var!$B$20:$H$26,SUBSTITUTE(M$1,"target_","") + 1,FALSE),":",$E64))</f>
        <v>172.20.148.135:N/A</v>
      </c>
      <c r="N64" t="str">
        <f>IF($C64="dmz","",CONCATENATE(VLOOKUP($D64,kong_p2_var!$B$20:$H$26,SUBSTITUTE(N$1,"target_","") + 1,FALSE),":",$E64))</f>
        <v>172.20.148.136:N/A</v>
      </c>
      <c r="O64" t="str">
        <f>VLOOKUP($D64,kong_p2_var!$B$10:$D$16,3,FALSE)</f>
        <v>172.20.149.183</v>
      </c>
      <c r="P64" t="str">
        <f>CONCATENATE("/",C64,MID(D64,2,15),"/",svc!$I63)</f>
        <v>/trust510/bes_notification_pulsar_consumer_services</v>
      </c>
      <c r="Q64" t="str">
        <f>VLOOKUP(C64,kong_p2_var!$B$6:$C$7,2,FALSE)</f>
        <v>http://172.20.148.160:8001</v>
      </c>
      <c r="R64" t="str">
        <f>SUBSTITUTE(SUBSTITUTE(kong_p2_var!$J$1,"&lt;upstream_name&gt;",$F64),"&lt;kong_api_url&gt;",$Q64)</f>
        <v>curl -X PUT http://172.20.148.160:8001/upstreams/ups-v510-bes_notification_pulsar_consumer_services</v>
      </c>
      <c r="S64" t="str">
        <f>SUBSTITUTE(SUBSTITUTE(SUBSTITUTE(SUBSTITUTE(kong_p2_var!$J$2,"&lt;kong_api_url&gt;",$Q64),"&lt;upstream_name&gt;",$F64),"&lt;port&gt;",$E64),"&lt;service_name&gt;",$G64)</f>
        <v>curl -X PUT http://172.20.148.160:8001/services/svc-v510-bes_notification_pulsar_consumer_services -H "Content-Type: application/json" -d '{"protocol":"http","host":"ups-v510-bes_notification_pulsar_consumer_services","port":N/A}'</v>
      </c>
      <c r="T64" t="str">
        <f>SUBSTITUTE(SUBSTITUTE(SUBSTITUTE(SUBSTITUTE(SUBSTITUTE(kong_p2_var!$J$3,"&lt;kong_api_url&gt;",$Q64),"&lt;route_name&gt;",$H64),"&lt;service_name&gt;",$G64),"&lt;host&gt;",$O64),"&lt;path&gt;",$P64)</f>
        <v>curl -X PUT http://172.20.148.160:8001/services/svc-v510-bes_notification_pulsar_consumer_services/routes/route-v504-v510-bes_notification_pulsar_consumer_services -H "Content-Type: application/json" -d '{"protocols":["http"],"hosts":["172.20.149.183"],"paths":["/trust510/bes_notification_pulsar_consumer_services"]}'</v>
      </c>
      <c r="U64" t="str">
        <f t="shared" si="1"/>
        <v>curl -X POST http://172.20.148.160:8001/upstreams/ups-v510-bes_notification_pulsar_consumer_services/targets -d 'target=172.20.148.131:N/A'</v>
      </c>
      <c r="V64" t="str">
        <f t="shared" si="2"/>
        <v>curl -X POST http://172.20.148.160:8001/upstreams/ups-v510-bes_notification_pulsar_consumer_services/targets -d 'target=172.20.148.132:N/A'</v>
      </c>
      <c r="W64" t="str">
        <f t="shared" si="3"/>
        <v>curl -X POST http://172.20.148.160:8001/upstreams/ups-v510-bes_notification_pulsar_consumer_services/targets -d 'target=172.20.148.133:N/A'</v>
      </c>
      <c r="X64" t="str">
        <f t="shared" si="4"/>
        <v>curl -X POST http://172.20.148.160:8001/upstreams/ups-v510-bes_notification_pulsar_consumer_services/targets -d 'target=172.20.148.134:N/A'</v>
      </c>
      <c r="Y64" t="str">
        <f t="shared" si="5"/>
        <v>curl -X POST http://172.20.148.160:8001/upstreams/ups-v510-bes_notification_pulsar_consumer_services/targets -d 'target=172.20.148.135:N/A'</v>
      </c>
      <c r="Z64" t="str">
        <f t="shared" si="6"/>
        <v>curl -X POST http://172.20.148.160:8001/upstreams/ups-v510-bes_notification_pulsar_consumer_services/targets -d 'target=172.20.148.136:N/A'</v>
      </c>
    </row>
    <row r="65" spans="1:26">
      <c r="A65">
        <f>IF(ISNUMBER(SEARCH("rest_api",svc!R64)),1,0)</f>
        <v>0</v>
      </c>
      <c r="C65" t="str">
        <f>svc!D64</f>
        <v>trust</v>
      </c>
      <c r="D65" t="str">
        <f>svc!$B64</f>
        <v>v510</v>
      </c>
      <c r="E65" t="str">
        <f>svc!G64</f>
        <v>N/A</v>
      </c>
      <c r="F65" t="str">
        <f>CONCATENATE("ups-",svc!$B64,"-",svc!I64)</f>
        <v>ups-v510-bes_notification_push_app_services</v>
      </c>
      <c r="G65" t="str">
        <f>CONCATENATE("svc-",svc!$B64,"-",svc!I64)</f>
        <v>svc-v510-bes_notification_push_app_services</v>
      </c>
      <c r="H65" t="str">
        <f>CONCATENATE("route-",VLOOKUP($D65,kong_p2_var!$B$10:$D$16,2,FALSE),"-",svc!$B64,"-",svc!I64)</f>
        <v>route-v504-v510-bes_notification_push_app_services</v>
      </c>
      <c r="I65" t="str">
        <f>CONCATENATE(VLOOKUP($D65,kong_p2_var!$B$20:$H$26,SUBSTITUTE(I$1,"target_","") + 1,FALSE),":",$E65)</f>
        <v>172.20.148.131:N/A</v>
      </c>
      <c r="J65" t="str">
        <f>CONCATENATE(VLOOKUP($D65,kong_p2_var!$B$20:$H$26,SUBSTITUTE(J$1,"target_","") + 1,FALSE),":",$E65)</f>
        <v>172.20.148.132:N/A</v>
      </c>
      <c r="K65" t="str">
        <f>CONCATENATE(VLOOKUP($D65,kong_p2_var!$B$20:$H$26,SUBSTITUTE(K$1,"target_","") + 1,FALSE),":",$E65)</f>
        <v>172.20.148.133:N/A</v>
      </c>
      <c r="L65" t="str">
        <f>IF($C65="dmz","",CONCATENATE(VLOOKUP($D65,kong_p2_var!$B$20:$H$26,SUBSTITUTE(L$1,"target_","") + 1,FALSE),":",$E65))</f>
        <v>172.20.148.134:N/A</v>
      </c>
      <c r="M65" t="str">
        <f>IF($C65="dmz","",CONCATENATE(VLOOKUP($D65,kong_p2_var!$B$20:$H$26,SUBSTITUTE(M$1,"target_","") + 1,FALSE),":",$E65))</f>
        <v>172.20.148.135:N/A</v>
      </c>
      <c r="N65" t="str">
        <f>IF($C65="dmz","",CONCATENATE(VLOOKUP($D65,kong_p2_var!$B$20:$H$26,SUBSTITUTE(N$1,"target_","") + 1,FALSE),":",$E65))</f>
        <v>172.20.148.136:N/A</v>
      </c>
      <c r="O65" t="str">
        <f>VLOOKUP($D65,kong_p2_var!$B$10:$D$16,3,FALSE)</f>
        <v>172.20.149.183</v>
      </c>
      <c r="P65" t="str">
        <f>CONCATENATE("/",C65,MID(D65,2,15),"/",svc!$I64)</f>
        <v>/trust510/bes_notification_push_app_services</v>
      </c>
      <c r="Q65" t="str">
        <f>VLOOKUP(C65,kong_p2_var!$B$6:$C$7,2,FALSE)</f>
        <v>http://172.20.148.160:8001</v>
      </c>
      <c r="R65" t="str">
        <f>SUBSTITUTE(SUBSTITUTE(kong_p2_var!$J$1,"&lt;upstream_name&gt;",$F65),"&lt;kong_api_url&gt;",$Q65)</f>
        <v>curl -X PUT http://172.20.148.160:8001/upstreams/ups-v510-bes_notification_push_app_services</v>
      </c>
      <c r="S65" t="str">
        <f>SUBSTITUTE(SUBSTITUTE(SUBSTITUTE(SUBSTITUTE(kong_p2_var!$J$2,"&lt;kong_api_url&gt;",$Q65),"&lt;upstream_name&gt;",$F65),"&lt;port&gt;",$E65),"&lt;service_name&gt;",$G65)</f>
        <v>curl -X PUT http://172.20.148.160:8001/services/svc-v510-bes_notification_push_app_services -H "Content-Type: application/json" -d '{"protocol":"http","host":"ups-v510-bes_notification_push_app_services","port":N/A}'</v>
      </c>
      <c r="T65" t="str">
        <f>SUBSTITUTE(SUBSTITUTE(SUBSTITUTE(SUBSTITUTE(SUBSTITUTE(kong_p2_var!$J$3,"&lt;kong_api_url&gt;",$Q65),"&lt;route_name&gt;",$H65),"&lt;service_name&gt;",$G65),"&lt;host&gt;",$O65),"&lt;path&gt;",$P65)</f>
        <v>curl -X PUT http://172.20.148.160:8001/services/svc-v510-bes_notification_push_app_services/routes/route-v504-v510-bes_notification_push_app_services -H "Content-Type: application/json" -d '{"protocols":["http"],"hosts":["172.20.149.183"],"paths":["/trust510/bes_notification_push_app_services"]}'</v>
      </c>
      <c r="U65" t="str">
        <f t="shared" si="1"/>
        <v>curl -X POST http://172.20.148.160:8001/upstreams/ups-v510-bes_notification_push_app_services/targets -d 'target=172.20.148.131:N/A'</v>
      </c>
      <c r="V65" t="str">
        <f t="shared" si="2"/>
        <v>curl -X POST http://172.20.148.160:8001/upstreams/ups-v510-bes_notification_push_app_services/targets -d 'target=172.20.148.132:N/A'</v>
      </c>
      <c r="W65" t="str">
        <f t="shared" si="3"/>
        <v>curl -X POST http://172.20.148.160:8001/upstreams/ups-v510-bes_notification_push_app_services/targets -d 'target=172.20.148.133:N/A'</v>
      </c>
      <c r="X65" t="str">
        <f t="shared" si="4"/>
        <v>curl -X POST http://172.20.148.160:8001/upstreams/ups-v510-bes_notification_push_app_services/targets -d 'target=172.20.148.134:N/A'</v>
      </c>
      <c r="Y65" t="str">
        <f t="shared" si="5"/>
        <v>curl -X POST http://172.20.148.160:8001/upstreams/ups-v510-bes_notification_push_app_services/targets -d 'target=172.20.148.135:N/A'</v>
      </c>
      <c r="Z65" t="str">
        <f t="shared" si="6"/>
        <v>curl -X POST http://172.20.148.160:8001/upstreams/ups-v510-bes_notification_push_app_services/targets -d 'target=172.20.148.136:N/A'</v>
      </c>
    </row>
    <row r="66" spans="1:26">
      <c r="A66">
        <f>IF(ISNUMBER(SEARCH("rest_api",svc!R65)),1,0)</f>
        <v>0</v>
      </c>
      <c r="C66" t="str">
        <f>svc!D65</f>
        <v>trust</v>
      </c>
      <c r="D66" t="str">
        <f>svc!$B65</f>
        <v>v510</v>
      </c>
      <c r="E66" t="str">
        <f>svc!G65</f>
        <v>N/A</v>
      </c>
      <c r="F66" t="str">
        <f>CONCATENATE("ups-",svc!$B65,"-",svc!I65)</f>
        <v>ups-v510-bes_notification_push_email_services</v>
      </c>
      <c r="G66" t="str">
        <f>CONCATENATE("svc-",svc!$B65,"-",svc!I65)</f>
        <v>svc-v510-bes_notification_push_email_services</v>
      </c>
      <c r="H66" t="str">
        <f>CONCATENATE("route-",VLOOKUP($D66,kong_p2_var!$B$10:$D$16,2,FALSE),"-",svc!$B65,"-",svc!I65)</f>
        <v>route-v504-v510-bes_notification_push_email_services</v>
      </c>
      <c r="I66" t="str">
        <f>CONCATENATE(VLOOKUP($D66,kong_p2_var!$B$20:$H$26,SUBSTITUTE(I$1,"target_","") + 1,FALSE),":",$E66)</f>
        <v>172.20.148.131:N/A</v>
      </c>
      <c r="J66" t="str">
        <f>CONCATENATE(VLOOKUP($D66,kong_p2_var!$B$20:$H$26,SUBSTITUTE(J$1,"target_","") + 1,FALSE),":",$E66)</f>
        <v>172.20.148.132:N/A</v>
      </c>
      <c r="K66" t="str">
        <f>CONCATENATE(VLOOKUP($D66,kong_p2_var!$B$20:$H$26,SUBSTITUTE(K$1,"target_","") + 1,FALSE),":",$E66)</f>
        <v>172.20.148.133:N/A</v>
      </c>
      <c r="L66" t="str">
        <f>IF($C66="dmz","",CONCATENATE(VLOOKUP($D66,kong_p2_var!$B$20:$H$26,SUBSTITUTE(L$1,"target_","") + 1,FALSE),":",$E66))</f>
        <v>172.20.148.134:N/A</v>
      </c>
      <c r="M66" t="str">
        <f>IF($C66="dmz","",CONCATENATE(VLOOKUP($D66,kong_p2_var!$B$20:$H$26,SUBSTITUTE(M$1,"target_","") + 1,FALSE),":",$E66))</f>
        <v>172.20.148.135:N/A</v>
      </c>
      <c r="N66" t="str">
        <f>IF($C66="dmz","",CONCATENATE(VLOOKUP($D66,kong_p2_var!$B$20:$H$26,SUBSTITUTE(N$1,"target_","") + 1,FALSE),":",$E66))</f>
        <v>172.20.148.136:N/A</v>
      </c>
      <c r="O66" t="str">
        <f>VLOOKUP($D66,kong_p2_var!$B$10:$D$16,3,FALSE)</f>
        <v>172.20.149.183</v>
      </c>
      <c r="P66" t="str">
        <f>CONCATENATE("/",C66,MID(D66,2,15),"/",svc!$I65)</f>
        <v>/trust510/bes_notification_push_email_services</v>
      </c>
      <c r="Q66" t="str">
        <f>VLOOKUP(C66,kong_p2_var!$B$6:$C$7,2,FALSE)</f>
        <v>http://172.20.148.160:8001</v>
      </c>
      <c r="R66" t="str">
        <f>SUBSTITUTE(SUBSTITUTE(kong_p2_var!$J$1,"&lt;upstream_name&gt;",$F66),"&lt;kong_api_url&gt;",$Q66)</f>
        <v>curl -X PUT http://172.20.148.160:8001/upstreams/ups-v510-bes_notification_push_email_services</v>
      </c>
      <c r="S66" t="str">
        <f>SUBSTITUTE(SUBSTITUTE(SUBSTITUTE(SUBSTITUTE(kong_p2_var!$J$2,"&lt;kong_api_url&gt;",$Q66),"&lt;upstream_name&gt;",$F66),"&lt;port&gt;",$E66),"&lt;service_name&gt;",$G66)</f>
        <v>curl -X PUT http://172.20.148.160:8001/services/svc-v510-bes_notification_push_email_services -H "Content-Type: application/json" -d '{"protocol":"http","host":"ups-v510-bes_notification_push_email_services","port":N/A}'</v>
      </c>
      <c r="T66" t="str">
        <f>SUBSTITUTE(SUBSTITUTE(SUBSTITUTE(SUBSTITUTE(SUBSTITUTE(kong_p2_var!$J$3,"&lt;kong_api_url&gt;",$Q66),"&lt;route_name&gt;",$H66),"&lt;service_name&gt;",$G66),"&lt;host&gt;",$O66),"&lt;path&gt;",$P66)</f>
        <v>curl -X PUT http://172.20.148.160:8001/services/svc-v510-bes_notification_push_email_services/routes/route-v504-v510-bes_notification_push_email_services -H "Content-Type: application/json" -d '{"protocols":["http"],"hosts":["172.20.149.183"],"paths":["/trust510/bes_notification_push_email_services"]}'</v>
      </c>
      <c r="U66" t="str">
        <f t="shared" si="1"/>
        <v>curl -X POST http://172.20.148.160:8001/upstreams/ups-v510-bes_notification_push_email_services/targets -d 'target=172.20.148.131:N/A'</v>
      </c>
      <c r="V66" t="str">
        <f t="shared" si="2"/>
        <v>curl -X POST http://172.20.148.160:8001/upstreams/ups-v510-bes_notification_push_email_services/targets -d 'target=172.20.148.132:N/A'</v>
      </c>
      <c r="W66" t="str">
        <f t="shared" si="3"/>
        <v>curl -X POST http://172.20.148.160:8001/upstreams/ups-v510-bes_notification_push_email_services/targets -d 'target=172.20.148.133:N/A'</v>
      </c>
      <c r="X66" t="str">
        <f t="shared" si="4"/>
        <v>curl -X POST http://172.20.148.160:8001/upstreams/ups-v510-bes_notification_push_email_services/targets -d 'target=172.20.148.134:N/A'</v>
      </c>
      <c r="Y66" t="str">
        <f t="shared" si="5"/>
        <v>curl -X POST http://172.20.148.160:8001/upstreams/ups-v510-bes_notification_push_email_services/targets -d 'target=172.20.148.135:N/A'</v>
      </c>
      <c r="Z66" t="str">
        <f t="shared" si="6"/>
        <v>curl -X POST http://172.20.148.160:8001/upstreams/ups-v510-bes_notification_push_email_services/targets -d 'target=172.20.148.136:N/A'</v>
      </c>
    </row>
    <row r="67" spans="1:26">
      <c r="A67">
        <f>IF(ISNUMBER(SEARCH("rest_api",svc!R66)),1,0)</f>
        <v>0</v>
      </c>
      <c r="C67" t="str">
        <f>svc!D66</f>
        <v>trust</v>
      </c>
      <c r="D67" t="str">
        <f>svc!$B66</f>
        <v>v510</v>
      </c>
      <c r="E67" t="str">
        <f>svc!G66</f>
        <v>N/A</v>
      </c>
      <c r="F67" t="str">
        <f>CONCATENATE("ups-",svc!$B66,"-",svc!I66)</f>
        <v>ups-v510-bes_notification_push_sms_services</v>
      </c>
      <c r="G67" t="str">
        <f>CONCATENATE("svc-",svc!$B66,"-",svc!I66)</f>
        <v>svc-v510-bes_notification_push_sms_services</v>
      </c>
      <c r="H67" t="str">
        <f>CONCATENATE("route-",VLOOKUP($D67,kong_p2_var!$B$10:$D$16,2,FALSE),"-",svc!$B66,"-",svc!I66)</f>
        <v>route-v504-v510-bes_notification_push_sms_services</v>
      </c>
      <c r="I67" t="str">
        <f>CONCATENATE(VLOOKUP($D67,kong_p2_var!$B$20:$H$26,SUBSTITUTE(I$1,"target_","") + 1,FALSE),":",$E67)</f>
        <v>172.20.148.131:N/A</v>
      </c>
      <c r="J67" t="str">
        <f>CONCATENATE(VLOOKUP($D67,kong_p2_var!$B$20:$H$26,SUBSTITUTE(J$1,"target_","") + 1,FALSE),":",$E67)</f>
        <v>172.20.148.132:N/A</v>
      </c>
      <c r="K67" t="str">
        <f>CONCATENATE(VLOOKUP($D67,kong_p2_var!$B$20:$H$26,SUBSTITUTE(K$1,"target_","") + 1,FALSE),":",$E67)</f>
        <v>172.20.148.133:N/A</v>
      </c>
      <c r="L67" t="str">
        <f>IF($C67="dmz","",CONCATENATE(VLOOKUP($D67,kong_p2_var!$B$20:$H$26,SUBSTITUTE(L$1,"target_","") + 1,FALSE),":",$E67))</f>
        <v>172.20.148.134:N/A</v>
      </c>
      <c r="M67" t="str">
        <f>IF($C67="dmz","",CONCATENATE(VLOOKUP($D67,kong_p2_var!$B$20:$H$26,SUBSTITUTE(M$1,"target_","") + 1,FALSE),":",$E67))</f>
        <v>172.20.148.135:N/A</v>
      </c>
      <c r="N67" t="str">
        <f>IF($C67="dmz","",CONCATENATE(VLOOKUP($D67,kong_p2_var!$B$20:$H$26,SUBSTITUTE(N$1,"target_","") + 1,FALSE),":",$E67))</f>
        <v>172.20.148.136:N/A</v>
      </c>
      <c r="O67" t="str">
        <f>VLOOKUP($D67,kong_p2_var!$B$10:$D$16,3,FALSE)</f>
        <v>172.20.149.183</v>
      </c>
      <c r="P67" t="str">
        <f>CONCATENATE("/",C67,MID(D67,2,15),"/",svc!$I66)</f>
        <v>/trust510/bes_notification_push_sms_services</v>
      </c>
      <c r="Q67" t="str">
        <f>VLOOKUP(C67,kong_p2_var!$B$6:$C$7,2,FALSE)</f>
        <v>http://172.20.148.160:8001</v>
      </c>
      <c r="R67" t="str">
        <f>SUBSTITUTE(SUBSTITUTE(kong_p2_var!$J$1,"&lt;upstream_name&gt;",$F67),"&lt;kong_api_url&gt;",$Q67)</f>
        <v>curl -X PUT http://172.20.148.160:8001/upstreams/ups-v510-bes_notification_push_sms_services</v>
      </c>
      <c r="S67" t="str">
        <f>SUBSTITUTE(SUBSTITUTE(SUBSTITUTE(SUBSTITUTE(kong_p2_var!$J$2,"&lt;kong_api_url&gt;",$Q67),"&lt;upstream_name&gt;",$F67),"&lt;port&gt;",$E67),"&lt;service_name&gt;",$G67)</f>
        <v>curl -X PUT http://172.20.148.160:8001/services/svc-v510-bes_notification_push_sms_services -H "Content-Type: application/json" -d '{"protocol":"http","host":"ups-v510-bes_notification_push_sms_services","port":N/A}'</v>
      </c>
      <c r="T67" t="str">
        <f>SUBSTITUTE(SUBSTITUTE(SUBSTITUTE(SUBSTITUTE(SUBSTITUTE(kong_p2_var!$J$3,"&lt;kong_api_url&gt;",$Q67),"&lt;route_name&gt;",$H67),"&lt;service_name&gt;",$G67),"&lt;host&gt;",$O67),"&lt;path&gt;",$P67)</f>
        <v>curl -X PUT http://172.20.148.160:8001/services/svc-v510-bes_notification_push_sms_services/routes/route-v504-v510-bes_notification_push_sms_services -H "Content-Type: application/json" -d '{"protocols":["http"],"hosts":["172.20.149.183"],"paths":["/trust510/bes_notification_push_sms_services"]}'</v>
      </c>
      <c r="U67" t="str">
        <f t="shared" ref="U67:U106" si="7">IF(I67="","","curl -X POST " &amp; $Q67 &amp; "/upstreams/"&amp; $F67 &amp;"/targets -d 'target="&amp; I67 &amp; "'")</f>
        <v>curl -X POST http://172.20.148.160:8001/upstreams/ups-v510-bes_notification_push_sms_services/targets -d 'target=172.20.148.131:N/A'</v>
      </c>
      <c r="V67" t="str">
        <f t="shared" ref="V67:V106" si="8">IF(J67="","","curl -X POST " &amp; $Q67 &amp; "/upstreams/"&amp; $F67 &amp;"/targets -d 'target="&amp; J67 &amp; "'")</f>
        <v>curl -X POST http://172.20.148.160:8001/upstreams/ups-v510-bes_notification_push_sms_services/targets -d 'target=172.20.148.132:N/A'</v>
      </c>
      <c r="W67" t="str">
        <f t="shared" ref="W67:W106" si="9">IF(K67="","","curl -X POST " &amp; $Q67 &amp; "/upstreams/"&amp; $F67 &amp;"/targets -d 'target="&amp; K67 &amp; "'")</f>
        <v>curl -X POST http://172.20.148.160:8001/upstreams/ups-v510-bes_notification_push_sms_services/targets -d 'target=172.20.148.133:N/A'</v>
      </c>
      <c r="X67" t="str">
        <f t="shared" ref="X67:X106" si="10">IF(L67="","","curl -X POST " &amp; $Q67 &amp; "/upstreams/"&amp; $F67 &amp;"/targets -d 'target="&amp; L67 &amp; "'")</f>
        <v>curl -X POST http://172.20.148.160:8001/upstreams/ups-v510-bes_notification_push_sms_services/targets -d 'target=172.20.148.134:N/A'</v>
      </c>
      <c r="Y67" t="str">
        <f t="shared" ref="Y67:Y106" si="11">IF(M67="","","curl -X POST " &amp; $Q67 &amp; "/upstreams/"&amp; $F67 &amp;"/targets -d 'target="&amp; M67 &amp; "'")</f>
        <v>curl -X POST http://172.20.148.160:8001/upstreams/ups-v510-bes_notification_push_sms_services/targets -d 'target=172.20.148.135:N/A'</v>
      </c>
      <c r="Z67" t="str">
        <f t="shared" ref="Z67:Z106" si="12">IF(N67="","","curl -X POST " &amp; $Q67 &amp; "/upstreams/"&amp; $F67 &amp;"/targets -d 'target="&amp; N67 &amp; "'")</f>
        <v>curl -X POST http://172.20.148.160:8001/upstreams/ups-v510-bes_notification_push_sms_services/targets -d 'target=172.20.148.136:N/A'</v>
      </c>
    </row>
    <row r="68" spans="1:26">
      <c r="A68">
        <f>IF(ISNUMBER(SEARCH("rest_api",svc!R67)),1,0)</f>
        <v>0</v>
      </c>
      <c r="C68" t="str">
        <f>svc!D67</f>
        <v>trust</v>
      </c>
      <c r="D68" t="str">
        <f>svc!$B67</f>
        <v>v510</v>
      </c>
      <c r="E68" t="str">
        <f>svc!G67</f>
        <v>N/A</v>
      </c>
      <c r="F68" t="str">
        <f>CONCATENATE("ups-",svc!$B67,"-",svc!I67)</f>
        <v>ups-v510-bes_send_schedule_notification_services</v>
      </c>
      <c r="G68" t="str">
        <f>CONCATENATE("svc-",svc!$B67,"-",svc!I67)</f>
        <v>svc-v510-bes_send_schedule_notification_services</v>
      </c>
      <c r="H68" t="str">
        <f>CONCATENATE("route-",VLOOKUP($D68,kong_p2_var!$B$10:$D$16,2,FALSE),"-",svc!$B67,"-",svc!I67)</f>
        <v>route-v504-v510-bes_send_schedule_notification_services</v>
      </c>
      <c r="I68" t="str">
        <f>CONCATENATE(VLOOKUP($D68,kong_p2_var!$B$20:$H$26,SUBSTITUTE(I$1,"target_","") + 1,FALSE),":",$E68)</f>
        <v>172.20.148.131:N/A</v>
      </c>
      <c r="J68" t="str">
        <f>CONCATENATE(VLOOKUP($D68,kong_p2_var!$B$20:$H$26,SUBSTITUTE(J$1,"target_","") + 1,FALSE),":",$E68)</f>
        <v>172.20.148.132:N/A</v>
      </c>
      <c r="K68" t="str">
        <f>CONCATENATE(VLOOKUP($D68,kong_p2_var!$B$20:$H$26,SUBSTITUTE(K$1,"target_","") + 1,FALSE),":",$E68)</f>
        <v>172.20.148.133:N/A</v>
      </c>
      <c r="L68" t="str">
        <f>IF($C68="dmz","",CONCATENATE(VLOOKUP($D68,kong_p2_var!$B$20:$H$26,SUBSTITUTE(L$1,"target_","") + 1,FALSE),":",$E68))</f>
        <v>172.20.148.134:N/A</v>
      </c>
      <c r="M68" t="str">
        <f>IF($C68="dmz","",CONCATENATE(VLOOKUP($D68,kong_p2_var!$B$20:$H$26,SUBSTITUTE(M$1,"target_","") + 1,FALSE),":",$E68))</f>
        <v>172.20.148.135:N/A</v>
      </c>
      <c r="N68" t="str">
        <f>IF($C68="dmz","",CONCATENATE(VLOOKUP($D68,kong_p2_var!$B$20:$H$26,SUBSTITUTE(N$1,"target_","") + 1,FALSE),":",$E68))</f>
        <v>172.20.148.136:N/A</v>
      </c>
      <c r="O68" t="str">
        <f>VLOOKUP($D68,kong_p2_var!$B$10:$D$16,3,FALSE)</f>
        <v>172.20.149.183</v>
      </c>
      <c r="P68" t="str">
        <f>CONCATENATE("/",C68,MID(D68,2,15),"/",svc!$I67)</f>
        <v>/trust510/bes_send_schedule_notification_services</v>
      </c>
      <c r="Q68" t="str">
        <f>VLOOKUP(C68,kong_p2_var!$B$6:$C$7,2,FALSE)</f>
        <v>http://172.20.148.160:8001</v>
      </c>
      <c r="R68" t="str">
        <f>SUBSTITUTE(SUBSTITUTE(kong_p2_var!$J$1,"&lt;upstream_name&gt;",$F68),"&lt;kong_api_url&gt;",$Q68)</f>
        <v>curl -X PUT http://172.20.148.160:8001/upstreams/ups-v510-bes_send_schedule_notification_services</v>
      </c>
      <c r="S68" t="str">
        <f>SUBSTITUTE(SUBSTITUTE(SUBSTITUTE(SUBSTITUTE(kong_p2_var!$J$2,"&lt;kong_api_url&gt;",$Q68),"&lt;upstream_name&gt;",$F68),"&lt;port&gt;",$E68),"&lt;service_name&gt;",$G68)</f>
        <v>curl -X PUT http://172.20.148.160:8001/services/svc-v510-bes_send_schedule_notification_services -H "Content-Type: application/json" -d '{"protocol":"http","host":"ups-v510-bes_send_schedule_notification_services","port":N/A}'</v>
      </c>
      <c r="T68" t="str">
        <f>SUBSTITUTE(SUBSTITUTE(SUBSTITUTE(SUBSTITUTE(SUBSTITUTE(kong_p2_var!$J$3,"&lt;kong_api_url&gt;",$Q68),"&lt;route_name&gt;",$H68),"&lt;service_name&gt;",$G68),"&lt;host&gt;",$O68),"&lt;path&gt;",$P68)</f>
        <v>curl -X PUT http://172.20.148.160:8001/services/svc-v510-bes_send_schedule_notification_services/routes/route-v504-v510-bes_send_schedule_notification_services -H "Content-Type: application/json" -d '{"protocols":["http"],"hosts":["172.20.149.183"],"paths":["/trust510/bes_send_schedule_notification_services"]}'</v>
      </c>
      <c r="U68" t="str">
        <f t="shared" si="7"/>
        <v>curl -X POST http://172.20.148.160:8001/upstreams/ups-v510-bes_send_schedule_notification_services/targets -d 'target=172.20.148.131:N/A'</v>
      </c>
      <c r="V68" t="str">
        <f t="shared" si="8"/>
        <v>curl -X POST http://172.20.148.160:8001/upstreams/ups-v510-bes_send_schedule_notification_services/targets -d 'target=172.20.148.132:N/A'</v>
      </c>
      <c r="W68" t="str">
        <f t="shared" si="9"/>
        <v>curl -X POST http://172.20.148.160:8001/upstreams/ups-v510-bes_send_schedule_notification_services/targets -d 'target=172.20.148.133:N/A'</v>
      </c>
      <c r="X68" t="str">
        <f t="shared" si="10"/>
        <v>curl -X POST http://172.20.148.160:8001/upstreams/ups-v510-bes_send_schedule_notification_services/targets -d 'target=172.20.148.134:N/A'</v>
      </c>
      <c r="Y68" t="str">
        <f t="shared" si="11"/>
        <v>curl -X POST http://172.20.148.160:8001/upstreams/ups-v510-bes_send_schedule_notification_services/targets -d 'target=172.20.148.135:N/A'</v>
      </c>
      <c r="Z68" t="str">
        <f t="shared" si="12"/>
        <v>curl -X POST http://172.20.148.160:8001/upstreams/ups-v510-bes_send_schedule_notification_services/targets -d 'target=172.20.148.136:N/A'</v>
      </c>
    </row>
    <row r="69" spans="1:26">
      <c r="A69">
        <f>IF(ISNUMBER(SEARCH("rest_api",svc!R68)),1,0)</f>
        <v>1</v>
      </c>
      <c r="C69" t="str">
        <f>svc!D68</f>
        <v>trust</v>
      </c>
      <c r="D69" t="str">
        <f>svc!$B68</f>
        <v>v510</v>
      </c>
      <c r="E69">
        <f>svc!G68</f>
        <v>31312</v>
      </c>
      <c r="F69" t="str">
        <f>CONCATENATE("ups-",svc!$B68,"-",svc!I68)</f>
        <v>ups-v510-bes_das_im001_general</v>
      </c>
      <c r="G69" t="str">
        <f>CONCATENATE("svc-",svc!$B68,"-",svc!I68)</f>
        <v>svc-v510-bes_das_im001_general</v>
      </c>
      <c r="H69" t="str">
        <f>CONCATENATE("route-",VLOOKUP($D69,kong_p1_var!$B$10:$D$16,2,FALSE),"-",svc!$B68,"-",svc!I68)</f>
        <v>route-v504-v510-bes_das_im001_general</v>
      </c>
      <c r="I69" t="str">
        <f>CONCATENATE(VLOOKUP($D69,kong_p1_var!$B$20:$H$26,SUBSTITUTE(I$1,"target_","") + 1,FALSE),":",$E69)</f>
        <v>172.16.148.131:31312</v>
      </c>
      <c r="J69" t="str">
        <f>CONCATENATE(VLOOKUP($D69,kong_p1_var!$B$20:$H$26,SUBSTITUTE(J$1,"target_","") + 1,FALSE),":",$E69)</f>
        <v>172.16.148.132:31312</v>
      </c>
      <c r="K69" t="str">
        <f>CONCATENATE(VLOOKUP($D69,kong_p1_var!$B$20:$H$26,SUBSTITUTE(K$1,"target_","") + 1,FALSE),":",$E69)</f>
        <v>172.16.148.133:31312</v>
      </c>
      <c r="L69" t="str">
        <f>IF($C69="dmz","",CONCATENATE(VLOOKUP($D69,kong_p1_var!$B$20:$H$26,SUBSTITUTE(L$1,"target_","") + 1,FALSE),":",$E69))</f>
        <v>172.16.148.134:31312</v>
      </c>
      <c r="M69" t="str">
        <f>IF($C69="dmz","",CONCATENATE(VLOOKUP($D69,kong_p1_var!$B$20:$H$26,SUBSTITUTE(M$1,"target_","") + 1,FALSE),":",$E69))</f>
        <v>172.16.148.135:31312</v>
      </c>
      <c r="N69" t="str">
        <f>IF($C69="dmz","",CONCATENATE(VLOOKUP($D69,kong_p1_var!$B$20:$H$26,SUBSTITUTE(N$1,"target_","") + 1,FALSE),":",$E69))</f>
        <v>172.16.148.136:31312</v>
      </c>
      <c r="O69" t="str">
        <f>VLOOKUP($D69,kong_p1_var!$B$10:$D$16,3,FALSE)</f>
        <v>172.16.149.183</v>
      </c>
      <c r="P69" t="str">
        <f>CONCATENATE("/",C69,MID(D69,2,15),"/",svc!$I68)</f>
        <v>/trust510/bes_das_im001_general</v>
      </c>
      <c r="Q69" t="str">
        <f>VLOOKUP(C69,kong_p1_var!$B$6:$C$7,2,FALSE)</f>
        <v>http://172.16.148.160:8001</v>
      </c>
      <c r="R69" t="str">
        <f>SUBSTITUTE(SUBSTITUTE(kong_p1_var!$J$1,"&lt;upstream_name&gt;",$F69),"&lt;kong_api_url&gt;",$Q69)</f>
        <v>curl -X PUT http://172.16.148.160:8001/upstreams/ups-v510-bes_das_im001_general</v>
      </c>
      <c r="S69" t="str">
        <f>SUBSTITUTE(SUBSTITUTE(SUBSTITUTE(SUBSTITUTE(kong_p1_var!$J$2,"&lt;kong_api_url&gt;",$Q69),"&lt;upstream_name&gt;",$F69),"&lt;port&gt;",$E69),"&lt;service_name&gt;",$G69)</f>
        <v>curl -X PUT http://172.16.148.160:8001/services/svc-v510-bes_das_im001_general -H "Content-Type: application/json" -d '{"protocol":"http","host":"ups-v510-bes_das_im001_general","port":31312}'</v>
      </c>
      <c r="T69" t="str">
        <f>SUBSTITUTE(SUBSTITUTE(SUBSTITUTE(SUBSTITUTE(SUBSTITUTE(kong_p1_var!$J$3,"&lt;kong_api_url&gt;",$Q69),"&lt;route_name&gt;",$H69),"&lt;service_name&gt;",$G69),"&lt;host&gt;",$O69),"&lt;path&gt;",$P69)</f>
        <v>curl -X PUT http://172.16.148.160:8001/services/svc-v510-bes_das_im001_general/routes/route-v504-v510-bes_das_im001_general -H "Content-Type: application/json" -d '{"protocols":["http"],"hosts":["172.16.149.183"],"paths":["/trust510/bes_das_im001_general"]}'</v>
      </c>
      <c r="U69" t="str">
        <f t="shared" si="7"/>
        <v>curl -X POST http://172.16.148.160:8001/upstreams/ups-v510-bes_das_im001_general/targets -d 'target=172.16.148.131:31312'</v>
      </c>
      <c r="V69" t="str">
        <f t="shared" si="8"/>
        <v>curl -X POST http://172.16.148.160:8001/upstreams/ups-v510-bes_das_im001_general/targets -d 'target=172.16.148.132:31312'</v>
      </c>
      <c r="W69" t="str">
        <f t="shared" si="9"/>
        <v>curl -X POST http://172.16.148.160:8001/upstreams/ups-v510-bes_das_im001_general/targets -d 'target=172.16.148.133:31312'</v>
      </c>
      <c r="X69" t="str">
        <f t="shared" si="10"/>
        <v>curl -X POST http://172.16.148.160:8001/upstreams/ups-v510-bes_das_im001_general/targets -d 'target=172.16.148.134:31312'</v>
      </c>
      <c r="Y69" t="str">
        <f t="shared" si="11"/>
        <v>curl -X POST http://172.16.148.160:8001/upstreams/ups-v510-bes_das_im001_general/targets -d 'target=172.16.148.135:31312'</v>
      </c>
      <c r="Z69" t="str">
        <f t="shared" si="12"/>
        <v>curl -X POST http://172.16.148.160:8001/upstreams/ups-v510-bes_das_im001_general/targets -d 'target=172.16.148.136:31312'</v>
      </c>
    </row>
    <row r="70" spans="1:26">
      <c r="A70">
        <f>IF(ISNUMBER(SEARCH("rest_api",svc!R69)),1,0)</f>
        <v>1</v>
      </c>
      <c r="C70" t="str">
        <f>svc!D69</f>
        <v>trust</v>
      </c>
      <c r="D70" t="str">
        <f>svc!$B69</f>
        <v>v510</v>
      </c>
      <c r="E70">
        <f>svc!G69</f>
        <v>31313</v>
      </c>
      <c r="F70" t="str">
        <f>CONCATENATE("ups-",svc!$B69,"-",svc!I69)</f>
        <v>ups-v510-bes_tsp_misc</v>
      </c>
      <c r="G70" t="str">
        <f>CONCATENATE("svc-",svc!$B69,"-",svc!I69)</f>
        <v>svc-v510-bes_tsp_misc</v>
      </c>
      <c r="H70" t="str">
        <f>CONCATENATE("route-",VLOOKUP($D70,kong_p1_var!$B$10:$D$16,2,FALSE),"-",svc!$B69,"-",svc!I69)</f>
        <v>route-v504-v510-bes_tsp_misc</v>
      </c>
      <c r="I70" t="str">
        <f>CONCATENATE(VLOOKUP($D70,kong_p1_var!$B$20:$H$26,SUBSTITUTE(I$1,"target_","") + 1,FALSE),":",$E70)</f>
        <v>172.16.148.131:31313</v>
      </c>
      <c r="J70" t="str">
        <f>CONCATENATE(VLOOKUP($D70,kong_p1_var!$B$20:$H$26,SUBSTITUTE(J$1,"target_","") + 1,FALSE),":",$E70)</f>
        <v>172.16.148.132:31313</v>
      </c>
      <c r="K70" t="str">
        <f>CONCATENATE(VLOOKUP($D70,kong_p1_var!$B$20:$H$26,SUBSTITUTE(K$1,"target_","") + 1,FALSE),":",$E70)</f>
        <v>172.16.148.133:31313</v>
      </c>
      <c r="L70" t="str">
        <f>IF($C70="dmz","",CONCATENATE(VLOOKUP($D70,kong_p1_var!$B$20:$H$26,SUBSTITUTE(L$1,"target_","") + 1,FALSE),":",$E70))</f>
        <v>172.16.148.134:31313</v>
      </c>
      <c r="M70" t="str">
        <f>IF($C70="dmz","",CONCATENATE(VLOOKUP($D70,kong_p1_var!$B$20:$H$26,SUBSTITUTE(M$1,"target_","") + 1,FALSE),":",$E70))</f>
        <v>172.16.148.135:31313</v>
      </c>
      <c r="N70" t="str">
        <f>IF($C70="dmz","",CONCATENATE(VLOOKUP($D70,kong_p1_var!$B$20:$H$26,SUBSTITUTE(N$1,"target_","") + 1,FALSE),":",$E70))</f>
        <v>172.16.148.136:31313</v>
      </c>
      <c r="O70" t="str">
        <f>VLOOKUP($D70,kong_p1_var!$B$10:$D$16,3,FALSE)</f>
        <v>172.16.149.183</v>
      </c>
      <c r="P70" t="str">
        <f>CONCATENATE("/",C70,MID(D70,2,15),"/",svc!$I69)</f>
        <v>/trust510/bes_tsp_misc</v>
      </c>
      <c r="Q70" t="str">
        <f>VLOOKUP(C70,kong_p1_var!$B$6:$C$7,2,FALSE)</f>
        <v>http://172.16.148.160:8001</v>
      </c>
      <c r="R70" t="str">
        <f>SUBSTITUTE(SUBSTITUTE(kong_p1_var!$J$1,"&lt;upstream_name&gt;",$F70),"&lt;kong_api_url&gt;",$Q70)</f>
        <v>curl -X PUT http://172.16.148.160:8001/upstreams/ups-v510-bes_tsp_misc</v>
      </c>
      <c r="S70" t="str">
        <f>SUBSTITUTE(SUBSTITUTE(SUBSTITUTE(SUBSTITUTE(kong_p1_var!$J$2,"&lt;kong_api_url&gt;",$Q70),"&lt;upstream_name&gt;",$F70),"&lt;port&gt;",$E70),"&lt;service_name&gt;",$G70)</f>
        <v>curl -X PUT http://172.16.148.160:8001/services/svc-v510-bes_tsp_misc -H "Content-Type: application/json" -d '{"protocol":"http","host":"ups-v510-bes_tsp_misc","port":31313}'</v>
      </c>
      <c r="T70" t="str">
        <f>SUBSTITUTE(SUBSTITUTE(SUBSTITUTE(SUBSTITUTE(SUBSTITUTE(kong_p1_var!$J$3,"&lt;kong_api_url&gt;",$Q70),"&lt;route_name&gt;",$H70),"&lt;service_name&gt;",$G70),"&lt;host&gt;",$O70),"&lt;path&gt;",$P70)</f>
        <v>curl -X PUT http://172.16.148.160:8001/services/svc-v510-bes_tsp_misc/routes/route-v504-v510-bes_tsp_misc -H "Content-Type: application/json" -d '{"protocols":["http"],"hosts":["172.16.149.183"],"paths":["/trust510/bes_tsp_misc"]}'</v>
      </c>
      <c r="U70" t="str">
        <f t="shared" si="7"/>
        <v>curl -X POST http://172.16.148.160:8001/upstreams/ups-v510-bes_tsp_misc/targets -d 'target=172.16.148.131:31313'</v>
      </c>
      <c r="V70" t="str">
        <f t="shared" si="8"/>
        <v>curl -X POST http://172.16.148.160:8001/upstreams/ups-v510-bes_tsp_misc/targets -d 'target=172.16.148.132:31313'</v>
      </c>
      <c r="W70" t="str">
        <f t="shared" si="9"/>
        <v>curl -X POST http://172.16.148.160:8001/upstreams/ups-v510-bes_tsp_misc/targets -d 'target=172.16.148.133:31313'</v>
      </c>
      <c r="X70" t="str">
        <f t="shared" si="10"/>
        <v>curl -X POST http://172.16.148.160:8001/upstreams/ups-v510-bes_tsp_misc/targets -d 'target=172.16.148.134:31313'</v>
      </c>
      <c r="Y70" t="str">
        <f t="shared" si="11"/>
        <v>curl -X POST http://172.16.148.160:8001/upstreams/ups-v510-bes_tsp_misc/targets -d 'target=172.16.148.135:31313'</v>
      </c>
      <c r="Z70" t="str">
        <f t="shared" si="12"/>
        <v>curl -X POST http://172.16.148.160:8001/upstreams/ups-v510-bes_tsp_misc/targets -d 'target=172.16.148.136:31313'</v>
      </c>
    </row>
    <row r="71" spans="1:26">
      <c r="A71">
        <f>IF(ISNUMBER(SEARCH("rest_api",svc!R70)),1,0)</f>
        <v>1</v>
      </c>
      <c r="C71" t="str">
        <f>svc!D70</f>
        <v>trust</v>
      </c>
      <c r="D71" t="str">
        <f>svc!$B70</f>
        <v>v510</v>
      </c>
      <c r="E71">
        <f>svc!G70</f>
        <v>31315</v>
      </c>
      <c r="F71" t="str">
        <f>CONCATENATE("ups-",svc!$B70,"-",svc!I70)</f>
        <v>ups-v510-bes_validv</v>
      </c>
      <c r="G71" t="str">
        <f>CONCATENATE("svc-",svc!$B70,"-",svc!I70)</f>
        <v>svc-v510-bes_validv</v>
      </c>
      <c r="H71" t="str">
        <f>CONCATENATE("route-",VLOOKUP($D71,kong_p1_var!$B$10:$D$16,2,FALSE),"-",svc!$B70,"-",svc!I70)</f>
        <v>route-v504-v510-bes_validv</v>
      </c>
      <c r="I71" t="str">
        <f>CONCATENATE(VLOOKUP($D71,kong_p1_var!$B$20:$H$26,SUBSTITUTE(I$1,"target_","") + 1,FALSE),":",$E71)</f>
        <v>172.16.148.131:31315</v>
      </c>
      <c r="J71" t="str">
        <f>CONCATENATE(VLOOKUP($D71,kong_p1_var!$B$20:$H$26,SUBSTITUTE(J$1,"target_","") + 1,FALSE),":",$E71)</f>
        <v>172.16.148.132:31315</v>
      </c>
      <c r="K71" t="str">
        <f>CONCATENATE(VLOOKUP($D71,kong_p1_var!$B$20:$H$26,SUBSTITUTE(K$1,"target_","") + 1,FALSE),":",$E71)</f>
        <v>172.16.148.133:31315</v>
      </c>
      <c r="L71" t="str">
        <f>IF($C71="dmz","",CONCATENATE(VLOOKUP($D71,kong_p1_var!$B$20:$H$26,SUBSTITUTE(L$1,"target_","") + 1,FALSE),":",$E71))</f>
        <v>172.16.148.134:31315</v>
      </c>
      <c r="M71" t="str">
        <f>IF($C71="dmz","",CONCATENATE(VLOOKUP($D71,kong_p1_var!$B$20:$H$26,SUBSTITUTE(M$1,"target_","") + 1,FALSE),":",$E71))</f>
        <v>172.16.148.135:31315</v>
      </c>
      <c r="N71" t="str">
        <f>IF($C71="dmz","",CONCATENATE(VLOOKUP($D71,kong_p1_var!$B$20:$H$26,SUBSTITUTE(N$1,"target_","") + 1,FALSE),":",$E71))</f>
        <v>172.16.148.136:31315</v>
      </c>
      <c r="O71" t="str">
        <f>VLOOKUP($D71,kong_p1_var!$B$10:$D$16,3,FALSE)</f>
        <v>172.16.149.183</v>
      </c>
      <c r="P71" t="str">
        <f>CONCATENATE("/",C71,MID(D71,2,15),"/",svc!$I70)</f>
        <v>/trust510/bes_validv</v>
      </c>
      <c r="Q71" t="str">
        <f>VLOOKUP(C71,kong_p1_var!$B$6:$C$7,2,FALSE)</f>
        <v>http://172.16.148.160:8001</v>
      </c>
      <c r="R71" t="str">
        <f>SUBSTITUTE(SUBSTITUTE(kong_p1_var!$J$1,"&lt;upstream_name&gt;",$F71),"&lt;kong_api_url&gt;",$Q71)</f>
        <v>curl -X PUT http://172.16.148.160:8001/upstreams/ups-v510-bes_validv</v>
      </c>
      <c r="S71" t="str">
        <f>SUBSTITUTE(SUBSTITUTE(SUBSTITUTE(SUBSTITUTE(kong_p1_var!$J$2,"&lt;kong_api_url&gt;",$Q71),"&lt;upstream_name&gt;",$F71),"&lt;port&gt;",$E71),"&lt;service_name&gt;",$G71)</f>
        <v>curl -X PUT http://172.16.148.160:8001/services/svc-v510-bes_validv -H "Content-Type: application/json" -d '{"protocol":"http","host":"ups-v510-bes_validv","port":31315}'</v>
      </c>
      <c r="T71" t="str">
        <f>SUBSTITUTE(SUBSTITUTE(SUBSTITUTE(SUBSTITUTE(SUBSTITUTE(kong_p1_var!$J$3,"&lt;kong_api_url&gt;",$Q71),"&lt;route_name&gt;",$H71),"&lt;service_name&gt;",$G71),"&lt;host&gt;",$O71),"&lt;path&gt;",$P71)</f>
        <v>curl -X PUT http://172.16.148.160:8001/services/svc-v510-bes_validv/routes/route-v504-v510-bes_validv -H "Content-Type: application/json" -d '{"protocols":["http"],"hosts":["172.16.149.183"],"paths":["/trust510/bes_validv"]}'</v>
      </c>
      <c r="U71" t="str">
        <f t="shared" si="7"/>
        <v>curl -X POST http://172.16.148.160:8001/upstreams/ups-v510-bes_validv/targets -d 'target=172.16.148.131:31315'</v>
      </c>
      <c r="V71" t="str">
        <f t="shared" si="8"/>
        <v>curl -X POST http://172.16.148.160:8001/upstreams/ups-v510-bes_validv/targets -d 'target=172.16.148.132:31315'</v>
      </c>
      <c r="W71" t="str">
        <f t="shared" si="9"/>
        <v>curl -X POST http://172.16.148.160:8001/upstreams/ups-v510-bes_validv/targets -d 'target=172.16.148.133:31315'</v>
      </c>
      <c r="X71" t="str">
        <f t="shared" si="10"/>
        <v>curl -X POST http://172.16.148.160:8001/upstreams/ups-v510-bes_validv/targets -d 'target=172.16.148.134:31315'</v>
      </c>
      <c r="Y71" t="str">
        <f t="shared" si="11"/>
        <v>curl -X POST http://172.16.148.160:8001/upstreams/ups-v510-bes_validv/targets -d 'target=172.16.148.135:31315'</v>
      </c>
      <c r="Z71" t="str">
        <f t="shared" si="12"/>
        <v>curl -X POST http://172.16.148.160:8001/upstreams/ups-v510-bes_validv/targets -d 'target=172.16.148.136:31315'</v>
      </c>
    </row>
    <row r="72" spans="1:26">
      <c r="A72">
        <f>IF(ISNUMBER(SEARCH("rest_api",svc!R71)),1,0)</f>
        <v>1</v>
      </c>
      <c r="C72" t="str">
        <f>svc!D71</f>
        <v>trust</v>
      </c>
      <c r="D72" t="str">
        <f>svc!$B71</f>
        <v>v510</v>
      </c>
      <c r="E72">
        <f>svc!G71</f>
        <v>31316</v>
      </c>
      <c r="F72" t="str">
        <f>CONCATENATE("ups-",svc!$B71,"-",svc!I71)</f>
        <v>ups-v510-bes_vssd</v>
      </c>
      <c r="G72" t="str">
        <f>CONCATENATE("svc-",svc!$B71,"-",svc!I71)</f>
        <v>svc-v510-bes_vssd</v>
      </c>
      <c r="H72" t="str">
        <f>CONCATENATE("route-",VLOOKUP($D72,kong_p1_var!$B$10:$D$16,2,FALSE),"-",svc!$B71,"-",svc!I71)</f>
        <v>route-v504-v510-bes_vssd</v>
      </c>
      <c r="I72" t="str">
        <f>CONCATENATE(VLOOKUP($D72,kong_p1_var!$B$20:$H$26,SUBSTITUTE(I$1,"target_","") + 1,FALSE),":",$E72)</f>
        <v>172.16.148.131:31316</v>
      </c>
      <c r="J72" t="str">
        <f>CONCATENATE(VLOOKUP($D72,kong_p1_var!$B$20:$H$26,SUBSTITUTE(J$1,"target_","") + 1,FALSE),":",$E72)</f>
        <v>172.16.148.132:31316</v>
      </c>
      <c r="K72" t="str">
        <f>CONCATENATE(VLOOKUP($D72,kong_p1_var!$B$20:$H$26,SUBSTITUTE(K$1,"target_","") + 1,FALSE),":",$E72)</f>
        <v>172.16.148.133:31316</v>
      </c>
      <c r="L72" t="str">
        <f>IF($C72="dmz","",CONCATENATE(VLOOKUP($D72,kong_p1_var!$B$20:$H$26,SUBSTITUTE(L$1,"target_","") + 1,FALSE),":",$E72))</f>
        <v>172.16.148.134:31316</v>
      </c>
      <c r="M72" t="str">
        <f>IF($C72="dmz","",CONCATENATE(VLOOKUP($D72,kong_p1_var!$B$20:$H$26,SUBSTITUTE(M$1,"target_","") + 1,FALSE),":",$E72))</f>
        <v>172.16.148.135:31316</v>
      </c>
      <c r="N72" t="str">
        <f>IF($C72="dmz","",CONCATENATE(VLOOKUP($D72,kong_p1_var!$B$20:$H$26,SUBSTITUTE(N$1,"target_","") + 1,FALSE),":",$E72))</f>
        <v>172.16.148.136:31316</v>
      </c>
      <c r="O72" t="str">
        <f>VLOOKUP($D72,kong_p1_var!$B$10:$D$16,3,FALSE)</f>
        <v>172.16.149.183</v>
      </c>
      <c r="P72" t="str">
        <f>CONCATENATE("/",C72,MID(D72,2,15),"/",svc!$I71)</f>
        <v>/trust510/bes_vssd</v>
      </c>
      <c r="Q72" t="str">
        <f>VLOOKUP(C72,kong_p1_var!$B$6:$C$7,2,FALSE)</f>
        <v>http://172.16.148.160:8001</v>
      </c>
      <c r="R72" t="str">
        <f>SUBSTITUTE(SUBSTITUTE(kong_p1_var!$J$1,"&lt;upstream_name&gt;",$F72),"&lt;kong_api_url&gt;",$Q72)</f>
        <v>curl -X PUT http://172.16.148.160:8001/upstreams/ups-v510-bes_vssd</v>
      </c>
      <c r="S72" t="str">
        <f>SUBSTITUTE(SUBSTITUTE(SUBSTITUTE(SUBSTITUTE(kong_p1_var!$J$2,"&lt;kong_api_url&gt;",$Q72),"&lt;upstream_name&gt;",$F72),"&lt;port&gt;",$E72),"&lt;service_name&gt;",$G72)</f>
        <v>curl -X PUT http://172.16.148.160:8001/services/svc-v510-bes_vssd -H "Content-Type: application/json" -d '{"protocol":"http","host":"ups-v510-bes_vssd","port":31316}'</v>
      </c>
      <c r="T72" t="str">
        <f>SUBSTITUTE(SUBSTITUTE(SUBSTITUTE(SUBSTITUTE(SUBSTITUTE(kong_p1_var!$J$3,"&lt;kong_api_url&gt;",$Q72),"&lt;route_name&gt;",$H72),"&lt;service_name&gt;",$G72),"&lt;host&gt;",$O72),"&lt;path&gt;",$P72)</f>
        <v>curl -X PUT http://172.16.148.160:8001/services/svc-v510-bes_vssd/routes/route-v504-v510-bes_vssd -H "Content-Type: application/json" -d '{"protocols":["http"],"hosts":["172.16.149.183"],"paths":["/trust510/bes_vssd"]}'</v>
      </c>
      <c r="U72" t="str">
        <f t="shared" si="7"/>
        <v>curl -X POST http://172.16.148.160:8001/upstreams/ups-v510-bes_vssd/targets -d 'target=172.16.148.131:31316'</v>
      </c>
      <c r="V72" t="str">
        <f t="shared" si="8"/>
        <v>curl -X POST http://172.16.148.160:8001/upstreams/ups-v510-bes_vssd/targets -d 'target=172.16.148.132:31316'</v>
      </c>
      <c r="W72" t="str">
        <f t="shared" si="9"/>
        <v>curl -X POST http://172.16.148.160:8001/upstreams/ups-v510-bes_vssd/targets -d 'target=172.16.148.133:31316'</v>
      </c>
      <c r="X72" t="str">
        <f t="shared" si="10"/>
        <v>curl -X POST http://172.16.148.160:8001/upstreams/ups-v510-bes_vssd/targets -d 'target=172.16.148.134:31316'</v>
      </c>
      <c r="Y72" t="str">
        <f t="shared" si="11"/>
        <v>curl -X POST http://172.16.148.160:8001/upstreams/ups-v510-bes_vssd/targets -d 'target=172.16.148.135:31316'</v>
      </c>
      <c r="Z72" t="str">
        <f t="shared" si="12"/>
        <v>curl -X POST http://172.16.148.160:8001/upstreams/ups-v510-bes_vssd/targets -d 'target=172.16.148.136:31316'</v>
      </c>
    </row>
    <row r="73" spans="1:26">
      <c r="A73">
        <f>IF(ISNUMBER(SEARCH("rest_api",svc!R72)),1,0)</f>
        <v>1</v>
      </c>
      <c r="C73" t="str">
        <f>svc!D72</f>
        <v>trust</v>
      </c>
      <c r="D73" t="str">
        <f>svc!$B72</f>
        <v>v510</v>
      </c>
      <c r="E73">
        <f>svc!G72</f>
        <v>31027</v>
      </c>
      <c r="F73" t="str">
        <f>CONCATENATE("ups-",svc!$B72,"-",svc!I72)</f>
        <v>ups-v510-ccms_api</v>
      </c>
      <c r="G73" t="str">
        <f>CONCATENATE("svc-",svc!$B72,"-",svc!I72)</f>
        <v>svc-v510-ccms_api</v>
      </c>
      <c r="H73" t="str">
        <f>CONCATENATE("route-",VLOOKUP($D73,kong_p1_var!$B$10:$D$16,2,FALSE),"-",svc!$B72,"-",svc!I72)</f>
        <v>route-v504-v510-ccms_api</v>
      </c>
      <c r="I73" t="str">
        <f>CONCATENATE(VLOOKUP($D73,kong_p1_var!$B$20:$H$26,SUBSTITUTE(I$1,"target_","") + 1,FALSE),":",$E73)</f>
        <v>172.16.148.131:31027</v>
      </c>
      <c r="J73" t="str">
        <f>CONCATENATE(VLOOKUP($D73,kong_p1_var!$B$20:$H$26,SUBSTITUTE(J$1,"target_","") + 1,FALSE),":",$E73)</f>
        <v>172.16.148.132:31027</v>
      </c>
      <c r="K73" t="str">
        <f>CONCATENATE(VLOOKUP($D73,kong_p1_var!$B$20:$H$26,SUBSTITUTE(K$1,"target_","") + 1,FALSE),":",$E73)</f>
        <v>172.16.148.133:31027</v>
      </c>
      <c r="L73" t="str">
        <f>IF($C73="dmz","",CONCATENATE(VLOOKUP($D73,kong_p1_var!$B$20:$H$26,SUBSTITUTE(L$1,"target_","") + 1,FALSE),":",$E73))</f>
        <v>172.16.148.134:31027</v>
      </c>
      <c r="M73" t="str">
        <f>IF($C73="dmz","",CONCATENATE(VLOOKUP($D73,kong_p1_var!$B$20:$H$26,SUBSTITUTE(M$1,"target_","") + 1,FALSE),":",$E73))</f>
        <v>172.16.148.135:31027</v>
      </c>
      <c r="N73" t="str">
        <f>IF($C73="dmz","",CONCATENATE(VLOOKUP($D73,kong_p1_var!$B$20:$H$26,SUBSTITUTE(N$1,"target_","") + 1,FALSE),":",$E73))</f>
        <v>172.16.148.136:31027</v>
      </c>
      <c r="O73" t="str">
        <f>VLOOKUP($D73,kong_p1_var!$B$10:$D$16,3,FALSE)</f>
        <v>172.16.149.183</v>
      </c>
      <c r="P73" t="str">
        <f>CONCATENATE("/",C73,MID(D73,2,15),"/",svc!$I72)</f>
        <v>/trust510/ccms_api</v>
      </c>
      <c r="Q73" t="str">
        <f>VLOOKUP(C73,kong_p1_var!$B$6:$C$7,2,FALSE)</f>
        <v>http://172.16.148.160:8001</v>
      </c>
      <c r="R73" t="str">
        <f>SUBSTITUTE(SUBSTITUTE(kong_p1_var!$J$1,"&lt;upstream_name&gt;",$F73),"&lt;kong_api_url&gt;",$Q73)</f>
        <v>curl -X PUT http://172.16.148.160:8001/upstreams/ups-v510-ccms_api</v>
      </c>
      <c r="S73" t="str">
        <f>SUBSTITUTE(SUBSTITUTE(SUBSTITUTE(SUBSTITUTE(kong_p1_var!$J$2,"&lt;kong_api_url&gt;",$Q73),"&lt;upstream_name&gt;",$F73),"&lt;port&gt;",$E73),"&lt;service_name&gt;",$G73)</f>
        <v>curl -X PUT http://172.16.148.160:8001/services/svc-v510-ccms_api -H "Content-Type: application/json" -d '{"protocol":"http","host":"ups-v510-ccms_api","port":31027}'</v>
      </c>
      <c r="T73" t="str">
        <f>SUBSTITUTE(SUBSTITUTE(SUBSTITUTE(SUBSTITUTE(SUBSTITUTE(kong_p1_var!$J$3,"&lt;kong_api_url&gt;",$Q73),"&lt;route_name&gt;",$H73),"&lt;service_name&gt;",$G73),"&lt;host&gt;",$O73),"&lt;path&gt;",$P73)</f>
        <v>curl -X PUT http://172.16.148.160:8001/services/svc-v510-ccms_api/routes/route-v504-v510-ccms_api -H "Content-Type: application/json" -d '{"protocols":["http"],"hosts":["172.16.149.183"],"paths":["/trust510/ccms_api"]}'</v>
      </c>
      <c r="U73" t="str">
        <f t="shared" si="7"/>
        <v>curl -X POST http://172.16.148.160:8001/upstreams/ups-v510-ccms_api/targets -d 'target=172.16.148.131:31027'</v>
      </c>
      <c r="V73" t="str">
        <f t="shared" si="8"/>
        <v>curl -X POST http://172.16.148.160:8001/upstreams/ups-v510-ccms_api/targets -d 'target=172.16.148.132:31027'</v>
      </c>
      <c r="W73" t="str">
        <f t="shared" si="9"/>
        <v>curl -X POST http://172.16.148.160:8001/upstreams/ups-v510-ccms_api/targets -d 'target=172.16.148.133:31027'</v>
      </c>
      <c r="X73" t="str">
        <f t="shared" si="10"/>
        <v>curl -X POST http://172.16.148.160:8001/upstreams/ups-v510-ccms_api/targets -d 'target=172.16.148.134:31027'</v>
      </c>
      <c r="Y73" t="str">
        <f t="shared" si="11"/>
        <v>curl -X POST http://172.16.148.160:8001/upstreams/ups-v510-ccms_api/targets -d 'target=172.16.148.135:31027'</v>
      </c>
      <c r="Z73" t="str">
        <f t="shared" si="12"/>
        <v>curl -X POST http://172.16.148.160:8001/upstreams/ups-v510-ccms_api/targets -d 'target=172.16.148.136:31027'</v>
      </c>
    </row>
    <row r="74" spans="1:26">
      <c r="A74">
        <f>IF(ISNUMBER(SEARCH("rest_api",svc!R73)),1,0)</f>
        <v>1</v>
      </c>
      <c r="C74" t="str">
        <f>svc!D73</f>
        <v>trust</v>
      </c>
      <c r="D74" t="str">
        <f>svc!$B73</f>
        <v>v510</v>
      </c>
      <c r="E74">
        <f>svc!G73</f>
        <v>31015</v>
      </c>
      <c r="F74" t="str">
        <f>CONCATENATE("ups-",svc!$B73,"-",svc!I73)</f>
        <v>ups-v510-central_db_services_accmgt</v>
      </c>
      <c r="G74" t="str">
        <f>CONCATENATE("svc-",svc!$B73,"-",svc!I73)</f>
        <v>svc-v510-central_db_services_accmgt</v>
      </c>
      <c r="H74" t="str">
        <f>CONCATENATE("route-",VLOOKUP($D74,kong_p1_var!$B$10:$D$16,2,FALSE),"-",svc!$B73,"-",svc!I73)</f>
        <v>route-v504-v510-central_db_services_accmgt</v>
      </c>
      <c r="I74" t="str">
        <f>CONCATENATE(VLOOKUP($D74,kong_p1_var!$B$20:$H$26,SUBSTITUTE(I$1,"target_","") + 1,FALSE),":",$E74)</f>
        <v>172.16.148.131:31015</v>
      </c>
      <c r="J74" t="str">
        <f>CONCATENATE(VLOOKUP($D74,kong_p1_var!$B$20:$H$26,SUBSTITUTE(J$1,"target_","") + 1,FALSE),":",$E74)</f>
        <v>172.16.148.132:31015</v>
      </c>
      <c r="K74" t="str">
        <f>CONCATENATE(VLOOKUP($D74,kong_p1_var!$B$20:$H$26,SUBSTITUTE(K$1,"target_","") + 1,FALSE),":",$E74)</f>
        <v>172.16.148.133:31015</v>
      </c>
      <c r="L74" t="str">
        <f>IF($C74="dmz","",CONCATENATE(VLOOKUP($D74,kong_p1_var!$B$20:$H$26,SUBSTITUTE(L$1,"target_","") + 1,FALSE),":",$E74))</f>
        <v>172.16.148.134:31015</v>
      </c>
      <c r="M74" t="str">
        <f>IF($C74="dmz","",CONCATENATE(VLOOKUP($D74,kong_p1_var!$B$20:$H$26,SUBSTITUTE(M$1,"target_","") + 1,FALSE),":",$E74))</f>
        <v>172.16.148.135:31015</v>
      </c>
      <c r="N74" t="str">
        <f>IF($C74="dmz","",CONCATENATE(VLOOKUP($D74,kong_p1_var!$B$20:$H$26,SUBSTITUTE(N$1,"target_","") + 1,FALSE),":",$E74))</f>
        <v>172.16.148.136:31015</v>
      </c>
      <c r="O74" t="str">
        <f>VLOOKUP($D74,kong_p1_var!$B$10:$D$16,3,FALSE)</f>
        <v>172.16.149.183</v>
      </c>
      <c r="P74" t="str">
        <f>CONCATENATE("/",C74,MID(D74,2,15),"/",svc!$I73)</f>
        <v>/trust510/central_db_services_accmgt</v>
      </c>
      <c r="Q74" t="str">
        <f>VLOOKUP(C74,kong_p1_var!$B$6:$C$7,2,FALSE)</f>
        <v>http://172.16.148.160:8001</v>
      </c>
      <c r="R74" t="str">
        <f>SUBSTITUTE(SUBSTITUTE(kong_p1_var!$J$1,"&lt;upstream_name&gt;",$F74),"&lt;kong_api_url&gt;",$Q74)</f>
        <v>curl -X PUT http://172.16.148.160:8001/upstreams/ups-v510-central_db_services_accmgt</v>
      </c>
      <c r="S74" t="str">
        <f>SUBSTITUTE(SUBSTITUTE(SUBSTITUTE(SUBSTITUTE(kong_p1_var!$J$2,"&lt;kong_api_url&gt;",$Q74),"&lt;upstream_name&gt;",$F74),"&lt;port&gt;",$E74),"&lt;service_name&gt;",$G74)</f>
        <v>curl -X PUT http://172.16.148.160:8001/services/svc-v510-central_db_services_accmgt -H "Content-Type: application/json" -d '{"protocol":"http","host":"ups-v510-central_db_services_accmgt","port":31015}'</v>
      </c>
      <c r="T74" t="str">
        <f>SUBSTITUTE(SUBSTITUTE(SUBSTITUTE(SUBSTITUTE(SUBSTITUTE(kong_p1_var!$J$3,"&lt;kong_api_url&gt;",$Q74),"&lt;route_name&gt;",$H74),"&lt;service_name&gt;",$G74),"&lt;host&gt;",$O74),"&lt;path&gt;",$P74)</f>
        <v>curl -X PUT http://172.16.148.160:8001/services/svc-v510-central_db_services_accmgt/routes/route-v504-v510-central_db_services_accmgt -H "Content-Type: application/json" -d '{"protocols":["http"],"hosts":["172.16.149.183"],"paths":["/trust510/central_db_services_accmgt"]}'</v>
      </c>
      <c r="U74" t="str">
        <f t="shared" si="7"/>
        <v>curl -X POST http://172.16.148.160:8001/upstreams/ups-v510-central_db_services_accmgt/targets -d 'target=172.16.148.131:31015'</v>
      </c>
      <c r="V74" t="str">
        <f t="shared" si="8"/>
        <v>curl -X POST http://172.16.148.160:8001/upstreams/ups-v510-central_db_services_accmgt/targets -d 'target=172.16.148.132:31015'</v>
      </c>
      <c r="W74" t="str">
        <f t="shared" si="9"/>
        <v>curl -X POST http://172.16.148.160:8001/upstreams/ups-v510-central_db_services_accmgt/targets -d 'target=172.16.148.133:31015'</v>
      </c>
      <c r="X74" t="str">
        <f t="shared" si="10"/>
        <v>curl -X POST http://172.16.148.160:8001/upstreams/ups-v510-central_db_services_accmgt/targets -d 'target=172.16.148.134:31015'</v>
      </c>
      <c r="Y74" t="str">
        <f t="shared" si="11"/>
        <v>curl -X POST http://172.16.148.160:8001/upstreams/ups-v510-central_db_services_accmgt/targets -d 'target=172.16.148.135:31015'</v>
      </c>
      <c r="Z74" t="str">
        <f t="shared" si="12"/>
        <v>curl -X POST http://172.16.148.160:8001/upstreams/ups-v510-central_db_services_accmgt/targets -d 'target=172.16.148.136:31015'</v>
      </c>
    </row>
    <row r="75" spans="1:26">
      <c r="A75">
        <f>IF(ISNUMBER(SEARCH("rest_api",svc!R74)),1,0)</f>
        <v>1</v>
      </c>
      <c r="C75" t="str">
        <f>svc!D74</f>
        <v>trust</v>
      </c>
      <c r="D75" t="str">
        <f>svc!$B74</f>
        <v>v510</v>
      </c>
      <c r="E75">
        <f>svc!G74</f>
        <v>31017</v>
      </c>
      <c r="F75" t="str">
        <f>CONCATENATE("ups-",svc!$B74,"-",svc!I74)</f>
        <v>ups-v510-central_db_services_ccms</v>
      </c>
      <c r="G75" t="str">
        <f>CONCATENATE("svc-",svc!$B74,"-",svc!I74)</f>
        <v>svc-v510-central_db_services_ccms</v>
      </c>
      <c r="H75" t="str">
        <f>CONCATENATE("route-",VLOOKUP($D75,kong_p1_var!$B$10:$D$16,2,FALSE),"-",svc!$B74,"-",svc!I74)</f>
        <v>route-v504-v510-central_db_services_ccms</v>
      </c>
      <c r="I75" t="str">
        <f>CONCATENATE(VLOOKUP($D75,kong_p1_var!$B$20:$H$26,SUBSTITUTE(I$1,"target_","") + 1,FALSE),":",$E75)</f>
        <v>172.16.148.131:31017</v>
      </c>
      <c r="J75" t="str">
        <f>CONCATENATE(VLOOKUP($D75,kong_p1_var!$B$20:$H$26,SUBSTITUTE(J$1,"target_","") + 1,FALSE),":",$E75)</f>
        <v>172.16.148.132:31017</v>
      </c>
      <c r="K75" t="str">
        <f>CONCATENATE(VLOOKUP($D75,kong_p1_var!$B$20:$H$26,SUBSTITUTE(K$1,"target_","") + 1,FALSE),":",$E75)</f>
        <v>172.16.148.133:31017</v>
      </c>
      <c r="L75" t="str">
        <f>IF($C75="dmz","",CONCATENATE(VLOOKUP($D75,kong_p1_var!$B$20:$H$26,SUBSTITUTE(L$1,"target_","") + 1,FALSE),":",$E75))</f>
        <v>172.16.148.134:31017</v>
      </c>
      <c r="M75" t="str">
        <f>IF($C75="dmz","",CONCATENATE(VLOOKUP($D75,kong_p1_var!$B$20:$H$26,SUBSTITUTE(M$1,"target_","") + 1,FALSE),":",$E75))</f>
        <v>172.16.148.135:31017</v>
      </c>
      <c r="N75" t="str">
        <f>IF($C75="dmz","",CONCATENATE(VLOOKUP($D75,kong_p1_var!$B$20:$H$26,SUBSTITUTE(N$1,"target_","") + 1,FALSE),":",$E75))</f>
        <v>172.16.148.136:31017</v>
      </c>
      <c r="O75" t="str">
        <f>VLOOKUP($D75,kong_p1_var!$B$10:$D$16,3,FALSE)</f>
        <v>172.16.149.183</v>
      </c>
      <c r="P75" t="str">
        <f>CONCATENATE("/",C75,MID(D75,2,15),"/",svc!$I74)</f>
        <v>/trust510/central_db_services_ccms</v>
      </c>
      <c r="Q75" t="str">
        <f>VLOOKUP(C75,kong_p1_var!$B$6:$C$7,2,FALSE)</f>
        <v>http://172.16.148.160:8001</v>
      </c>
      <c r="R75" t="str">
        <f>SUBSTITUTE(SUBSTITUTE(kong_p1_var!$J$1,"&lt;upstream_name&gt;",$F75),"&lt;kong_api_url&gt;",$Q75)</f>
        <v>curl -X PUT http://172.16.148.160:8001/upstreams/ups-v510-central_db_services_ccms</v>
      </c>
      <c r="S75" t="str">
        <f>SUBSTITUTE(SUBSTITUTE(SUBSTITUTE(SUBSTITUTE(kong_p1_var!$J$2,"&lt;kong_api_url&gt;",$Q75),"&lt;upstream_name&gt;",$F75),"&lt;port&gt;",$E75),"&lt;service_name&gt;",$G75)</f>
        <v>curl -X PUT http://172.16.148.160:8001/services/svc-v510-central_db_services_ccms -H "Content-Type: application/json" -d '{"protocol":"http","host":"ups-v510-central_db_services_ccms","port":31017}'</v>
      </c>
      <c r="T75" t="str">
        <f>SUBSTITUTE(SUBSTITUTE(SUBSTITUTE(SUBSTITUTE(SUBSTITUTE(kong_p1_var!$J$3,"&lt;kong_api_url&gt;",$Q75),"&lt;route_name&gt;",$H75),"&lt;service_name&gt;",$G75),"&lt;host&gt;",$O75),"&lt;path&gt;",$P75)</f>
        <v>curl -X PUT http://172.16.148.160:8001/services/svc-v510-central_db_services_ccms/routes/route-v504-v510-central_db_services_ccms -H "Content-Type: application/json" -d '{"protocols":["http"],"hosts":["172.16.149.183"],"paths":["/trust510/central_db_services_ccms"]}'</v>
      </c>
      <c r="U75" t="str">
        <f t="shared" si="7"/>
        <v>curl -X POST http://172.16.148.160:8001/upstreams/ups-v510-central_db_services_ccms/targets -d 'target=172.16.148.131:31017'</v>
      </c>
      <c r="V75" t="str">
        <f t="shared" si="8"/>
        <v>curl -X POST http://172.16.148.160:8001/upstreams/ups-v510-central_db_services_ccms/targets -d 'target=172.16.148.132:31017'</v>
      </c>
      <c r="W75" t="str">
        <f t="shared" si="9"/>
        <v>curl -X POST http://172.16.148.160:8001/upstreams/ups-v510-central_db_services_ccms/targets -d 'target=172.16.148.133:31017'</v>
      </c>
      <c r="X75" t="str">
        <f t="shared" si="10"/>
        <v>curl -X POST http://172.16.148.160:8001/upstreams/ups-v510-central_db_services_ccms/targets -d 'target=172.16.148.134:31017'</v>
      </c>
      <c r="Y75" t="str">
        <f t="shared" si="11"/>
        <v>curl -X POST http://172.16.148.160:8001/upstreams/ups-v510-central_db_services_ccms/targets -d 'target=172.16.148.135:31017'</v>
      </c>
      <c r="Z75" t="str">
        <f t="shared" si="12"/>
        <v>curl -X POST http://172.16.148.160:8001/upstreams/ups-v510-central_db_services_ccms/targets -d 'target=172.16.148.136:31017'</v>
      </c>
    </row>
    <row r="76" spans="1:26">
      <c r="A76">
        <f>IF(ISNUMBER(SEARCH("rest_api",svc!R75)),1,0)</f>
        <v>1</v>
      </c>
      <c r="C76" t="str">
        <f>svc!D75</f>
        <v>trust</v>
      </c>
      <c r="D76" t="str">
        <f>svc!$B75</f>
        <v>v510</v>
      </c>
      <c r="E76">
        <f>svc!G75</f>
        <v>31016</v>
      </c>
      <c r="F76" t="str">
        <f>CONCATENATE("ups-",svc!$B75,"-",svc!I75)</f>
        <v>ups-v510-central_db_services_core</v>
      </c>
      <c r="G76" t="str">
        <f>CONCATENATE("svc-",svc!$B75,"-",svc!I75)</f>
        <v>svc-v510-central_db_services_core</v>
      </c>
      <c r="H76" t="str">
        <f>CONCATENATE("route-",VLOOKUP($D76,kong_p1_var!$B$10:$D$16,2,FALSE),"-",svc!$B75,"-",svc!I75)</f>
        <v>route-v504-v510-central_db_services_core</v>
      </c>
      <c r="I76" t="str">
        <f>CONCATENATE(VLOOKUP($D76,kong_p1_var!$B$20:$H$26,SUBSTITUTE(I$1,"target_","") + 1,FALSE),":",$E76)</f>
        <v>172.16.148.131:31016</v>
      </c>
      <c r="J76" t="str">
        <f>CONCATENATE(VLOOKUP($D76,kong_p1_var!$B$20:$H$26,SUBSTITUTE(J$1,"target_","") + 1,FALSE),":",$E76)</f>
        <v>172.16.148.132:31016</v>
      </c>
      <c r="K76" t="str">
        <f>CONCATENATE(VLOOKUP($D76,kong_p1_var!$B$20:$H$26,SUBSTITUTE(K$1,"target_","") + 1,FALSE),":",$E76)</f>
        <v>172.16.148.133:31016</v>
      </c>
      <c r="L76" t="str">
        <f>IF($C76="dmz","",CONCATENATE(VLOOKUP($D76,kong_p1_var!$B$20:$H$26,SUBSTITUTE(L$1,"target_","") + 1,FALSE),":",$E76))</f>
        <v>172.16.148.134:31016</v>
      </c>
      <c r="M76" t="str">
        <f>IF($C76="dmz","",CONCATENATE(VLOOKUP($D76,kong_p1_var!$B$20:$H$26,SUBSTITUTE(M$1,"target_","") + 1,FALSE),":",$E76))</f>
        <v>172.16.148.135:31016</v>
      </c>
      <c r="N76" t="str">
        <f>IF($C76="dmz","",CONCATENATE(VLOOKUP($D76,kong_p1_var!$B$20:$H$26,SUBSTITUTE(N$1,"target_","") + 1,FALSE),":",$E76))</f>
        <v>172.16.148.136:31016</v>
      </c>
      <c r="O76" t="str">
        <f>VLOOKUP($D76,kong_p1_var!$B$10:$D$16,3,FALSE)</f>
        <v>172.16.149.183</v>
      </c>
      <c r="P76" t="str">
        <f>CONCATENATE("/",C76,MID(D76,2,15),"/",svc!$I75)</f>
        <v>/trust510/central_db_services_core</v>
      </c>
      <c r="Q76" t="str">
        <f>VLOOKUP(C76,kong_p1_var!$B$6:$C$7,2,FALSE)</f>
        <v>http://172.16.148.160:8001</v>
      </c>
      <c r="R76" t="str">
        <f>SUBSTITUTE(SUBSTITUTE(kong_p1_var!$J$1,"&lt;upstream_name&gt;",$F76),"&lt;kong_api_url&gt;",$Q76)</f>
        <v>curl -X PUT http://172.16.148.160:8001/upstreams/ups-v510-central_db_services_core</v>
      </c>
      <c r="S76" t="str">
        <f>SUBSTITUTE(SUBSTITUTE(SUBSTITUTE(SUBSTITUTE(kong_p1_var!$J$2,"&lt;kong_api_url&gt;",$Q76),"&lt;upstream_name&gt;",$F76),"&lt;port&gt;",$E76),"&lt;service_name&gt;",$G76)</f>
        <v>curl -X PUT http://172.16.148.160:8001/services/svc-v510-central_db_services_core -H "Content-Type: application/json" -d '{"protocol":"http","host":"ups-v510-central_db_services_core","port":31016}'</v>
      </c>
      <c r="T76" t="str">
        <f>SUBSTITUTE(SUBSTITUTE(SUBSTITUTE(SUBSTITUTE(SUBSTITUTE(kong_p1_var!$J$3,"&lt;kong_api_url&gt;",$Q76),"&lt;route_name&gt;",$H76),"&lt;service_name&gt;",$G76),"&lt;host&gt;",$O76),"&lt;path&gt;",$P76)</f>
        <v>curl -X PUT http://172.16.148.160:8001/services/svc-v510-central_db_services_core/routes/route-v504-v510-central_db_services_core -H "Content-Type: application/json" -d '{"protocols":["http"],"hosts":["172.16.149.183"],"paths":["/trust510/central_db_services_core"]}'</v>
      </c>
      <c r="U76" t="str">
        <f t="shared" si="7"/>
        <v>curl -X POST http://172.16.148.160:8001/upstreams/ups-v510-central_db_services_core/targets -d 'target=172.16.148.131:31016'</v>
      </c>
      <c r="V76" t="str">
        <f t="shared" si="8"/>
        <v>curl -X POST http://172.16.148.160:8001/upstreams/ups-v510-central_db_services_core/targets -d 'target=172.16.148.132:31016'</v>
      </c>
      <c r="W76" t="str">
        <f t="shared" si="9"/>
        <v>curl -X POST http://172.16.148.160:8001/upstreams/ups-v510-central_db_services_core/targets -d 'target=172.16.148.133:31016'</v>
      </c>
      <c r="X76" t="str">
        <f t="shared" si="10"/>
        <v>curl -X POST http://172.16.148.160:8001/upstreams/ups-v510-central_db_services_core/targets -d 'target=172.16.148.134:31016'</v>
      </c>
      <c r="Y76" t="str">
        <f t="shared" si="11"/>
        <v>curl -X POST http://172.16.148.160:8001/upstreams/ups-v510-central_db_services_core/targets -d 'target=172.16.148.135:31016'</v>
      </c>
      <c r="Z76" t="str">
        <f t="shared" si="12"/>
        <v>curl -X POST http://172.16.148.160:8001/upstreams/ups-v510-central_db_services_core/targets -d 'target=172.16.148.136:31016'</v>
      </c>
    </row>
    <row r="77" spans="1:26">
      <c r="A77">
        <f>IF(ISNUMBER(SEARCH("rest_api",svc!R76)),1,0)</f>
        <v>1</v>
      </c>
      <c r="C77" t="str">
        <f>svc!D76</f>
        <v>trust</v>
      </c>
      <c r="D77" t="str">
        <f>svc!$B76</f>
        <v>v810</v>
      </c>
      <c r="E77">
        <f>svc!G76</f>
        <v>31016</v>
      </c>
      <c r="F77" t="str">
        <f>CONCATENATE("ups-",svc!$B76,"-",svc!I76)</f>
        <v>ups-v810-central_db_services_core</v>
      </c>
      <c r="G77" t="str">
        <f>CONCATENATE("svc-",svc!$B76,"-",svc!I76)</f>
        <v>svc-v810-central_db_services_core</v>
      </c>
      <c r="H77" t="str">
        <f>CONCATENATE("route-",VLOOKUP($D77,kong_p1_var!$B$10:$D$16,2,FALSE),"-",svc!$B76,"-",svc!I76)</f>
        <v>route-v804-v810-central_db_services_core</v>
      </c>
      <c r="I77" t="str">
        <f>CONCATENATE(VLOOKUP($D77,kong_p1_var!$B$20:$H$26,SUBSTITUTE(I$1,"target_","") + 1,FALSE),":",$E77)</f>
        <v>172.16.148.195:31016</v>
      </c>
      <c r="J77" t="str">
        <f>CONCATENATE(VLOOKUP($D77,kong_p1_var!$B$20:$H$26,SUBSTITUTE(J$1,"target_","") + 1,FALSE),":",$E77)</f>
        <v>172.16.148.196:31016</v>
      </c>
      <c r="K77" t="str">
        <f>CONCATENATE(VLOOKUP($D77,kong_p1_var!$B$20:$H$26,SUBSTITUTE(K$1,"target_","") + 1,FALSE),":",$E77)</f>
        <v>172.16.148.197:31016</v>
      </c>
      <c r="L77" t="str">
        <f>IF($C77="dmz","",CONCATENATE(VLOOKUP($D77,kong_p1_var!$B$20:$H$26,SUBSTITUTE(L$1,"target_","") + 1,FALSE),":",$E77))</f>
        <v>172.16.148.198:31016</v>
      </c>
      <c r="M77" t="str">
        <f>IF($C77="dmz","",CONCATENATE(VLOOKUP($D77,kong_p1_var!$B$20:$H$26,SUBSTITUTE(M$1,"target_","") + 1,FALSE),":",$E77))</f>
        <v>172.16.148.199:31016</v>
      </c>
      <c r="N77" t="str">
        <f>IF($C77="dmz","",CONCATENATE(VLOOKUP($D77,kong_p1_var!$B$20:$H$26,SUBSTITUTE(N$1,"target_","") + 1,FALSE),":",$E77))</f>
        <v>172.16.148.200:31016</v>
      </c>
      <c r="O77" t="str">
        <f>VLOOKUP($D77,kong_p1_var!$B$10:$D$16,3,FALSE)</f>
        <v>172.16.149.151</v>
      </c>
      <c r="P77" t="str">
        <f>CONCATENATE("/",C77,MID(D77,2,15),"/",svc!$I76)</f>
        <v>/trust810/central_db_services_core</v>
      </c>
      <c r="Q77" t="str">
        <f>VLOOKUP(C77,kong_p1_var!$B$6:$C$7,2,FALSE)</f>
        <v>http://172.16.148.160:8001</v>
      </c>
      <c r="R77" t="str">
        <f>SUBSTITUTE(SUBSTITUTE(kong_p1_var!$J$1,"&lt;upstream_name&gt;",$F77),"&lt;kong_api_url&gt;",$Q77)</f>
        <v>curl -X PUT http://172.16.148.160:8001/upstreams/ups-v810-central_db_services_core</v>
      </c>
      <c r="S77" t="str">
        <f>SUBSTITUTE(SUBSTITUTE(SUBSTITUTE(SUBSTITUTE(kong_p1_var!$J$2,"&lt;kong_api_url&gt;",$Q77),"&lt;upstream_name&gt;",$F77),"&lt;port&gt;",$E77),"&lt;service_name&gt;",$G77)</f>
        <v>curl -X PUT http://172.16.148.160:8001/services/svc-v810-central_db_services_core -H "Content-Type: application/json" -d '{"protocol":"http","host":"ups-v810-central_db_services_core","port":31016}'</v>
      </c>
      <c r="T77" t="str">
        <f>SUBSTITUTE(SUBSTITUTE(SUBSTITUTE(SUBSTITUTE(SUBSTITUTE(kong_p1_var!$J$3,"&lt;kong_api_url&gt;",$Q77),"&lt;route_name&gt;",$H77),"&lt;service_name&gt;",$G77),"&lt;host&gt;",$O77),"&lt;path&gt;",$P77)</f>
        <v>curl -X PUT http://172.16.148.160:8001/services/svc-v810-central_db_services_core/routes/route-v804-v810-central_db_services_core -H "Content-Type: application/json" -d '{"protocols":["http"],"hosts":["172.16.149.151"],"paths":["/trust810/central_db_services_core"]}'</v>
      </c>
      <c r="U77" t="str">
        <f t="shared" si="7"/>
        <v>curl -X POST http://172.16.148.160:8001/upstreams/ups-v810-central_db_services_core/targets -d 'target=172.16.148.195:31016'</v>
      </c>
      <c r="V77" t="str">
        <f t="shared" si="8"/>
        <v>curl -X POST http://172.16.148.160:8001/upstreams/ups-v810-central_db_services_core/targets -d 'target=172.16.148.196:31016'</v>
      </c>
      <c r="W77" t="str">
        <f t="shared" si="9"/>
        <v>curl -X POST http://172.16.148.160:8001/upstreams/ups-v810-central_db_services_core/targets -d 'target=172.16.148.197:31016'</v>
      </c>
      <c r="X77" t="str">
        <f t="shared" si="10"/>
        <v>curl -X POST http://172.16.148.160:8001/upstreams/ups-v810-central_db_services_core/targets -d 'target=172.16.148.198:31016'</v>
      </c>
      <c r="Y77" t="str">
        <f t="shared" si="11"/>
        <v>curl -X POST http://172.16.148.160:8001/upstreams/ups-v810-central_db_services_core/targets -d 'target=172.16.148.199:31016'</v>
      </c>
      <c r="Z77" t="str">
        <f t="shared" si="12"/>
        <v>curl -X POST http://172.16.148.160:8001/upstreams/ups-v810-central_db_services_core/targets -d 'target=172.16.148.200:31016'</v>
      </c>
    </row>
    <row r="78" spans="1:26">
      <c r="A78">
        <f>IF(ISNUMBER(SEARCH("rest_api",svc!R77)),1,0)</f>
        <v>1</v>
      </c>
      <c r="C78" t="str">
        <f>svc!D77</f>
        <v>trust</v>
      </c>
      <c r="D78" t="str">
        <f>svc!$B77</f>
        <v>v510</v>
      </c>
      <c r="E78">
        <f>svc!G77</f>
        <v>31018</v>
      </c>
      <c r="F78" t="str">
        <f>CONCATENATE("ups-",svc!$B77,"-",svc!I77)</f>
        <v>ups-v510-central_db_services_ecms</v>
      </c>
      <c r="G78" t="str">
        <f>CONCATENATE("svc-",svc!$B77,"-",svc!I77)</f>
        <v>svc-v510-central_db_services_ecms</v>
      </c>
      <c r="H78" t="str">
        <f>CONCATENATE("route-",VLOOKUP($D78,kong_p1_var!$B$10:$D$16,2,FALSE),"-",svc!$B77,"-",svc!I77)</f>
        <v>route-v504-v510-central_db_services_ecms</v>
      </c>
      <c r="I78" t="str">
        <f>CONCATENATE(VLOOKUP($D78,kong_p1_var!$B$20:$H$26,SUBSTITUTE(I$1,"target_","") + 1,FALSE),":",$E78)</f>
        <v>172.16.148.131:31018</v>
      </c>
      <c r="J78" t="str">
        <f>CONCATENATE(VLOOKUP($D78,kong_p1_var!$B$20:$H$26,SUBSTITUTE(J$1,"target_","") + 1,FALSE),":",$E78)</f>
        <v>172.16.148.132:31018</v>
      </c>
      <c r="K78" t="str">
        <f>CONCATENATE(VLOOKUP($D78,kong_p1_var!$B$20:$H$26,SUBSTITUTE(K$1,"target_","") + 1,FALSE),":",$E78)</f>
        <v>172.16.148.133:31018</v>
      </c>
      <c r="L78" t="str">
        <f>IF($C78="dmz","",CONCATENATE(VLOOKUP($D78,kong_p1_var!$B$20:$H$26,SUBSTITUTE(L$1,"target_","") + 1,FALSE),":",$E78))</f>
        <v>172.16.148.134:31018</v>
      </c>
      <c r="M78" t="str">
        <f>IF($C78="dmz","",CONCATENATE(VLOOKUP($D78,kong_p1_var!$B$20:$H$26,SUBSTITUTE(M$1,"target_","") + 1,FALSE),":",$E78))</f>
        <v>172.16.148.135:31018</v>
      </c>
      <c r="N78" t="str">
        <f>IF($C78="dmz","",CONCATENATE(VLOOKUP($D78,kong_p1_var!$B$20:$H$26,SUBSTITUTE(N$1,"target_","") + 1,FALSE),":",$E78))</f>
        <v>172.16.148.136:31018</v>
      </c>
      <c r="O78" t="str">
        <f>VLOOKUP($D78,kong_p1_var!$B$10:$D$16,3,FALSE)</f>
        <v>172.16.149.183</v>
      </c>
      <c r="P78" t="str">
        <f>CONCATENATE("/",C78,MID(D78,2,15),"/",svc!$I77)</f>
        <v>/trust510/central_db_services_ecms</v>
      </c>
      <c r="Q78" t="str">
        <f>VLOOKUP(C78,kong_p1_var!$B$6:$C$7,2,FALSE)</f>
        <v>http://172.16.148.160:8001</v>
      </c>
      <c r="R78" t="str">
        <f>SUBSTITUTE(SUBSTITUTE(kong_p1_var!$J$1,"&lt;upstream_name&gt;",$F78),"&lt;kong_api_url&gt;",$Q78)</f>
        <v>curl -X PUT http://172.16.148.160:8001/upstreams/ups-v510-central_db_services_ecms</v>
      </c>
      <c r="S78" t="str">
        <f>SUBSTITUTE(SUBSTITUTE(SUBSTITUTE(SUBSTITUTE(kong_p1_var!$J$2,"&lt;kong_api_url&gt;",$Q78),"&lt;upstream_name&gt;",$F78),"&lt;port&gt;",$E78),"&lt;service_name&gt;",$G78)</f>
        <v>curl -X PUT http://172.16.148.160:8001/services/svc-v510-central_db_services_ecms -H "Content-Type: application/json" -d '{"protocol":"http","host":"ups-v510-central_db_services_ecms","port":31018}'</v>
      </c>
      <c r="T78" t="str">
        <f>SUBSTITUTE(SUBSTITUTE(SUBSTITUTE(SUBSTITUTE(SUBSTITUTE(kong_p1_var!$J$3,"&lt;kong_api_url&gt;",$Q78),"&lt;route_name&gt;",$H78),"&lt;service_name&gt;",$G78),"&lt;host&gt;",$O78),"&lt;path&gt;",$P78)</f>
        <v>curl -X PUT http://172.16.148.160:8001/services/svc-v510-central_db_services_ecms/routes/route-v504-v510-central_db_services_ecms -H "Content-Type: application/json" -d '{"protocols":["http"],"hosts":["172.16.149.183"],"paths":["/trust510/central_db_services_ecms"]}'</v>
      </c>
      <c r="U78" t="str">
        <f t="shared" si="7"/>
        <v>curl -X POST http://172.16.148.160:8001/upstreams/ups-v510-central_db_services_ecms/targets -d 'target=172.16.148.131:31018'</v>
      </c>
      <c r="V78" t="str">
        <f t="shared" si="8"/>
        <v>curl -X POST http://172.16.148.160:8001/upstreams/ups-v510-central_db_services_ecms/targets -d 'target=172.16.148.132:31018'</v>
      </c>
      <c r="W78" t="str">
        <f t="shared" si="9"/>
        <v>curl -X POST http://172.16.148.160:8001/upstreams/ups-v510-central_db_services_ecms/targets -d 'target=172.16.148.133:31018'</v>
      </c>
      <c r="X78" t="str">
        <f t="shared" si="10"/>
        <v>curl -X POST http://172.16.148.160:8001/upstreams/ups-v510-central_db_services_ecms/targets -d 'target=172.16.148.134:31018'</v>
      </c>
      <c r="Y78" t="str">
        <f t="shared" si="11"/>
        <v>curl -X POST http://172.16.148.160:8001/upstreams/ups-v510-central_db_services_ecms/targets -d 'target=172.16.148.135:31018'</v>
      </c>
      <c r="Z78" t="str">
        <f t="shared" si="12"/>
        <v>curl -X POST http://172.16.148.160:8001/upstreams/ups-v510-central_db_services_ecms/targets -d 'target=172.16.148.136:31018'</v>
      </c>
    </row>
    <row r="79" spans="1:26">
      <c r="A79">
        <f>IF(ISNUMBER(SEARCH("rest_api",svc!R78)),1,0)</f>
        <v>1</v>
      </c>
      <c r="C79" t="str">
        <f>svc!D78</f>
        <v>trust</v>
      </c>
      <c r="D79" t="str">
        <f>svc!$B78</f>
        <v>v510</v>
      </c>
      <c r="E79">
        <f>svc!G78</f>
        <v>31219</v>
      </c>
      <c r="F79" t="str">
        <f>CONCATENATE("ups-",svc!$B78,"-",svc!I78)</f>
        <v>ups-v510-central_db_services_das</v>
      </c>
      <c r="G79" t="str">
        <f>CONCATENATE("svc-",svc!$B78,"-",svc!I78)</f>
        <v>svc-v510-central_db_services_das</v>
      </c>
      <c r="H79" t="str">
        <f>CONCATENATE("route-",VLOOKUP($D79,kong_p1_var!$B$10:$D$16,2,FALSE),"-",svc!$B78,"-",svc!I78)</f>
        <v>route-v504-v510-central_db_services_das</v>
      </c>
      <c r="I79" t="str">
        <f>CONCATENATE(VLOOKUP($D79,kong_p1_var!$B$20:$H$26,SUBSTITUTE(I$1,"target_","") + 1,FALSE),":",$E79)</f>
        <v>172.16.148.131:31219</v>
      </c>
      <c r="J79" t="str">
        <f>CONCATENATE(VLOOKUP($D79,kong_p1_var!$B$20:$H$26,SUBSTITUTE(J$1,"target_","") + 1,FALSE),":",$E79)</f>
        <v>172.16.148.132:31219</v>
      </c>
      <c r="K79" t="str">
        <f>CONCATENATE(VLOOKUP($D79,kong_p1_var!$B$20:$H$26,SUBSTITUTE(K$1,"target_","") + 1,FALSE),":",$E79)</f>
        <v>172.16.148.133:31219</v>
      </c>
      <c r="L79" t="str">
        <f>IF($C79="dmz","",CONCATENATE(VLOOKUP($D79,kong_p1_var!$B$20:$H$26,SUBSTITUTE(L$1,"target_","") + 1,FALSE),":",$E79))</f>
        <v>172.16.148.134:31219</v>
      </c>
      <c r="M79" t="str">
        <f>IF($C79="dmz","",CONCATENATE(VLOOKUP($D79,kong_p1_var!$B$20:$H$26,SUBSTITUTE(M$1,"target_","") + 1,FALSE),":",$E79))</f>
        <v>172.16.148.135:31219</v>
      </c>
      <c r="N79" t="str">
        <f>IF($C79="dmz","",CONCATENATE(VLOOKUP($D79,kong_p1_var!$B$20:$H$26,SUBSTITUTE(N$1,"target_","") + 1,FALSE),":",$E79))</f>
        <v>172.16.148.136:31219</v>
      </c>
      <c r="O79" t="str">
        <f>VLOOKUP($D79,kong_p1_var!$B$10:$D$16,3,FALSE)</f>
        <v>172.16.149.183</v>
      </c>
      <c r="P79" t="str">
        <f>CONCATENATE("/",C79,MID(D79,2,15),"/",svc!$I78)</f>
        <v>/trust510/central_db_services_das</v>
      </c>
      <c r="Q79" t="str">
        <f>VLOOKUP(C79,kong_p1_var!$B$6:$C$7,2,FALSE)</f>
        <v>http://172.16.148.160:8001</v>
      </c>
      <c r="R79" t="str">
        <f>SUBSTITUTE(SUBSTITUTE(kong_p1_var!$J$1,"&lt;upstream_name&gt;",$F79),"&lt;kong_api_url&gt;",$Q79)</f>
        <v>curl -X PUT http://172.16.148.160:8001/upstreams/ups-v510-central_db_services_das</v>
      </c>
      <c r="S79" t="str">
        <f>SUBSTITUTE(SUBSTITUTE(SUBSTITUTE(SUBSTITUTE(kong_p1_var!$J$2,"&lt;kong_api_url&gt;",$Q79),"&lt;upstream_name&gt;",$F79),"&lt;port&gt;",$E79),"&lt;service_name&gt;",$G79)</f>
        <v>curl -X PUT http://172.16.148.160:8001/services/svc-v510-central_db_services_das -H "Content-Type: application/json" -d '{"protocol":"http","host":"ups-v510-central_db_services_das","port":31219}'</v>
      </c>
      <c r="T79" t="str">
        <f>SUBSTITUTE(SUBSTITUTE(SUBSTITUTE(SUBSTITUTE(SUBSTITUTE(kong_p1_var!$J$3,"&lt;kong_api_url&gt;",$Q79),"&lt;route_name&gt;",$H79),"&lt;service_name&gt;",$G79),"&lt;host&gt;",$O79),"&lt;path&gt;",$P79)</f>
        <v>curl -X PUT http://172.16.148.160:8001/services/svc-v510-central_db_services_das/routes/route-v504-v510-central_db_services_das -H "Content-Type: application/json" -d '{"protocols":["http"],"hosts":["172.16.149.183"],"paths":["/trust510/central_db_services_das"]}'</v>
      </c>
      <c r="U79" t="str">
        <f t="shared" si="7"/>
        <v>curl -X POST http://172.16.148.160:8001/upstreams/ups-v510-central_db_services_das/targets -d 'target=172.16.148.131:31219'</v>
      </c>
      <c r="V79" t="str">
        <f t="shared" si="8"/>
        <v>curl -X POST http://172.16.148.160:8001/upstreams/ups-v510-central_db_services_das/targets -d 'target=172.16.148.132:31219'</v>
      </c>
      <c r="W79" t="str">
        <f t="shared" si="9"/>
        <v>curl -X POST http://172.16.148.160:8001/upstreams/ups-v510-central_db_services_das/targets -d 'target=172.16.148.133:31219'</v>
      </c>
      <c r="X79" t="str">
        <f t="shared" si="10"/>
        <v>curl -X POST http://172.16.148.160:8001/upstreams/ups-v510-central_db_services_das/targets -d 'target=172.16.148.134:31219'</v>
      </c>
      <c r="Y79" t="str">
        <f t="shared" si="11"/>
        <v>curl -X POST http://172.16.148.160:8001/upstreams/ups-v510-central_db_services_das/targets -d 'target=172.16.148.135:31219'</v>
      </c>
      <c r="Z79" t="str">
        <f t="shared" si="12"/>
        <v>curl -X POST http://172.16.148.160:8001/upstreams/ups-v510-central_db_services_das/targets -d 'target=172.16.148.136:31219'</v>
      </c>
    </row>
    <row r="80" spans="1:26">
      <c r="A80">
        <f>IF(ISNUMBER(SEARCH("rest_api",svc!R79)),1,0)</f>
        <v>1</v>
      </c>
      <c r="C80" t="str">
        <f>svc!D79</f>
        <v>trust</v>
      </c>
      <c r="D80" t="str">
        <f>svc!$B79</f>
        <v>v510</v>
      </c>
      <c r="E80">
        <f>svc!G79</f>
        <v>31317</v>
      </c>
      <c r="F80" t="str">
        <f>CONCATENATE("ups-",svc!$B79,"-",svc!I79)</f>
        <v>ups-v510-conf_setting</v>
      </c>
      <c r="G80" t="str">
        <f>CONCATENATE("svc-",svc!$B79,"-",svc!I79)</f>
        <v>svc-v510-conf_setting</v>
      </c>
      <c r="H80" t="str">
        <f>CONCATENATE("route-",VLOOKUP($D80,kong_p1_var!$B$10:$D$16,2,FALSE),"-",svc!$B79,"-",svc!I79)</f>
        <v>route-v504-v510-conf_setting</v>
      </c>
      <c r="I80" t="str">
        <f>CONCATENATE(VLOOKUP($D80,kong_p1_var!$B$20:$H$26,SUBSTITUTE(I$1,"target_","") + 1,FALSE),":",$E80)</f>
        <v>172.16.148.131:31317</v>
      </c>
      <c r="J80" t="str">
        <f>CONCATENATE(VLOOKUP($D80,kong_p1_var!$B$20:$H$26,SUBSTITUTE(J$1,"target_","") + 1,FALSE),":",$E80)</f>
        <v>172.16.148.132:31317</v>
      </c>
      <c r="K80" t="str">
        <f>CONCATENATE(VLOOKUP($D80,kong_p1_var!$B$20:$H$26,SUBSTITUTE(K$1,"target_","") + 1,FALSE),":",$E80)</f>
        <v>172.16.148.133:31317</v>
      </c>
      <c r="L80" t="str">
        <f>IF($C80="dmz","",CONCATENATE(VLOOKUP($D80,kong_p1_var!$B$20:$H$26,SUBSTITUTE(L$1,"target_","") + 1,FALSE),":",$E80))</f>
        <v>172.16.148.134:31317</v>
      </c>
      <c r="M80" t="str">
        <f>IF($C80="dmz","",CONCATENATE(VLOOKUP($D80,kong_p1_var!$B$20:$H$26,SUBSTITUTE(M$1,"target_","") + 1,FALSE),":",$E80))</f>
        <v>172.16.148.135:31317</v>
      </c>
      <c r="N80" t="str">
        <f>IF($C80="dmz","",CONCATENATE(VLOOKUP($D80,kong_p1_var!$B$20:$H$26,SUBSTITUTE(N$1,"target_","") + 1,FALSE),":",$E80))</f>
        <v>172.16.148.136:31317</v>
      </c>
      <c r="O80" t="str">
        <f>VLOOKUP($D80,kong_p1_var!$B$10:$D$16,3,FALSE)</f>
        <v>172.16.149.183</v>
      </c>
      <c r="P80" t="str">
        <f>CONCATENATE("/",C80,MID(D80,2,15),"/",svc!$I79)</f>
        <v>/trust510/conf_setting</v>
      </c>
      <c r="Q80" t="str">
        <f>VLOOKUP(C80,kong_p1_var!$B$6:$C$7,2,FALSE)</f>
        <v>http://172.16.148.160:8001</v>
      </c>
      <c r="R80" t="str">
        <f>SUBSTITUTE(SUBSTITUTE(kong_p1_var!$J$1,"&lt;upstream_name&gt;",$F80),"&lt;kong_api_url&gt;",$Q80)</f>
        <v>curl -X PUT http://172.16.148.160:8001/upstreams/ups-v510-conf_setting</v>
      </c>
      <c r="S80" t="str">
        <f>SUBSTITUTE(SUBSTITUTE(SUBSTITUTE(SUBSTITUTE(kong_p1_var!$J$2,"&lt;kong_api_url&gt;",$Q80),"&lt;upstream_name&gt;",$F80),"&lt;port&gt;",$E80),"&lt;service_name&gt;",$G80)</f>
        <v>curl -X PUT http://172.16.148.160:8001/services/svc-v510-conf_setting -H "Content-Type: application/json" -d '{"protocol":"http","host":"ups-v510-conf_setting","port":31317}'</v>
      </c>
      <c r="T80" t="str">
        <f>SUBSTITUTE(SUBSTITUTE(SUBSTITUTE(SUBSTITUTE(SUBSTITUTE(kong_p1_var!$J$3,"&lt;kong_api_url&gt;",$Q80),"&lt;route_name&gt;",$H80),"&lt;service_name&gt;",$G80),"&lt;host&gt;",$O80),"&lt;path&gt;",$P80)</f>
        <v>curl -X PUT http://172.16.148.160:8001/services/svc-v510-conf_setting/routes/route-v504-v510-conf_setting -H "Content-Type: application/json" -d '{"protocols":["http"],"hosts":["172.16.149.183"],"paths":["/trust510/conf_setting"]}'</v>
      </c>
      <c r="U80" t="str">
        <f t="shared" si="7"/>
        <v>curl -X POST http://172.16.148.160:8001/upstreams/ups-v510-conf_setting/targets -d 'target=172.16.148.131:31317'</v>
      </c>
      <c r="V80" t="str">
        <f t="shared" si="8"/>
        <v>curl -X POST http://172.16.148.160:8001/upstreams/ups-v510-conf_setting/targets -d 'target=172.16.148.132:31317'</v>
      </c>
      <c r="W80" t="str">
        <f t="shared" si="9"/>
        <v>curl -X POST http://172.16.148.160:8001/upstreams/ups-v510-conf_setting/targets -d 'target=172.16.148.133:31317'</v>
      </c>
      <c r="X80" t="str">
        <f t="shared" si="10"/>
        <v>curl -X POST http://172.16.148.160:8001/upstreams/ups-v510-conf_setting/targets -d 'target=172.16.148.134:31317'</v>
      </c>
      <c r="Y80" t="str">
        <f t="shared" si="11"/>
        <v>curl -X POST http://172.16.148.160:8001/upstreams/ups-v510-conf_setting/targets -d 'target=172.16.148.135:31317'</v>
      </c>
      <c r="Z80" t="str">
        <f t="shared" si="12"/>
        <v>curl -X POST http://172.16.148.160:8001/upstreams/ups-v510-conf_setting/targets -d 'target=172.16.148.136:31317'</v>
      </c>
    </row>
    <row r="81" spans="1:26">
      <c r="A81">
        <f>IF(ISNUMBER(SEARCH("rest_api",svc!R80)),1,0)</f>
        <v>0</v>
      </c>
      <c r="C81" t="str">
        <f>svc!D80</f>
        <v>trust</v>
      </c>
      <c r="D81" t="str">
        <f>svc!$B80</f>
        <v>v510</v>
      </c>
      <c r="E81" t="str">
        <f>svc!G80</f>
        <v>N/A</v>
      </c>
      <c r="F81" t="str">
        <f>CONCATENATE("ups-",svc!$B80,"-",svc!I80)</f>
        <v>ups-v510-das_data_consumer</v>
      </c>
      <c r="G81" t="str">
        <f>CONCATENATE("svc-",svc!$B80,"-",svc!I80)</f>
        <v>svc-v510-das_data_consumer</v>
      </c>
      <c r="H81" t="str">
        <f>CONCATENATE("route-",VLOOKUP($D81,kong_p2_var!$B$10:$D$16,2,FALSE),"-",svc!$B80,"-",svc!I80)</f>
        <v>route-v504-v510-das_data_consumer</v>
      </c>
      <c r="I81" t="str">
        <f>CONCATENATE(VLOOKUP($D81,kong_p2_var!$B$20:$H$26,SUBSTITUTE(I$1,"target_","") + 1,FALSE),":",$E81)</f>
        <v>172.20.148.131:N/A</v>
      </c>
      <c r="J81" t="str">
        <f>CONCATENATE(VLOOKUP($D81,kong_p2_var!$B$20:$H$26,SUBSTITUTE(J$1,"target_","") + 1,FALSE),":",$E81)</f>
        <v>172.20.148.132:N/A</v>
      </c>
      <c r="K81" t="str">
        <f>CONCATENATE(VLOOKUP($D81,kong_p2_var!$B$20:$H$26,SUBSTITUTE(K$1,"target_","") + 1,FALSE),":",$E81)</f>
        <v>172.20.148.133:N/A</v>
      </c>
      <c r="L81" t="str">
        <f>IF($C81="dmz","",CONCATENATE(VLOOKUP($D81,kong_p2_var!$B$20:$H$26,SUBSTITUTE(L$1,"target_","") + 1,FALSE),":",$E81))</f>
        <v>172.20.148.134:N/A</v>
      </c>
      <c r="M81" t="str">
        <f>IF($C81="dmz","",CONCATENATE(VLOOKUP($D81,kong_p2_var!$B$20:$H$26,SUBSTITUTE(M$1,"target_","") + 1,FALSE),":",$E81))</f>
        <v>172.20.148.135:N/A</v>
      </c>
      <c r="N81" t="str">
        <f>IF($C81="dmz","",CONCATENATE(VLOOKUP($D81,kong_p2_var!$B$20:$H$26,SUBSTITUTE(N$1,"target_","") + 1,FALSE),":",$E81))</f>
        <v>172.20.148.136:N/A</v>
      </c>
      <c r="O81" t="str">
        <f>VLOOKUP($D81,kong_p2_var!$B$10:$D$16,3,FALSE)</f>
        <v>172.20.149.183</v>
      </c>
      <c r="P81" t="str">
        <f>CONCATENATE("/",C81,MID(D81,2,15),"/",svc!$I80)</f>
        <v>/trust510/das_data_consumer</v>
      </c>
      <c r="Q81" t="str">
        <f>VLOOKUP(C81,kong_p2_var!$B$6:$C$7,2,FALSE)</f>
        <v>http://172.20.148.160:8001</v>
      </c>
      <c r="R81" t="str">
        <f>SUBSTITUTE(SUBSTITUTE(kong_p2_var!$J$1,"&lt;upstream_name&gt;",$F81),"&lt;kong_api_url&gt;",$Q81)</f>
        <v>curl -X PUT http://172.20.148.160:8001/upstreams/ups-v510-das_data_consumer</v>
      </c>
      <c r="S81" t="str">
        <f>SUBSTITUTE(SUBSTITUTE(SUBSTITUTE(SUBSTITUTE(kong_p2_var!$J$2,"&lt;kong_api_url&gt;",$Q81),"&lt;upstream_name&gt;",$F81),"&lt;port&gt;",$E81),"&lt;service_name&gt;",$G81)</f>
        <v>curl -X PUT http://172.20.148.160:8001/services/svc-v510-das_data_consumer -H "Content-Type: application/json" -d '{"protocol":"http","host":"ups-v510-das_data_consumer","port":N/A}'</v>
      </c>
      <c r="T81" t="str">
        <f>SUBSTITUTE(SUBSTITUTE(SUBSTITUTE(SUBSTITUTE(SUBSTITUTE(kong_p2_var!$J$3,"&lt;kong_api_url&gt;",$Q81),"&lt;route_name&gt;",$H81),"&lt;service_name&gt;",$G81),"&lt;host&gt;",$O81),"&lt;path&gt;",$P81)</f>
        <v>curl -X PUT http://172.20.148.160:8001/services/svc-v510-das_data_consumer/routes/route-v504-v510-das_data_consumer -H "Content-Type: application/json" -d '{"protocols":["http"],"hosts":["172.20.149.183"],"paths":["/trust510/das_data_consumer"]}'</v>
      </c>
      <c r="U81" t="str">
        <f t="shared" si="7"/>
        <v>curl -X POST http://172.20.148.160:8001/upstreams/ups-v510-das_data_consumer/targets -d 'target=172.20.148.131:N/A'</v>
      </c>
      <c r="V81" t="str">
        <f t="shared" si="8"/>
        <v>curl -X POST http://172.20.148.160:8001/upstreams/ups-v510-das_data_consumer/targets -d 'target=172.20.148.132:N/A'</v>
      </c>
      <c r="W81" t="str">
        <f t="shared" si="9"/>
        <v>curl -X POST http://172.20.148.160:8001/upstreams/ups-v510-das_data_consumer/targets -d 'target=172.20.148.133:N/A'</v>
      </c>
      <c r="X81" t="str">
        <f t="shared" si="10"/>
        <v>curl -X POST http://172.20.148.160:8001/upstreams/ups-v510-das_data_consumer/targets -d 'target=172.20.148.134:N/A'</v>
      </c>
      <c r="Y81" t="str">
        <f t="shared" si="11"/>
        <v>curl -X POST http://172.20.148.160:8001/upstreams/ups-v510-das_data_consumer/targets -d 'target=172.20.148.135:N/A'</v>
      </c>
      <c r="Z81" t="str">
        <f t="shared" si="12"/>
        <v>curl -X POST http://172.20.148.160:8001/upstreams/ups-v510-das_data_consumer/targets -d 'target=172.20.148.136:N/A'</v>
      </c>
    </row>
    <row r="82" spans="1:26">
      <c r="A82">
        <f>IF(ISNUMBER(SEARCH("rest_api",svc!R81)),1,0)</f>
        <v>0</v>
      </c>
      <c r="C82" t="str">
        <f>svc!D81</f>
        <v>trust</v>
      </c>
      <c r="D82" t="str">
        <f>svc!$B81</f>
        <v>v510</v>
      </c>
      <c r="E82" t="str">
        <f>svc!G81</f>
        <v>N/A</v>
      </c>
      <c r="F82" t="str">
        <f>CONCATENATE("ups-",svc!$B81,"-",svc!I81)</f>
        <v>ups-v510-das_evidence_record_consumer</v>
      </c>
      <c r="G82" t="str">
        <f>CONCATENATE("svc-",svc!$B81,"-",svc!I81)</f>
        <v>svc-v510-das_evidence_record_consumer</v>
      </c>
      <c r="H82" t="str">
        <f>CONCATENATE("route-",VLOOKUP($D82,kong_p2_var!$B$10:$D$16,2,FALSE),"-",svc!$B81,"-",svc!I81)</f>
        <v>route-v504-v510-das_evidence_record_consumer</v>
      </c>
      <c r="I82" t="str">
        <f>CONCATENATE(VLOOKUP($D82,kong_p2_var!$B$20:$H$26,SUBSTITUTE(I$1,"target_","") + 1,FALSE),":",$E82)</f>
        <v>172.20.148.131:N/A</v>
      </c>
      <c r="J82" t="str">
        <f>CONCATENATE(VLOOKUP($D82,kong_p2_var!$B$20:$H$26,SUBSTITUTE(J$1,"target_","") + 1,FALSE),":",$E82)</f>
        <v>172.20.148.132:N/A</v>
      </c>
      <c r="K82" t="str">
        <f>CONCATENATE(VLOOKUP($D82,kong_p2_var!$B$20:$H$26,SUBSTITUTE(K$1,"target_","") + 1,FALSE),":",$E82)</f>
        <v>172.20.148.133:N/A</v>
      </c>
      <c r="L82" t="str">
        <f>IF($C82="dmz","",CONCATENATE(VLOOKUP($D82,kong_p2_var!$B$20:$H$26,SUBSTITUTE(L$1,"target_","") + 1,FALSE),":",$E82))</f>
        <v>172.20.148.134:N/A</v>
      </c>
      <c r="M82" t="str">
        <f>IF($C82="dmz","",CONCATENATE(VLOOKUP($D82,kong_p2_var!$B$20:$H$26,SUBSTITUTE(M$1,"target_","") + 1,FALSE),":",$E82))</f>
        <v>172.20.148.135:N/A</v>
      </c>
      <c r="N82" t="str">
        <f>IF($C82="dmz","",CONCATENATE(VLOOKUP($D82,kong_p2_var!$B$20:$H$26,SUBSTITUTE(N$1,"target_","") + 1,FALSE),":",$E82))</f>
        <v>172.20.148.136:N/A</v>
      </c>
      <c r="O82" t="str">
        <f>VLOOKUP($D82,kong_p2_var!$B$10:$D$16,3,FALSE)</f>
        <v>172.20.149.183</v>
      </c>
      <c r="P82" t="str">
        <f>CONCATENATE("/",C82,MID(D82,2,15),"/",svc!$I81)</f>
        <v>/trust510/das_evidence_record_consumer</v>
      </c>
      <c r="Q82" t="str">
        <f>VLOOKUP(C82,kong_p2_var!$B$6:$C$7,2,FALSE)</f>
        <v>http://172.20.148.160:8001</v>
      </c>
      <c r="R82" t="str">
        <f>SUBSTITUTE(SUBSTITUTE(kong_p2_var!$J$1,"&lt;upstream_name&gt;",$F82),"&lt;kong_api_url&gt;",$Q82)</f>
        <v>curl -X PUT http://172.20.148.160:8001/upstreams/ups-v510-das_evidence_record_consumer</v>
      </c>
      <c r="S82" t="str">
        <f>SUBSTITUTE(SUBSTITUTE(SUBSTITUTE(SUBSTITUTE(kong_p2_var!$J$2,"&lt;kong_api_url&gt;",$Q82),"&lt;upstream_name&gt;",$F82),"&lt;port&gt;",$E82),"&lt;service_name&gt;",$G82)</f>
        <v>curl -X PUT http://172.20.148.160:8001/services/svc-v510-das_evidence_record_consumer -H "Content-Type: application/json" -d '{"protocol":"http","host":"ups-v510-das_evidence_record_consumer","port":N/A}'</v>
      </c>
      <c r="T82" t="str">
        <f>SUBSTITUTE(SUBSTITUTE(SUBSTITUTE(SUBSTITUTE(SUBSTITUTE(kong_p2_var!$J$3,"&lt;kong_api_url&gt;",$Q82),"&lt;route_name&gt;",$H82),"&lt;service_name&gt;",$G82),"&lt;host&gt;",$O82),"&lt;path&gt;",$P82)</f>
        <v>curl -X PUT http://172.20.148.160:8001/services/svc-v510-das_evidence_record_consumer/routes/route-v504-v510-das_evidence_record_consumer -H "Content-Type: application/json" -d '{"protocols":["http"],"hosts":["172.20.149.183"],"paths":["/trust510/das_evidence_record_consumer"]}'</v>
      </c>
      <c r="U82" t="str">
        <f t="shared" si="7"/>
        <v>curl -X POST http://172.20.148.160:8001/upstreams/ups-v510-das_evidence_record_consumer/targets -d 'target=172.20.148.131:N/A'</v>
      </c>
      <c r="V82" t="str">
        <f t="shared" si="8"/>
        <v>curl -X POST http://172.20.148.160:8001/upstreams/ups-v510-das_evidence_record_consumer/targets -d 'target=172.20.148.132:N/A'</v>
      </c>
      <c r="W82" t="str">
        <f t="shared" si="9"/>
        <v>curl -X POST http://172.20.148.160:8001/upstreams/ups-v510-das_evidence_record_consumer/targets -d 'target=172.20.148.133:N/A'</v>
      </c>
      <c r="X82" t="str">
        <f t="shared" si="10"/>
        <v>curl -X POST http://172.20.148.160:8001/upstreams/ups-v510-das_evidence_record_consumer/targets -d 'target=172.20.148.134:N/A'</v>
      </c>
      <c r="Y82" t="str">
        <f t="shared" si="11"/>
        <v>curl -X POST http://172.20.148.160:8001/upstreams/ups-v510-das_evidence_record_consumer/targets -d 'target=172.20.148.135:N/A'</v>
      </c>
      <c r="Z82" t="str">
        <f t="shared" si="12"/>
        <v>curl -X POST http://172.20.148.160:8001/upstreams/ups-v510-das_evidence_record_consumer/targets -d 'target=172.20.148.136:N/A'</v>
      </c>
    </row>
    <row r="83" spans="1:26">
      <c r="A83">
        <f>IF(ISNUMBER(SEARCH("rest_api",svc!R82)),1,0)</f>
        <v>0</v>
      </c>
      <c r="C83" t="str">
        <f>svc!D82</f>
        <v>trust</v>
      </c>
      <c r="D83" t="str">
        <f>svc!$B82</f>
        <v>v510</v>
      </c>
      <c r="E83" t="str">
        <f>svc!G82</f>
        <v>N/A</v>
      </c>
      <c r="F83" t="str">
        <f>CONCATENATE("ups-",svc!$B82,"-",svc!I82)</f>
        <v>ups-v510-das_transaction_record_consumer</v>
      </c>
      <c r="G83" t="str">
        <f>CONCATENATE("svc-",svc!$B82,"-",svc!I82)</f>
        <v>svc-v510-das_transaction_record_consumer</v>
      </c>
      <c r="H83" t="str">
        <f>CONCATENATE("route-",VLOOKUP($D83,kong_p2_var!$B$10:$D$16,2,FALSE),"-",svc!$B82,"-",svc!I82)</f>
        <v>route-v504-v510-das_transaction_record_consumer</v>
      </c>
      <c r="I83" t="str">
        <f>CONCATENATE(VLOOKUP($D83,kong_p2_var!$B$20:$H$26,SUBSTITUTE(I$1,"target_","") + 1,FALSE),":",$E83)</f>
        <v>172.20.148.131:N/A</v>
      </c>
      <c r="J83" t="str">
        <f>CONCATENATE(VLOOKUP($D83,kong_p2_var!$B$20:$H$26,SUBSTITUTE(J$1,"target_","") + 1,FALSE),":",$E83)</f>
        <v>172.20.148.132:N/A</v>
      </c>
      <c r="K83" t="str">
        <f>CONCATENATE(VLOOKUP($D83,kong_p2_var!$B$20:$H$26,SUBSTITUTE(K$1,"target_","") + 1,FALSE),":",$E83)</f>
        <v>172.20.148.133:N/A</v>
      </c>
      <c r="L83" t="str">
        <f>IF($C83="dmz","",CONCATENATE(VLOOKUP($D83,kong_p2_var!$B$20:$H$26,SUBSTITUTE(L$1,"target_","") + 1,FALSE),":",$E83))</f>
        <v>172.20.148.134:N/A</v>
      </c>
      <c r="M83" t="str">
        <f>IF($C83="dmz","",CONCATENATE(VLOOKUP($D83,kong_p2_var!$B$20:$H$26,SUBSTITUTE(M$1,"target_","") + 1,FALSE),":",$E83))</f>
        <v>172.20.148.135:N/A</v>
      </c>
      <c r="N83" t="str">
        <f>IF($C83="dmz","",CONCATENATE(VLOOKUP($D83,kong_p2_var!$B$20:$H$26,SUBSTITUTE(N$1,"target_","") + 1,FALSE),":",$E83))</f>
        <v>172.20.148.136:N/A</v>
      </c>
      <c r="O83" t="str">
        <f>VLOOKUP($D83,kong_p2_var!$B$10:$D$16,3,FALSE)</f>
        <v>172.20.149.183</v>
      </c>
      <c r="P83" t="str">
        <f>CONCATENATE("/",C83,MID(D83,2,15),"/",svc!$I82)</f>
        <v>/trust510/das_transaction_record_consumer</v>
      </c>
      <c r="Q83" t="str">
        <f>VLOOKUP(C83,kong_p2_var!$B$6:$C$7,2,FALSE)</f>
        <v>http://172.20.148.160:8001</v>
      </c>
      <c r="R83" t="str">
        <f>SUBSTITUTE(SUBSTITUTE(kong_p2_var!$J$1,"&lt;upstream_name&gt;",$F83),"&lt;kong_api_url&gt;",$Q83)</f>
        <v>curl -X PUT http://172.20.148.160:8001/upstreams/ups-v510-das_transaction_record_consumer</v>
      </c>
      <c r="S83" t="str">
        <f>SUBSTITUTE(SUBSTITUTE(SUBSTITUTE(SUBSTITUTE(kong_p2_var!$J$2,"&lt;kong_api_url&gt;",$Q83),"&lt;upstream_name&gt;",$F83),"&lt;port&gt;",$E83),"&lt;service_name&gt;",$G83)</f>
        <v>curl -X PUT http://172.20.148.160:8001/services/svc-v510-das_transaction_record_consumer -H "Content-Type: application/json" -d '{"protocol":"http","host":"ups-v510-das_transaction_record_consumer","port":N/A}'</v>
      </c>
      <c r="T83" t="str">
        <f>SUBSTITUTE(SUBSTITUTE(SUBSTITUTE(SUBSTITUTE(SUBSTITUTE(kong_p2_var!$J$3,"&lt;kong_api_url&gt;",$Q83),"&lt;route_name&gt;",$H83),"&lt;service_name&gt;",$G83),"&lt;host&gt;",$O83),"&lt;path&gt;",$P83)</f>
        <v>curl -X PUT http://172.20.148.160:8001/services/svc-v510-das_transaction_record_consumer/routes/route-v504-v510-das_transaction_record_consumer -H "Content-Type: application/json" -d '{"protocols":["http"],"hosts":["172.20.149.183"],"paths":["/trust510/das_transaction_record_consumer"]}'</v>
      </c>
      <c r="U83" t="str">
        <f t="shared" si="7"/>
        <v>curl -X POST http://172.20.148.160:8001/upstreams/ups-v510-das_transaction_record_consumer/targets -d 'target=172.20.148.131:N/A'</v>
      </c>
      <c r="V83" t="str">
        <f t="shared" si="8"/>
        <v>curl -X POST http://172.20.148.160:8001/upstreams/ups-v510-das_transaction_record_consumer/targets -d 'target=172.20.148.132:N/A'</v>
      </c>
      <c r="W83" t="str">
        <f t="shared" si="9"/>
        <v>curl -X POST http://172.20.148.160:8001/upstreams/ups-v510-das_transaction_record_consumer/targets -d 'target=172.20.148.133:N/A'</v>
      </c>
      <c r="X83" t="str">
        <f t="shared" si="10"/>
        <v>curl -X POST http://172.20.148.160:8001/upstreams/ups-v510-das_transaction_record_consumer/targets -d 'target=172.20.148.134:N/A'</v>
      </c>
      <c r="Y83" t="str">
        <f t="shared" si="11"/>
        <v>curl -X POST http://172.20.148.160:8001/upstreams/ups-v510-das_transaction_record_consumer/targets -d 'target=172.20.148.135:N/A'</v>
      </c>
      <c r="Z83" t="str">
        <f t="shared" si="12"/>
        <v>curl -X POST http://172.20.148.160:8001/upstreams/ups-v510-das_transaction_record_consumer/targets -d 'target=172.20.148.136:N/A'</v>
      </c>
    </row>
    <row r="84" spans="1:26">
      <c r="A84">
        <f>IF(ISNUMBER(SEARCH("rest_api",svc!R83)),1,0)</f>
        <v>1</v>
      </c>
      <c r="C84" t="str">
        <f>svc!D83</f>
        <v>trust</v>
      </c>
      <c r="D84" t="str">
        <f>svc!$B83</f>
        <v>v510</v>
      </c>
      <c r="E84">
        <f>svc!G83</f>
        <v>31218</v>
      </c>
      <c r="F84" t="str">
        <f>CONCATENATE("ups-",svc!$B83,"-",svc!I83)</f>
        <v>ups-v510-das_evid_api</v>
      </c>
      <c r="G84" t="str">
        <f>CONCATENATE("svc-",svc!$B83,"-",svc!I83)</f>
        <v>svc-v510-das_evid_api</v>
      </c>
      <c r="H84" t="str">
        <f>CONCATENATE("route-",VLOOKUP($D84,kong_p1_var!$B$10:$D$16,2,FALSE),"-",svc!$B83,"-",svc!I83)</f>
        <v>route-v504-v510-das_evid_api</v>
      </c>
      <c r="I84" t="str">
        <f>CONCATENATE(VLOOKUP($D84,kong_p1_var!$B$20:$H$26,SUBSTITUTE(I$1,"target_","") + 1,FALSE),":",$E84)</f>
        <v>172.16.148.131:31218</v>
      </c>
      <c r="J84" t="str">
        <f>CONCATENATE(VLOOKUP($D84,kong_p1_var!$B$20:$H$26,SUBSTITUTE(J$1,"target_","") + 1,FALSE),":",$E84)</f>
        <v>172.16.148.132:31218</v>
      </c>
      <c r="K84" t="str">
        <f>CONCATENATE(VLOOKUP($D84,kong_p1_var!$B$20:$H$26,SUBSTITUTE(K$1,"target_","") + 1,FALSE),":",$E84)</f>
        <v>172.16.148.133:31218</v>
      </c>
      <c r="L84" t="str">
        <f>IF($C84="dmz","",CONCATENATE(VLOOKUP($D84,kong_p1_var!$B$20:$H$26,SUBSTITUTE(L$1,"target_","") + 1,FALSE),":",$E84))</f>
        <v>172.16.148.134:31218</v>
      </c>
      <c r="M84" t="str">
        <f>IF($C84="dmz","",CONCATENATE(VLOOKUP($D84,kong_p1_var!$B$20:$H$26,SUBSTITUTE(M$1,"target_","") + 1,FALSE),":",$E84))</f>
        <v>172.16.148.135:31218</v>
      </c>
      <c r="N84" t="str">
        <f>IF($C84="dmz","",CONCATENATE(VLOOKUP($D84,kong_p1_var!$B$20:$H$26,SUBSTITUTE(N$1,"target_","") + 1,FALSE),":",$E84))</f>
        <v>172.16.148.136:31218</v>
      </c>
      <c r="O84" t="str">
        <f>VLOOKUP($D84,kong_p1_var!$B$10:$D$16,3,FALSE)</f>
        <v>172.16.149.183</v>
      </c>
      <c r="P84" t="str">
        <f>CONCATENATE("/",C84,MID(D84,2,15),"/",svc!$I83)</f>
        <v>/trust510/das_evid_api</v>
      </c>
      <c r="Q84" t="str">
        <f>VLOOKUP(C84,kong_p1_var!$B$6:$C$7,2,FALSE)</f>
        <v>http://172.16.148.160:8001</v>
      </c>
      <c r="R84" t="str">
        <f>SUBSTITUTE(SUBSTITUTE(kong_p1_var!$J$1,"&lt;upstream_name&gt;",$F84),"&lt;kong_api_url&gt;",$Q84)</f>
        <v>curl -X PUT http://172.16.148.160:8001/upstreams/ups-v510-das_evid_api</v>
      </c>
      <c r="S84" t="str">
        <f>SUBSTITUTE(SUBSTITUTE(SUBSTITUTE(SUBSTITUTE(kong_p1_var!$J$2,"&lt;kong_api_url&gt;",$Q84),"&lt;upstream_name&gt;",$F84),"&lt;port&gt;",$E84),"&lt;service_name&gt;",$G84)</f>
        <v>curl -X PUT http://172.16.148.160:8001/services/svc-v510-das_evid_api -H "Content-Type: application/json" -d '{"protocol":"http","host":"ups-v510-das_evid_api","port":31218}'</v>
      </c>
      <c r="T84" t="str">
        <f>SUBSTITUTE(SUBSTITUTE(SUBSTITUTE(SUBSTITUTE(SUBSTITUTE(kong_p1_var!$J$3,"&lt;kong_api_url&gt;",$Q84),"&lt;route_name&gt;",$H84),"&lt;service_name&gt;",$G84),"&lt;host&gt;",$O84),"&lt;path&gt;",$P84)</f>
        <v>curl -X PUT http://172.16.148.160:8001/services/svc-v510-das_evid_api/routes/route-v504-v510-das_evid_api -H "Content-Type: application/json" -d '{"protocols":["http"],"hosts":["172.16.149.183"],"paths":["/trust510/das_evid_api"]}'</v>
      </c>
      <c r="U84" t="str">
        <f t="shared" si="7"/>
        <v>curl -X POST http://172.16.148.160:8001/upstreams/ups-v510-das_evid_api/targets -d 'target=172.16.148.131:31218'</v>
      </c>
      <c r="V84" t="str">
        <f t="shared" si="8"/>
        <v>curl -X POST http://172.16.148.160:8001/upstreams/ups-v510-das_evid_api/targets -d 'target=172.16.148.132:31218'</v>
      </c>
      <c r="W84" t="str">
        <f t="shared" si="9"/>
        <v>curl -X POST http://172.16.148.160:8001/upstreams/ups-v510-das_evid_api/targets -d 'target=172.16.148.133:31218'</v>
      </c>
      <c r="X84" t="str">
        <f t="shared" si="10"/>
        <v>curl -X POST http://172.16.148.160:8001/upstreams/ups-v510-das_evid_api/targets -d 'target=172.16.148.134:31218'</v>
      </c>
      <c r="Y84" t="str">
        <f t="shared" si="11"/>
        <v>curl -X POST http://172.16.148.160:8001/upstreams/ups-v510-das_evid_api/targets -d 'target=172.16.148.135:31218'</v>
      </c>
      <c r="Z84" t="str">
        <f t="shared" si="12"/>
        <v>curl -X POST http://172.16.148.160:8001/upstreams/ups-v510-das_evid_api/targets -d 'target=172.16.148.136:31218'</v>
      </c>
    </row>
    <row r="85" spans="1:26">
      <c r="A85">
        <f>IF(ISNUMBER(SEARCH("rest_api",svc!R84)),1,0)</f>
        <v>1</v>
      </c>
      <c r="C85" t="str">
        <f>svc!D84</f>
        <v>trust</v>
      </c>
      <c r="D85" t="str">
        <f>svc!$B84</f>
        <v>v510</v>
      </c>
      <c r="E85">
        <f>svc!G84</f>
        <v>31014</v>
      </c>
      <c r="F85" t="str">
        <f>CONCATENATE("ups-",svc!$B84,"-",svc!I84)</f>
        <v>ups-v510-ecms_api</v>
      </c>
      <c r="G85" t="str">
        <f>CONCATENATE("svc-",svc!$B84,"-",svc!I84)</f>
        <v>svc-v510-ecms_api</v>
      </c>
      <c r="H85" t="str">
        <f>CONCATENATE("route-",VLOOKUP($D85,kong_p1_var!$B$10:$D$16,2,FALSE),"-",svc!$B84,"-",svc!I84)</f>
        <v>route-v504-v510-ecms_api</v>
      </c>
      <c r="I85" t="str">
        <f>CONCATENATE(VLOOKUP($D85,kong_p1_var!$B$20:$H$26,SUBSTITUTE(I$1,"target_","") + 1,FALSE),":",$E85)</f>
        <v>172.16.148.131:31014</v>
      </c>
      <c r="J85" t="str">
        <f>CONCATENATE(VLOOKUP($D85,kong_p1_var!$B$20:$H$26,SUBSTITUTE(J$1,"target_","") + 1,FALSE),":",$E85)</f>
        <v>172.16.148.132:31014</v>
      </c>
      <c r="K85" t="str">
        <f>CONCATENATE(VLOOKUP($D85,kong_p1_var!$B$20:$H$26,SUBSTITUTE(K$1,"target_","") + 1,FALSE),":",$E85)</f>
        <v>172.16.148.133:31014</v>
      </c>
      <c r="L85" t="str">
        <f>IF($C85="dmz","",CONCATENATE(VLOOKUP($D85,kong_p1_var!$B$20:$H$26,SUBSTITUTE(L$1,"target_","") + 1,FALSE),":",$E85))</f>
        <v>172.16.148.134:31014</v>
      </c>
      <c r="M85" t="str">
        <f>IF($C85="dmz","",CONCATENATE(VLOOKUP($D85,kong_p1_var!$B$20:$H$26,SUBSTITUTE(M$1,"target_","") + 1,FALSE),":",$E85))</f>
        <v>172.16.148.135:31014</v>
      </c>
      <c r="N85" t="str">
        <f>IF($C85="dmz","",CONCATENATE(VLOOKUP($D85,kong_p1_var!$B$20:$H$26,SUBSTITUTE(N$1,"target_","") + 1,FALSE),":",$E85))</f>
        <v>172.16.148.136:31014</v>
      </c>
      <c r="O85" t="str">
        <f>VLOOKUP($D85,kong_p1_var!$B$10:$D$16,3,FALSE)</f>
        <v>172.16.149.183</v>
      </c>
      <c r="P85" t="str">
        <f>CONCATENATE("/",C85,MID(D85,2,15),"/",svc!$I84)</f>
        <v>/trust510/ecms_api</v>
      </c>
      <c r="Q85" t="str">
        <f>VLOOKUP(C85,kong_p1_var!$B$6:$C$7,2,FALSE)</f>
        <v>http://172.16.148.160:8001</v>
      </c>
      <c r="R85" t="str">
        <f>SUBSTITUTE(SUBSTITUTE(kong_p1_var!$J$1,"&lt;upstream_name&gt;",$F85),"&lt;kong_api_url&gt;",$Q85)</f>
        <v>curl -X PUT http://172.16.148.160:8001/upstreams/ups-v510-ecms_api</v>
      </c>
      <c r="S85" t="str">
        <f>SUBSTITUTE(SUBSTITUTE(SUBSTITUTE(SUBSTITUTE(kong_p1_var!$J$2,"&lt;kong_api_url&gt;",$Q85),"&lt;upstream_name&gt;",$F85),"&lt;port&gt;",$E85),"&lt;service_name&gt;",$G85)</f>
        <v>curl -X PUT http://172.16.148.160:8001/services/svc-v510-ecms_api -H "Content-Type: application/json" -d '{"protocol":"http","host":"ups-v510-ecms_api","port":31014}'</v>
      </c>
      <c r="T85" t="str">
        <f>SUBSTITUTE(SUBSTITUTE(SUBSTITUTE(SUBSTITUTE(SUBSTITUTE(kong_p1_var!$J$3,"&lt;kong_api_url&gt;",$Q85),"&lt;route_name&gt;",$H85),"&lt;service_name&gt;",$G85),"&lt;host&gt;",$O85),"&lt;path&gt;",$P85)</f>
        <v>curl -X PUT http://172.16.148.160:8001/services/svc-v510-ecms_api/routes/route-v504-v510-ecms_api -H "Content-Type: application/json" -d '{"protocols":["http"],"hosts":["172.16.149.183"],"paths":["/trust510/ecms_api"]}'</v>
      </c>
      <c r="U85" t="str">
        <f t="shared" si="7"/>
        <v>curl -X POST http://172.16.148.160:8001/upstreams/ups-v510-ecms_api/targets -d 'target=172.16.148.131:31014'</v>
      </c>
      <c r="V85" t="str">
        <f t="shared" si="8"/>
        <v>curl -X POST http://172.16.148.160:8001/upstreams/ups-v510-ecms_api/targets -d 'target=172.16.148.132:31014'</v>
      </c>
      <c r="W85" t="str">
        <f t="shared" si="9"/>
        <v>curl -X POST http://172.16.148.160:8001/upstreams/ups-v510-ecms_api/targets -d 'target=172.16.148.133:31014'</v>
      </c>
      <c r="X85" t="str">
        <f t="shared" si="10"/>
        <v>curl -X POST http://172.16.148.160:8001/upstreams/ups-v510-ecms_api/targets -d 'target=172.16.148.134:31014'</v>
      </c>
      <c r="Y85" t="str">
        <f t="shared" si="11"/>
        <v>curl -X POST http://172.16.148.160:8001/upstreams/ups-v510-ecms_api/targets -d 'target=172.16.148.135:31014'</v>
      </c>
      <c r="Z85" t="str">
        <f t="shared" si="12"/>
        <v>curl -X POST http://172.16.148.160:8001/upstreams/ups-v510-ecms_api/targets -d 'target=172.16.148.136:31014'</v>
      </c>
    </row>
    <row r="86" spans="1:26">
      <c r="A86">
        <f>IF(ISNUMBER(SEARCH("rest_api",svc!R85)),1,0)</f>
        <v>1</v>
      </c>
      <c r="C86" t="str">
        <f>svc!D85</f>
        <v>trust</v>
      </c>
      <c r="D86" t="str">
        <f>svc!$B85</f>
        <v>v510</v>
      </c>
      <c r="E86">
        <f>svc!G85</f>
        <v>31024</v>
      </c>
      <c r="F86" t="str">
        <f>CONCATENATE("ups-",svc!$B85,"-",svc!I85)</f>
        <v>ups-v510-secondocr_webapi</v>
      </c>
      <c r="G86" t="str">
        <f>CONCATENATE("svc-",svc!$B85,"-",svc!I85)</f>
        <v>svc-v510-secondocr_webapi</v>
      </c>
      <c r="H86" t="str">
        <f>CONCATENATE("route-",VLOOKUP($D86,kong_p1_var!$B$10:$D$16,2,FALSE),"-",svc!$B85,"-",svc!I85)</f>
        <v>route-v504-v510-secondocr_webapi</v>
      </c>
      <c r="I86" t="str">
        <f>CONCATENATE(VLOOKUP($D86,kong_p1_var!$B$20:$H$26,SUBSTITUTE(I$1,"target_","") + 1,FALSE),":",$E86)</f>
        <v>172.16.148.131:31024</v>
      </c>
      <c r="J86" t="str">
        <f>CONCATENATE(VLOOKUP($D86,kong_p1_var!$B$20:$H$26,SUBSTITUTE(J$1,"target_","") + 1,FALSE),":",$E86)</f>
        <v>172.16.148.132:31024</v>
      </c>
      <c r="K86" t="str">
        <f>CONCATENATE(VLOOKUP($D86,kong_p1_var!$B$20:$H$26,SUBSTITUTE(K$1,"target_","") + 1,FALSE),":",$E86)</f>
        <v>172.16.148.133:31024</v>
      </c>
      <c r="L86" t="str">
        <f>IF($C86="dmz","",CONCATENATE(VLOOKUP($D86,kong_p1_var!$B$20:$H$26,SUBSTITUTE(L$1,"target_","") + 1,FALSE),":",$E86))</f>
        <v>172.16.148.134:31024</v>
      </c>
      <c r="M86" t="str">
        <f>IF($C86="dmz","",CONCATENATE(VLOOKUP($D86,kong_p1_var!$B$20:$H$26,SUBSTITUTE(M$1,"target_","") + 1,FALSE),":",$E86))</f>
        <v>172.16.148.135:31024</v>
      </c>
      <c r="N86" t="str">
        <f>IF($C86="dmz","",CONCATENATE(VLOOKUP($D86,kong_p1_var!$B$20:$H$26,SUBSTITUTE(N$1,"target_","") + 1,FALSE),":",$E86))</f>
        <v>172.16.148.136:31024</v>
      </c>
      <c r="O86" t="str">
        <f>VLOOKUP($D86,kong_p1_var!$B$10:$D$16,3,FALSE)</f>
        <v>172.16.149.183</v>
      </c>
      <c r="P86" t="str">
        <f>CONCATENATE("/",C86,MID(D86,2,15),"/",svc!$I85)</f>
        <v>/trust510/secondocr_webapi</v>
      </c>
      <c r="Q86" t="str">
        <f>VLOOKUP(C86,kong_p1_var!$B$6:$C$7,2,FALSE)</f>
        <v>http://172.16.148.160:8001</v>
      </c>
      <c r="R86" t="str">
        <f>SUBSTITUTE(SUBSTITUTE(kong_p1_var!$J$1,"&lt;upstream_name&gt;",$F86),"&lt;kong_api_url&gt;",$Q86)</f>
        <v>curl -X PUT http://172.16.148.160:8001/upstreams/ups-v510-secondocr_webapi</v>
      </c>
      <c r="S86" t="str">
        <f>SUBSTITUTE(SUBSTITUTE(SUBSTITUTE(SUBSTITUTE(kong_p1_var!$J$2,"&lt;kong_api_url&gt;",$Q86),"&lt;upstream_name&gt;",$F86),"&lt;port&gt;",$E86),"&lt;service_name&gt;",$G86)</f>
        <v>curl -X PUT http://172.16.148.160:8001/services/svc-v510-secondocr_webapi -H "Content-Type: application/json" -d '{"protocol":"http","host":"ups-v510-secondocr_webapi","port":31024}'</v>
      </c>
      <c r="T86" t="str">
        <f>SUBSTITUTE(SUBSTITUTE(SUBSTITUTE(SUBSTITUTE(SUBSTITUTE(kong_p1_var!$J$3,"&lt;kong_api_url&gt;",$Q86),"&lt;route_name&gt;",$H86),"&lt;service_name&gt;",$G86),"&lt;host&gt;",$O86),"&lt;path&gt;",$P86)</f>
        <v>curl -X PUT http://172.16.148.160:8001/services/svc-v510-secondocr_webapi/routes/route-v504-v510-secondocr_webapi -H "Content-Type: application/json" -d '{"protocols":["http"],"hosts":["172.16.149.183"],"paths":["/trust510/secondocr_webapi"]}'</v>
      </c>
      <c r="U86" t="str">
        <f t="shared" si="7"/>
        <v>curl -X POST http://172.16.148.160:8001/upstreams/ups-v510-secondocr_webapi/targets -d 'target=172.16.148.131:31024'</v>
      </c>
      <c r="V86" t="str">
        <f t="shared" si="8"/>
        <v>curl -X POST http://172.16.148.160:8001/upstreams/ups-v510-secondocr_webapi/targets -d 'target=172.16.148.132:31024'</v>
      </c>
      <c r="W86" t="str">
        <f t="shared" si="9"/>
        <v>curl -X POST http://172.16.148.160:8001/upstreams/ups-v510-secondocr_webapi/targets -d 'target=172.16.148.133:31024'</v>
      </c>
      <c r="X86" t="str">
        <f t="shared" si="10"/>
        <v>curl -X POST http://172.16.148.160:8001/upstreams/ups-v510-secondocr_webapi/targets -d 'target=172.16.148.134:31024'</v>
      </c>
      <c r="Y86" t="str">
        <f t="shared" si="11"/>
        <v>curl -X POST http://172.16.148.160:8001/upstreams/ups-v510-secondocr_webapi/targets -d 'target=172.16.148.135:31024'</v>
      </c>
      <c r="Z86" t="str">
        <f t="shared" si="12"/>
        <v>curl -X POST http://172.16.148.160:8001/upstreams/ups-v510-secondocr_webapi/targets -d 'target=172.16.148.136:31024'</v>
      </c>
    </row>
    <row r="87" spans="1:26">
      <c r="A87">
        <f>IF(ISNUMBER(SEARCH("rest_api",svc!R86)),1,0)</f>
        <v>1</v>
      </c>
      <c r="C87" t="str">
        <f>svc!D86</f>
        <v>trust</v>
      </c>
      <c r="D87" t="str">
        <f>svc!$B86</f>
        <v>v810</v>
      </c>
      <c r="E87">
        <f>svc!G86</f>
        <v>31318</v>
      </c>
      <c r="F87" t="str">
        <f>CONCATENATE("ups-",svc!$B86,"-",svc!I86)</f>
        <v>ups-v810-statement_api</v>
      </c>
      <c r="G87" t="str">
        <f>CONCATENATE("svc-",svc!$B86,"-",svc!I86)</f>
        <v>svc-v810-statement_api</v>
      </c>
      <c r="H87" t="str">
        <f>CONCATENATE("route-",VLOOKUP($D87,kong_p1_var!$B$10:$D$16,2,FALSE),"-",svc!$B86,"-",svc!I86)</f>
        <v>route-v804-v810-statement_api</v>
      </c>
      <c r="I87" t="str">
        <f>CONCATENATE(VLOOKUP($D87,kong_p1_var!$B$20:$H$26,SUBSTITUTE(I$1,"target_","") + 1,FALSE),":",$E87)</f>
        <v>172.16.148.195:31318</v>
      </c>
      <c r="J87" t="str">
        <f>CONCATENATE(VLOOKUP($D87,kong_p1_var!$B$20:$H$26,SUBSTITUTE(J$1,"target_","") + 1,FALSE),":",$E87)</f>
        <v>172.16.148.196:31318</v>
      </c>
      <c r="K87" t="str">
        <f>CONCATENATE(VLOOKUP($D87,kong_p1_var!$B$20:$H$26,SUBSTITUTE(K$1,"target_","") + 1,FALSE),":",$E87)</f>
        <v>172.16.148.197:31318</v>
      </c>
      <c r="L87" t="str">
        <f>IF($C87="dmz","",CONCATENATE(VLOOKUP($D87,kong_p1_var!$B$20:$H$26,SUBSTITUTE(L$1,"target_","") + 1,FALSE),":",$E87))</f>
        <v>172.16.148.198:31318</v>
      </c>
      <c r="M87" t="str">
        <f>IF($C87="dmz","",CONCATENATE(VLOOKUP($D87,kong_p1_var!$B$20:$H$26,SUBSTITUTE(M$1,"target_","") + 1,FALSE),":",$E87))</f>
        <v>172.16.148.199:31318</v>
      </c>
      <c r="N87" t="str">
        <f>IF($C87="dmz","",CONCATENATE(VLOOKUP($D87,kong_p1_var!$B$20:$H$26,SUBSTITUTE(N$1,"target_","") + 1,FALSE),":",$E87))</f>
        <v>172.16.148.200:31318</v>
      </c>
      <c r="O87" t="str">
        <f>VLOOKUP($D87,kong_p1_var!$B$10:$D$16,3,FALSE)</f>
        <v>172.16.149.151</v>
      </c>
      <c r="P87" t="str">
        <f>CONCATENATE("/",C87,MID(D87,2,15),"/",svc!$I86)</f>
        <v>/trust810/statement_api</v>
      </c>
      <c r="Q87" t="str">
        <f>VLOOKUP(C87,kong_p1_var!$B$6:$C$7,2,FALSE)</f>
        <v>http://172.16.148.160:8001</v>
      </c>
      <c r="R87" t="str">
        <f>SUBSTITUTE(SUBSTITUTE(kong_p1_var!$J$1,"&lt;upstream_name&gt;",$F87),"&lt;kong_api_url&gt;",$Q87)</f>
        <v>curl -X PUT http://172.16.148.160:8001/upstreams/ups-v810-statement_api</v>
      </c>
      <c r="S87" t="str">
        <f>SUBSTITUTE(SUBSTITUTE(SUBSTITUTE(SUBSTITUTE(kong_p1_var!$J$2,"&lt;kong_api_url&gt;",$Q87),"&lt;upstream_name&gt;",$F87),"&lt;port&gt;",$E87),"&lt;service_name&gt;",$G87)</f>
        <v>curl -X PUT http://172.16.148.160:8001/services/svc-v810-statement_api -H "Content-Type: application/json" -d '{"protocol":"http","host":"ups-v810-statement_api","port":31318}'</v>
      </c>
      <c r="T87" t="str">
        <f>SUBSTITUTE(SUBSTITUTE(SUBSTITUTE(SUBSTITUTE(SUBSTITUTE(kong_p1_var!$J$3,"&lt;kong_api_url&gt;",$Q87),"&lt;route_name&gt;",$H87),"&lt;service_name&gt;",$G87),"&lt;host&gt;",$O87),"&lt;path&gt;",$P87)</f>
        <v>curl -X PUT http://172.16.148.160:8001/services/svc-v810-statement_api/routes/route-v804-v810-statement_api -H "Content-Type: application/json" -d '{"protocols":["http"],"hosts":["172.16.149.151"],"paths":["/trust810/statement_api"]}'</v>
      </c>
      <c r="U87" t="str">
        <f t="shared" si="7"/>
        <v>curl -X POST http://172.16.148.160:8001/upstreams/ups-v810-statement_api/targets -d 'target=172.16.148.195:31318'</v>
      </c>
      <c r="V87" t="str">
        <f t="shared" si="8"/>
        <v>curl -X POST http://172.16.148.160:8001/upstreams/ups-v810-statement_api/targets -d 'target=172.16.148.196:31318'</v>
      </c>
      <c r="W87" t="str">
        <f t="shared" si="9"/>
        <v>curl -X POST http://172.16.148.160:8001/upstreams/ups-v810-statement_api/targets -d 'target=172.16.148.197:31318'</v>
      </c>
      <c r="X87" t="str">
        <f t="shared" si="10"/>
        <v>curl -X POST http://172.16.148.160:8001/upstreams/ups-v810-statement_api/targets -d 'target=172.16.148.198:31318'</v>
      </c>
      <c r="Y87" t="str">
        <f t="shared" si="11"/>
        <v>curl -X POST http://172.16.148.160:8001/upstreams/ups-v810-statement_api/targets -d 'target=172.16.148.199:31318'</v>
      </c>
      <c r="Z87" t="str">
        <f t="shared" si="12"/>
        <v>curl -X POST http://172.16.148.160:8001/upstreams/ups-v810-statement_api/targets -d 'target=172.16.148.200:31318'</v>
      </c>
    </row>
    <row r="88" spans="1:26">
      <c r="A88">
        <f>IF(ISNUMBER(SEARCH("rest_api",svc!R87)),1,0)</f>
        <v>1</v>
      </c>
      <c r="C88" t="str">
        <f>svc!D87</f>
        <v>trust</v>
      </c>
      <c r="D88" t="str">
        <f>svc!$B87</f>
        <v>v510</v>
      </c>
      <c r="E88">
        <f>svc!G87</f>
        <v>31319</v>
      </c>
      <c r="F88" t="str">
        <f>CONCATENATE("ups-",svc!$B87,"-",svc!I87)</f>
        <v>ups-v510-toll_cal_setting</v>
      </c>
      <c r="G88" t="str">
        <f>CONCATENATE("svc-",svc!$B87,"-",svc!I87)</f>
        <v>svc-v510-toll_cal_setting</v>
      </c>
      <c r="H88" t="str">
        <f>CONCATENATE("route-",VLOOKUP($D88,kong_p1_var!$B$10:$D$16,2,FALSE),"-",svc!$B87,"-",svc!I87)</f>
        <v>route-v504-v510-toll_cal_setting</v>
      </c>
      <c r="I88" t="str">
        <f>CONCATENATE(VLOOKUP($D88,kong_p1_var!$B$20:$H$26,SUBSTITUTE(I$1,"target_","") + 1,FALSE),":",$E88)</f>
        <v>172.16.148.131:31319</v>
      </c>
      <c r="J88" t="str">
        <f>CONCATENATE(VLOOKUP($D88,kong_p1_var!$B$20:$H$26,SUBSTITUTE(J$1,"target_","") + 1,FALSE),":",$E88)</f>
        <v>172.16.148.132:31319</v>
      </c>
      <c r="K88" t="str">
        <f>CONCATENATE(VLOOKUP($D88,kong_p1_var!$B$20:$H$26,SUBSTITUTE(K$1,"target_","") + 1,FALSE),":",$E88)</f>
        <v>172.16.148.133:31319</v>
      </c>
      <c r="L88" t="str">
        <f>IF($C88="dmz","",CONCATENATE(VLOOKUP($D88,kong_p1_var!$B$20:$H$26,SUBSTITUTE(L$1,"target_","") + 1,FALSE),":",$E88))</f>
        <v>172.16.148.134:31319</v>
      </c>
      <c r="M88" t="str">
        <f>IF($C88="dmz","",CONCATENATE(VLOOKUP($D88,kong_p1_var!$B$20:$H$26,SUBSTITUTE(M$1,"target_","") + 1,FALSE),":",$E88))</f>
        <v>172.16.148.135:31319</v>
      </c>
      <c r="N88" t="str">
        <f>IF($C88="dmz","",CONCATENATE(VLOOKUP($D88,kong_p1_var!$B$20:$H$26,SUBSTITUTE(N$1,"target_","") + 1,FALSE),":",$E88))</f>
        <v>172.16.148.136:31319</v>
      </c>
      <c r="O88" t="str">
        <f>VLOOKUP($D88,kong_p1_var!$B$10:$D$16,3,FALSE)</f>
        <v>172.16.149.183</v>
      </c>
      <c r="P88" t="str">
        <f>CONCATENATE("/",C88,MID(D88,2,15),"/",svc!$I87)</f>
        <v>/trust510/toll_cal_setting</v>
      </c>
      <c r="Q88" t="str">
        <f>VLOOKUP(C88,kong_p1_var!$B$6:$C$7,2,FALSE)</f>
        <v>http://172.16.148.160:8001</v>
      </c>
      <c r="R88" t="str">
        <f>SUBSTITUTE(SUBSTITUTE(kong_p1_var!$J$1,"&lt;upstream_name&gt;",$F88),"&lt;kong_api_url&gt;",$Q88)</f>
        <v>curl -X PUT http://172.16.148.160:8001/upstreams/ups-v510-toll_cal_setting</v>
      </c>
      <c r="S88" t="str">
        <f>SUBSTITUTE(SUBSTITUTE(SUBSTITUTE(SUBSTITUTE(kong_p1_var!$J$2,"&lt;kong_api_url&gt;",$Q88),"&lt;upstream_name&gt;",$F88),"&lt;port&gt;",$E88),"&lt;service_name&gt;",$G88)</f>
        <v>curl -X PUT http://172.16.148.160:8001/services/svc-v510-toll_cal_setting -H "Content-Type: application/json" -d '{"protocol":"http","host":"ups-v510-toll_cal_setting","port":31319}'</v>
      </c>
      <c r="T88" t="str">
        <f>SUBSTITUTE(SUBSTITUTE(SUBSTITUTE(SUBSTITUTE(SUBSTITUTE(kong_p1_var!$J$3,"&lt;kong_api_url&gt;",$Q88),"&lt;route_name&gt;",$H88),"&lt;service_name&gt;",$G88),"&lt;host&gt;",$O88),"&lt;path&gt;",$P88)</f>
        <v>curl -X PUT http://172.16.148.160:8001/services/svc-v510-toll_cal_setting/routes/route-v504-v510-toll_cal_setting -H "Content-Type: application/json" -d '{"protocols":["http"],"hosts":["172.16.149.183"],"paths":["/trust510/toll_cal_setting"]}'</v>
      </c>
      <c r="U88" t="str">
        <f t="shared" si="7"/>
        <v>curl -X POST http://172.16.148.160:8001/upstreams/ups-v510-toll_cal_setting/targets -d 'target=172.16.148.131:31319'</v>
      </c>
      <c r="V88" t="str">
        <f t="shared" si="8"/>
        <v>curl -X POST http://172.16.148.160:8001/upstreams/ups-v510-toll_cal_setting/targets -d 'target=172.16.148.132:31319'</v>
      </c>
      <c r="W88" t="str">
        <f t="shared" si="9"/>
        <v>curl -X POST http://172.16.148.160:8001/upstreams/ups-v510-toll_cal_setting/targets -d 'target=172.16.148.133:31319'</v>
      </c>
      <c r="X88" t="str">
        <f t="shared" si="10"/>
        <v>curl -X POST http://172.16.148.160:8001/upstreams/ups-v510-toll_cal_setting/targets -d 'target=172.16.148.134:31319'</v>
      </c>
      <c r="Y88" t="str">
        <f t="shared" si="11"/>
        <v>curl -X POST http://172.16.148.160:8001/upstreams/ups-v510-toll_cal_setting/targets -d 'target=172.16.148.135:31319'</v>
      </c>
      <c r="Z88" t="str">
        <f t="shared" si="12"/>
        <v>curl -X POST http://172.16.148.160:8001/upstreams/ups-v510-toll_cal_setting/targets -d 'target=172.16.148.136:31319'</v>
      </c>
    </row>
    <row r="89" spans="1:26" hidden="1">
      <c r="A89">
        <f>IF(ISNUMBER(SEARCH("rest_api",svc!R88)),1,0)</f>
        <v>1</v>
      </c>
      <c r="C89" t="str">
        <f>svc!D88</f>
        <v>trust</v>
      </c>
      <c r="D89" t="str">
        <f>svc!$B88</f>
        <v>v511</v>
      </c>
      <c r="E89">
        <f>svc!G88</f>
        <v>31001</v>
      </c>
      <c r="F89" t="str">
        <f>CONCATENATE("ups-",svc!$B88,"-",svc!I88)</f>
        <v>ups-v511-toms_api</v>
      </c>
      <c r="G89" t="str">
        <f>CONCATENATE("svc-",svc!$B88,"-",svc!I88)</f>
        <v>svc-v511-toms_api</v>
      </c>
      <c r="H89" t="e">
        <f>CONCATENATE("route-",VLOOKUP($D89,kong_p2_var!$B$10:$D$16,2,FALSE),"-",svc!$B88,"-",svc!I88)</f>
        <v>#N/A</v>
      </c>
      <c r="I89" t="e">
        <f>CONCATENATE(VLOOKUP($D89,kong_p2_var!$B$20:$H$26,SUBSTITUTE(I$1,"target_","") + 1,FALSE),":",$E89)</f>
        <v>#N/A</v>
      </c>
      <c r="J89" t="e">
        <f>CONCATENATE(VLOOKUP($D89,kong_p2_var!$B$20:$H$26,SUBSTITUTE(J$1,"target_","") + 1,FALSE),":",$E89)</f>
        <v>#N/A</v>
      </c>
      <c r="K89" t="e">
        <f>CONCATENATE(VLOOKUP($D89,kong_p2_var!$B$20:$H$26,SUBSTITUTE(K$1,"target_","") + 1,FALSE),":",$E89)</f>
        <v>#N/A</v>
      </c>
      <c r="L89" t="e">
        <f>IF($C89="dmz","",CONCATENATE(VLOOKUP($D89,kong_p2_var!$B$20:$H$26,SUBSTITUTE(L$1,"target_","") + 1,FALSE),":",$E89))</f>
        <v>#N/A</v>
      </c>
      <c r="M89" t="e">
        <f>IF($C89="dmz","",CONCATENATE(VLOOKUP($D89,kong_p2_var!$B$20:$H$26,SUBSTITUTE(M$1,"target_","") + 1,FALSE),":",$E89))</f>
        <v>#N/A</v>
      </c>
      <c r="N89" t="e">
        <f>IF($C89="dmz","",CONCATENATE(VLOOKUP($D89,kong_p2_var!$B$20:$H$26,SUBSTITUTE(N$1,"target_","") + 1,FALSE),":",$E89))</f>
        <v>#N/A</v>
      </c>
      <c r="O89" t="e">
        <f>VLOOKUP($D89,kong_p2_var!$B$10:$D$16,3,FALSE)</f>
        <v>#N/A</v>
      </c>
      <c r="P89" t="str">
        <f>CONCATENATE("/",C89,MID(D89,2,15),"/",svc!$I88)</f>
        <v>/trust511/toms_api</v>
      </c>
      <c r="Q89" t="str">
        <f>VLOOKUP(C89,kong_p2_var!$B$6:$C$7,2,FALSE)</f>
        <v>http://172.20.148.160:8001</v>
      </c>
      <c r="R89" t="str">
        <f>SUBSTITUTE(SUBSTITUTE(kong_p2_var!$J$1,"&lt;upstream_name&gt;",$F89),"&lt;kong_api_url&gt;",$Q89)</f>
        <v>curl -X PUT http://172.20.148.160:8001/upstreams/ups-v511-toms_api</v>
      </c>
      <c r="S89" t="str">
        <f>SUBSTITUTE(SUBSTITUTE(SUBSTITUTE(SUBSTITUTE(kong_p2_var!$J$2,"&lt;kong_api_url&gt;",$Q89),"&lt;upstream_name&gt;",$F89),"&lt;port&gt;",$E89),"&lt;service_name&gt;",$G89)</f>
        <v>curl -X PUT http://172.20.148.160:8001/services/svc-v511-toms_api -H "Content-Type: application/json" -d '{"protocol":"http","host":"ups-v511-toms_api","port":31001}'</v>
      </c>
      <c r="T89" t="e">
        <f>SUBSTITUTE(SUBSTITUTE(SUBSTITUTE(SUBSTITUTE(SUBSTITUTE(kong_p2_var!$J$3,"&lt;kong_api_url&gt;",$Q89),"&lt;route_name&gt;",$H89),"&lt;service_name&gt;",$G89),"&lt;host&gt;",$O89),"&lt;path&gt;",$P89)</f>
        <v>#N/A</v>
      </c>
      <c r="U89" t="e">
        <f t="shared" si="7"/>
        <v>#N/A</v>
      </c>
      <c r="V89" t="e">
        <f t="shared" si="8"/>
        <v>#N/A</v>
      </c>
      <c r="W89" t="e">
        <f t="shared" si="9"/>
        <v>#N/A</v>
      </c>
      <c r="X89" t="e">
        <f t="shared" si="10"/>
        <v>#N/A</v>
      </c>
      <c r="Y89" t="e">
        <f t="shared" si="11"/>
        <v>#N/A</v>
      </c>
      <c r="Z89" t="e">
        <f t="shared" si="12"/>
        <v>#N/A</v>
      </c>
    </row>
    <row r="90" spans="1:26" hidden="1">
      <c r="A90">
        <f>IF(ISNUMBER(SEARCH("rest_api",svc!R89)),1,0)</f>
        <v>1</v>
      </c>
      <c r="C90" t="str">
        <f>svc!D89</f>
        <v>trust</v>
      </c>
      <c r="D90" t="str">
        <f>svc!$B89</f>
        <v>v511</v>
      </c>
      <c r="E90">
        <f>svc!G89</f>
        <v>31004</v>
      </c>
      <c r="F90" t="str">
        <f>CONCATENATE("ups-",svc!$B89,"-",svc!I89)</f>
        <v>ups-v511-toms_auth_api</v>
      </c>
      <c r="G90" t="str">
        <f>CONCATENATE("svc-",svc!$B89,"-",svc!I89)</f>
        <v>svc-v511-toms_auth_api</v>
      </c>
      <c r="H90" t="e">
        <f>CONCATENATE("route-",VLOOKUP($D90,kong_p2_var!$B$10:$D$16,2,FALSE),"-",svc!$B89,"-",svc!I89)</f>
        <v>#N/A</v>
      </c>
      <c r="I90" t="e">
        <f>CONCATENATE(VLOOKUP($D90,kong_p2_var!$B$20:$H$26,SUBSTITUTE(I$1,"target_","") + 1,FALSE),":",$E90)</f>
        <v>#N/A</v>
      </c>
      <c r="J90" t="e">
        <f>CONCATENATE(VLOOKUP($D90,kong_p2_var!$B$20:$H$26,SUBSTITUTE(J$1,"target_","") + 1,FALSE),":",$E90)</f>
        <v>#N/A</v>
      </c>
      <c r="K90" t="e">
        <f>CONCATENATE(VLOOKUP($D90,kong_p2_var!$B$20:$H$26,SUBSTITUTE(K$1,"target_","") + 1,FALSE),":",$E90)</f>
        <v>#N/A</v>
      </c>
      <c r="L90" t="e">
        <f>IF($C90="dmz","",CONCATENATE(VLOOKUP($D90,kong_p2_var!$B$20:$H$26,SUBSTITUTE(L$1,"target_","") + 1,FALSE),":",$E90))</f>
        <v>#N/A</v>
      </c>
      <c r="M90" t="e">
        <f>IF($C90="dmz","",CONCATENATE(VLOOKUP($D90,kong_p2_var!$B$20:$H$26,SUBSTITUTE(M$1,"target_","") + 1,FALSE),":",$E90))</f>
        <v>#N/A</v>
      </c>
      <c r="N90" t="e">
        <f>IF($C90="dmz","",CONCATENATE(VLOOKUP($D90,kong_p2_var!$B$20:$H$26,SUBSTITUTE(N$1,"target_","") + 1,FALSE),":",$E90))</f>
        <v>#N/A</v>
      </c>
      <c r="O90" t="e">
        <f>VLOOKUP($D90,kong_p2_var!$B$10:$D$16,3,FALSE)</f>
        <v>#N/A</v>
      </c>
      <c r="P90" t="str">
        <f>CONCATENATE("/",C90,MID(D90,2,15),"/",svc!$I89)</f>
        <v>/trust511/toms_auth_api</v>
      </c>
      <c r="Q90" t="str">
        <f>VLOOKUP(C90,kong_p2_var!$B$6:$C$7,2,FALSE)</f>
        <v>http://172.20.148.160:8001</v>
      </c>
      <c r="R90" t="str">
        <f>SUBSTITUTE(SUBSTITUTE(kong_p2_var!$J$1,"&lt;upstream_name&gt;",$F90),"&lt;kong_api_url&gt;",$Q90)</f>
        <v>curl -X PUT http://172.20.148.160:8001/upstreams/ups-v511-toms_auth_api</v>
      </c>
      <c r="S90" t="str">
        <f>SUBSTITUTE(SUBSTITUTE(SUBSTITUTE(SUBSTITUTE(kong_p2_var!$J$2,"&lt;kong_api_url&gt;",$Q90),"&lt;upstream_name&gt;",$F90),"&lt;port&gt;",$E90),"&lt;service_name&gt;",$G90)</f>
        <v>curl -X PUT http://172.20.148.160:8001/services/svc-v511-toms_auth_api -H "Content-Type: application/json" -d '{"protocol":"http","host":"ups-v511-toms_auth_api","port":31004}'</v>
      </c>
      <c r="T90" t="e">
        <f>SUBSTITUTE(SUBSTITUTE(SUBSTITUTE(SUBSTITUTE(SUBSTITUTE(kong_p2_var!$J$3,"&lt;kong_api_url&gt;",$Q90),"&lt;route_name&gt;",$H90),"&lt;service_name&gt;",$G90),"&lt;host&gt;",$O90),"&lt;path&gt;",$P90)</f>
        <v>#N/A</v>
      </c>
      <c r="U90" t="e">
        <f t="shared" si="7"/>
        <v>#N/A</v>
      </c>
      <c r="V90" t="e">
        <f t="shared" si="8"/>
        <v>#N/A</v>
      </c>
      <c r="W90" t="e">
        <f t="shared" si="9"/>
        <v>#N/A</v>
      </c>
      <c r="X90" t="e">
        <f t="shared" si="10"/>
        <v>#N/A</v>
      </c>
      <c r="Y90" t="e">
        <f t="shared" si="11"/>
        <v>#N/A</v>
      </c>
      <c r="Z90" t="e">
        <f t="shared" si="12"/>
        <v>#N/A</v>
      </c>
    </row>
    <row r="91" spans="1:26">
      <c r="A91">
        <f>IF(ISNUMBER(SEARCH("rest_api",svc!R90)),1,0)</f>
        <v>1</v>
      </c>
      <c r="C91" t="str">
        <f>svc!D90</f>
        <v>trust</v>
      </c>
      <c r="D91" t="str">
        <f>svc!$B90</f>
        <v>v510</v>
      </c>
      <c r="E91">
        <f>svc!G90</f>
        <v>31021</v>
      </c>
      <c r="F91" t="str">
        <f>CONCATENATE("ups-",svc!$B90,"-",svc!I90)</f>
        <v>ups-v510-tx_validation</v>
      </c>
      <c r="G91" t="str">
        <f>CONCATENATE("svc-",svc!$B90,"-",svc!I90)</f>
        <v>svc-v510-tx_validation</v>
      </c>
      <c r="H91" t="str">
        <f>CONCATENATE("route-",VLOOKUP($D91,kong_p1_var!$B$10:$D$16,2,FALSE),"-",svc!$B90,"-",svc!I90)</f>
        <v>route-v504-v510-tx_validation</v>
      </c>
      <c r="I91" t="str">
        <f>CONCATENATE(VLOOKUP($D91,kong_p1_var!$B$20:$H$26,SUBSTITUTE(I$1,"target_","") + 1,FALSE),":",$E91)</f>
        <v>172.16.148.131:31021</v>
      </c>
      <c r="J91" t="str">
        <f>CONCATENATE(VLOOKUP($D91,kong_p1_var!$B$20:$H$26,SUBSTITUTE(J$1,"target_","") + 1,FALSE),":",$E91)</f>
        <v>172.16.148.132:31021</v>
      </c>
      <c r="K91" t="str">
        <f>CONCATENATE(VLOOKUP($D91,kong_p1_var!$B$20:$H$26,SUBSTITUTE(K$1,"target_","") + 1,FALSE),":",$E91)</f>
        <v>172.16.148.133:31021</v>
      </c>
      <c r="L91" t="str">
        <f>IF($C91="dmz","",CONCATENATE(VLOOKUP($D91,kong_p1_var!$B$20:$H$26,SUBSTITUTE(L$1,"target_","") + 1,FALSE),":",$E91))</f>
        <v>172.16.148.134:31021</v>
      </c>
      <c r="M91" t="str">
        <f>IF($C91="dmz","",CONCATENATE(VLOOKUP($D91,kong_p1_var!$B$20:$H$26,SUBSTITUTE(M$1,"target_","") + 1,FALSE),":",$E91))</f>
        <v>172.16.148.135:31021</v>
      </c>
      <c r="N91" t="str">
        <f>IF($C91="dmz","",CONCATENATE(VLOOKUP($D91,kong_p1_var!$B$20:$H$26,SUBSTITUTE(N$1,"target_","") + 1,FALSE),":",$E91))</f>
        <v>172.16.148.136:31021</v>
      </c>
      <c r="O91" t="str">
        <f>VLOOKUP($D91,kong_p1_var!$B$10:$D$16,3,FALSE)</f>
        <v>172.16.149.183</v>
      </c>
      <c r="P91" t="str">
        <f>CONCATENATE("/",C91,MID(D91,2,15),"/",svc!$I90)</f>
        <v>/trust510/tx_validation</v>
      </c>
      <c r="Q91" t="str">
        <f>VLOOKUP(C91,kong_p1_var!$B$6:$C$7,2,FALSE)</f>
        <v>http://172.16.148.160:8001</v>
      </c>
      <c r="R91" t="str">
        <f>SUBSTITUTE(SUBSTITUTE(kong_p1_var!$J$1,"&lt;upstream_name&gt;",$F91),"&lt;kong_api_url&gt;",$Q91)</f>
        <v>curl -X PUT http://172.16.148.160:8001/upstreams/ups-v510-tx_validation</v>
      </c>
      <c r="S91" t="str">
        <f>SUBSTITUTE(SUBSTITUTE(SUBSTITUTE(SUBSTITUTE(kong_p1_var!$J$2,"&lt;kong_api_url&gt;",$Q91),"&lt;upstream_name&gt;",$F91),"&lt;port&gt;",$E91),"&lt;service_name&gt;",$G91)</f>
        <v>curl -X PUT http://172.16.148.160:8001/services/svc-v510-tx_validation -H "Content-Type: application/json" -d '{"protocol":"http","host":"ups-v510-tx_validation","port":31021}'</v>
      </c>
      <c r="T91" t="str">
        <f>SUBSTITUTE(SUBSTITUTE(SUBSTITUTE(SUBSTITUTE(SUBSTITUTE(kong_p1_var!$J$3,"&lt;kong_api_url&gt;",$Q91),"&lt;route_name&gt;",$H91),"&lt;service_name&gt;",$G91),"&lt;host&gt;",$O91),"&lt;path&gt;",$P91)</f>
        <v>curl -X PUT http://172.16.148.160:8001/services/svc-v510-tx_validation/routes/route-v504-v510-tx_validation -H "Content-Type: application/json" -d '{"protocols":["http"],"hosts":["172.16.149.183"],"paths":["/trust510/tx_validation"]}'</v>
      </c>
      <c r="U91" t="str">
        <f t="shared" si="7"/>
        <v>curl -X POST http://172.16.148.160:8001/upstreams/ups-v510-tx_validation/targets -d 'target=172.16.148.131:31021'</v>
      </c>
      <c r="V91" t="str">
        <f t="shared" si="8"/>
        <v>curl -X POST http://172.16.148.160:8001/upstreams/ups-v510-tx_validation/targets -d 'target=172.16.148.132:31021'</v>
      </c>
      <c r="W91" t="str">
        <f t="shared" si="9"/>
        <v>curl -X POST http://172.16.148.160:8001/upstreams/ups-v510-tx_validation/targets -d 'target=172.16.148.133:31021'</v>
      </c>
      <c r="X91" t="str">
        <f t="shared" si="10"/>
        <v>curl -X POST http://172.16.148.160:8001/upstreams/ups-v510-tx_validation/targets -d 'target=172.16.148.134:31021'</v>
      </c>
      <c r="Y91" t="str">
        <f t="shared" si="11"/>
        <v>curl -X POST http://172.16.148.160:8001/upstreams/ups-v510-tx_validation/targets -d 'target=172.16.148.135:31021'</v>
      </c>
      <c r="Z91" t="str">
        <f t="shared" si="12"/>
        <v>curl -X POST http://172.16.148.160:8001/upstreams/ups-v510-tx_validation/targets -d 'target=172.16.148.136:31021'</v>
      </c>
    </row>
    <row r="92" spans="1:26">
      <c r="A92">
        <f>IF(ISNUMBER(SEARCH("rest_api",svc!R91)),1,0)</f>
        <v>1</v>
      </c>
      <c r="C92" t="str">
        <f>svc!D91</f>
        <v>trust</v>
      </c>
      <c r="D92" t="str">
        <f>svc!$B91</f>
        <v>v510</v>
      </c>
      <c r="E92">
        <f>svc!G91</f>
        <v>31216</v>
      </c>
      <c r="F92" t="str">
        <f>CONCATENATE("ups-",svc!$B91,"-",svc!I91)</f>
        <v>ups-v510-validv_api</v>
      </c>
      <c r="G92" t="str">
        <f>CONCATENATE("svc-",svc!$B91,"-",svc!I91)</f>
        <v>svc-v510-validv_api</v>
      </c>
      <c r="H92" t="str">
        <f>CONCATENATE("route-",VLOOKUP($D92,kong_p1_var!$B$10:$D$16,2,FALSE),"-",svc!$B91,"-",svc!I91)</f>
        <v>route-v504-v510-validv_api</v>
      </c>
      <c r="I92" t="str">
        <f>CONCATENATE(VLOOKUP($D92,kong_p1_var!$B$20:$H$26,SUBSTITUTE(I$1,"target_","") + 1,FALSE),":",$E92)</f>
        <v>172.16.148.131:31216</v>
      </c>
      <c r="J92" t="str">
        <f>CONCATENATE(VLOOKUP($D92,kong_p1_var!$B$20:$H$26,SUBSTITUTE(J$1,"target_","") + 1,FALSE),":",$E92)</f>
        <v>172.16.148.132:31216</v>
      </c>
      <c r="K92" t="str">
        <f>CONCATENATE(VLOOKUP($D92,kong_p1_var!$B$20:$H$26,SUBSTITUTE(K$1,"target_","") + 1,FALSE),":",$E92)</f>
        <v>172.16.148.133:31216</v>
      </c>
      <c r="L92" t="str">
        <f>IF($C92="dmz","",CONCATENATE(VLOOKUP($D92,kong_p1_var!$B$20:$H$26,SUBSTITUTE(L$1,"target_","") + 1,FALSE),":",$E92))</f>
        <v>172.16.148.134:31216</v>
      </c>
      <c r="M92" t="str">
        <f>IF($C92="dmz","",CONCATENATE(VLOOKUP($D92,kong_p1_var!$B$20:$H$26,SUBSTITUTE(M$1,"target_","") + 1,FALSE),":",$E92))</f>
        <v>172.16.148.135:31216</v>
      </c>
      <c r="N92" t="str">
        <f>IF($C92="dmz","",CONCATENATE(VLOOKUP($D92,kong_p1_var!$B$20:$H$26,SUBSTITUTE(N$1,"target_","") + 1,FALSE),":",$E92))</f>
        <v>172.16.148.136:31216</v>
      </c>
      <c r="O92" t="str">
        <f>VLOOKUP($D92,kong_p1_var!$B$10:$D$16,3,FALSE)</f>
        <v>172.16.149.183</v>
      </c>
      <c r="P92" t="str">
        <f>CONCATENATE("/",C92,MID(D92,2,15),"/",svc!$I91)</f>
        <v>/trust510/validv_api</v>
      </c>
      <c r="Q92" t="str">
        <f>VLOOKUP(C92,kong_p1_var!$B$6:$C$7,2,FALSE)</f>
        <v>http://172.16.148.160:8001</v>
      </c>
      <c r="R92" t="str">
        <f>SUBSTITUTE(SUBSTITUTE(kong_p1_var!$J$1,"&lt;upstream_name&gt;",$F92),"&lt;kong_api_url&gt;",$Q92)</f>
        <v>curl -X PUT http://172.16.148.160:8001/upstreams/ups-v510-validv_api</v>
      </c>
      <c r="S92" t="str">
        <f>SUBSTITUTE(SUBSTITUTE(SUBSTITUTE(SUBSTITUTE(kong_p1_var!$J$2,"&lt;kong_api_url&gt;",$Q92),"&lt;upstream_name&gt;",$F92),"&lt;port&gt;",$E92),"&lt;service_name&gt;",$G92)</f>
        <v>curl -X PUT http://172.16.148.160:8001/services/svc-v510-validv_api -H "Content-Type: application/json" -d '{"protocol":"http","host":"ups-v510-validv_api","port":31216}'</v>
      </c>
      <c r="T92" t="str">
        <f>SUBSTITUTE(SUBSTITUTE(SUBSTITUTE(SUBSTITUTE(SUBSTITUTE(kong_p1_var!$J$3,"&lt;kong_api_url&gt;",$Q92),"&lt;route_name&gt;",$H92),"&lt;service_name&gt;",$G92),"&lt;host&gt;",$O92),"&lt;path&gt;",$P92)</f>
        <v>curl -X PUT http://172.16.148.160:8001/services/svc-v510-validv_api/routes/route-v504-v510-validv_api -H "Content-Type: application/json" -d '{"protocols":["http"],"hosts":["172.16.149.183"],"paths":["/trust510/validv_api"]}'</v>
      </c>
      <c r="U92" t="str">
        <f t="shared" si="7"/>
        <v>curl -X POST http://172.16.148.160:8001/upstreams/ups-v510-validv_api/targets -d 'target=172.16.148.131:31216'</v>
      </c>
      <c r="V92" t="str">
        <f t="shared" si="8"/>
        <v>curl -X POST http://172.16.148.160:8001/upstreams/ups-v510-validv_api/targets -d 'target=172.16.148.132:31216'</v>
      </c>
      <c r="W92" t="str">
        <f t="shared" si="9"/>
        <v>curl -X POST http://172.16.148.160:8001/upstreams/ups-v510-validv_api/targets -d 'target=172.16.148.133:31216'</v>
      </c>
      <c r="X92" t="str">
        <f t="shared" si="10"/>
        <v>curl -X POST http://172.16.148.160:8001/upstreams/ups-v510-validv_api/targets -d 'target=172.16.148.134:31216'</v>
      </c>
      <c r="Y92" t="str">
        <f t="shared" si="11"/>
        <v>curl -X POST http://172.16.148.160:8001/upstreams/ups-v510-validv_api/targets -d 'target=172.16.148.135:31216'</v>
      </c>
      <c r="Z92" t="str">
        <f t="shared" si="12"/>
        <v>curl -X POST http://172.16.148.160:8001/upstreams/ups-v510-validv_api/targets -d 'target=172.16.148.136:31216'</v>
      </c>
    </row>
    <row r="93" spans="1:26">
      <c r="A93">
        <f>IF(ISNUMBER(SEARCH("rest_api",svc!R92)),1,0)</f>
        <v>1</v>
      </c>
      <c r="C93" t="str">
        <f>svc!D92</f>
        <v>trust</v>
      </c>
      <c r="D93" t="str">
        <f>svc!$B92</f>
        <v>v510</v>
      </c>
      <c r="E93">
        <f>svc!G92</f>
        <v>31023</v>
      </c>
      <c r="F93" t="str">
        <f>CONCATENATE("ups-",svc!$B92,"-",svc!I92)</f>
        <v>ups-v510-vrm_verification</v>
      </c>
      <c r="G93" t="str">
        <f>CONCATENATE("svc-",svc!$B92,"-",svc!I92)</f>
        <v>svc-v510-vrm_verification</v>
      </c>
      <c r="H93" t="str">
        <f>CONCATENATE("route-",VLOOKUP($D93,kong_p1_var!$B$10:$D$16,2,FALSE),"-",svc!$B92,"-",svc!I92)</f>
        <v>route-v504-v510-vrm_verification</v>
      </c>
      <c r="I93" t="str">
        <f>CONCATENATE(VLOOKUP($D93,kong_p1_var!$B$20:$H$26,SUBSTITUTE(I$1,"target_","") + 1,FALSE),":",$E93)</f>
        <v>172.16.148.131:31023</v>
      </c>
      <c r="J93" t="str">
        <f>CONCATENATE(VLOOKUP($D93,kong_p1_var!$B$20:$H$26,SUBSTITUTE(J$1,"target_","") + 1,FALSE),":",$E93)</f>
        <v>172.16.148.132:31023</v>
      </c>
      <c r="K93" t="str">
        <f>CONCATENATE(VLOOKUP($D93,kong_p1_var!$B$20:$H$26,SUBSTITUTE(K$1,"target_","") + 1,FALSE),":",$E93)</f>
        <v>172.16.148.133:31023</v>
      </c>
      <c r="L93" t="str">
        <f>IF($C93="dmz","",CONCATENATE(VLOOKUP($D93,kong_p1_var!$B$20:$H$26,SUBSTITUTE(L$1,"target_","") + 1,FALSE),":",$E93))</f>
        <v>172.16.148.134:31023</v>
      </c>
      <c r="M93" t="str">
        <f>IF($C93="dmz","",CONCATENATE(VLOOKUP($D93,kong_p1_var!$B$20:$H$26,SUBSTITUTE(M$1,"target_","") + 1,FALSE),":",$E93))</f>
        <v>172.16.148.135:31023</v>
      </c>
      <c r="N93" t="str">
        <f>IF($C93="dmz","",CONCATENATE(VLOOKUP($D93,kong_p1_var!$B$20:$H$26,SUBSTITUTE(N$1,"target_","") + 1,FALSE),":",$E93))</f>
        <v>172.16.148.136:31023</v>
      </c>
      <c r="O93" t="str">
        <f>VLOOKUP($D93,kong_p1_var!$B$10:$D$16,3,FALSE)</f>
        <v>172.16.149.183</v>
      </c>
      <c r="P93" t="str">
        <f>CONCATENATE("/",C93,MID(D93,2,15),"/",svc!$I92)</f>
        <v>/trust510/vrm_verification</v>
      </c>
      <c r="Q93" t="str">
        <f>VLOOKUP(C93,kong_p1_var!$B$6:$C$7,2,FALSE)</f>
        <v>http://172.16.148.160:8001</v>
      </c>
      <c r="R93" t="str">
        <f>SUBSTITUTE(SUBSTITUTE(kong_p1_var!$J$1,"&lt;upstream_name&gt;",$F93),"&lt;kong_api_url&gt;",$Q93)</f>
        <v>curl -X PUT http://172.16.148.160:8001/upstreams/ups-v510-vrm_verification</v>
      </c>
      <c r="S93" t="str">
        <f>SUBSTITUTE(SUBSTITUTE(SUBSTITUTE(SUBSTITUTE(kong_p1_var!$J$2,"&lt;kong_api_url&gt;",$Q93),"&lt;upstream_name&gt;",$F93),"&lt;port&gt;",$E93),"&lt;service_name&gt;",$G93)</f>
        <v>curl -X PUT http://172.16.148.160:8001/services/svc-v510-vrm_verification -H "Content-Type: application/json" -d '{"protocol":"http","host":"ups-v510-vrm_verification","port":31023}'</v>
      </c>
      <c r="T93" t="str">
        <f>SUBSTITUTE(SUBSTITUTE(SUBSTITUTE(SUBSTITUTE(SUBSTITUTE(kong_p1_var!$J$3,"&lt;kong_api_url&gt;",$Q93),"&lt;route_name&gt;",$H93),"&lt;service_name&gt;",$G93),"&lt;host&gt;",$O93),"&lt;path&gt;",$P93)</f>
        <v>curl -X PUT http://172.16.148.160:8001/services/svc-v510-vrm_verification/routes/route-v504-v510-vrm_verification -H "Content-Type: application/json" -d '{"protocols":["http"],"hosts":["172.16.149.183"],"paths":["/trust510/vrm_verification"]}'</v>
      </c>
      <c r="U93" t="str">
        <f t="shared" si="7"/>
        <v>curl -X POST http://172.16.148.160:8001/upstreams/ups-v510-vrm_verification/targets -d 'target=172.16.148.131:31023'</v>
      </c>
      <c r="V93" t="str">
        <f t="shared" si="8"/>
        <v>curl -X POST http://172.16.148.160:8001/upstreams/ups-v510-vrm_verification/targets -d 'target=172.16.148.132:31023'</v>
      </c>
      <c r="W93" t="str">
        <f t="shared" si="9"/>
        <v>curl -X POST http://172.16.148.160:8001/upstreams/ups-v510-vrm_verification/targets -d 'target=172.16.148.133:31023'</v>
      </c>
      <c r="X93" t="str">
        <f t="shared" si="10"/>
        <v>curl -X POST http://172.16.148.160:8001/upstreams/ups-v510-vrm_verification/targets -d 'target=172.16.148.134:31023'</v>
      </c>
      <c r="Y93" t="str">
        <f t="shared" si="11"/>
        <v>curl -X POST http://172.16.148.160:8001/upstreams/ups-v510-vrm_verification/targets -d 'target=172.16.148.135:31023'</v>
      </c>
      <c r="Z93" t="str">
        <f t="shared" si="12"/>
        <v>curl -X POST http://172.16.148.160:8001/upstreams/ups-v510-vrm_verification/targets -d 'target=172.16.148.136:31023'</v>
      </c>
    </row>
    <row r="94" spans="1:26">
      <c r="A94">
        <f>IF(ISNUMBER(SEARCH("rest_api",svc!R93)),1,0)</f>
        <v>1</v>
      </c>
      <c r="C94" t="str">
        <f>svc!D93</f>
        <v>trust</v>
      </c>
      <c r="D94" t="str">
        <f>svc!$B93</f>
        <v>v510</v>
      </c>
      <c r="E94">
        <f>svc!G93</f>
        <v>31020</v>
      </c>
      <c r="F94" t="str">
        <f>CONCATENATE("ups-",svc!$B93,"-",svc!I93)</f>
        <v>ups-v510-tag_validation</v>
      </c>
      <c r="G94" t="str">
        <f>CONCATENATE("svc-",svc!$B93,"-",svc!I93)</f>
        <v>svc-v510-tag_validation</v>
      </c>
      <c r="H94" t="str">
        <f>CONCATENATE("route-",VLOOKUP($D94,kong_p1_var!$B$10:$D$16,2,FALSE),"-",svc!$B93,"-",svc!I93)</f>
        <v>route-v504-v510-tag_validation</v>
      </c>
      <c r="I94" t="str">
        <f>CONCATENATE(VLOOKUP($D94,kong_p1_var!$B$20:$H$26,SUBSTITUTE(I$1,"target_","") + 1,FALSE),":",$E94)</f>
        <v>172.16.148.131:31020</v>
      </c>
      <c r="J94" t="str">
        <f>CONCATENATE(VLOOKUP($D94,kong_p1_var!$B$20:$H$26,SUBSTITUTE(J$1,"target_","") + 1,FALSE),":",$E94)</f>
        <v>172.16.148.132:31020</v>
      </c>
      <c r="K94" t="str">
        <f>CONCATENATE(VLOOKUP($D94,kong_p1_var!$B$20:$H$26,SUBSTITUTE(K$1,"target_","") + 1,FALSE),":",$E94)</f>
        <v>172.16.148.133:31020</v>
      </c>
      <c r="L94" t="str">
        <f>IF($C94="dmz","",CONCATENATE(VLOOKUP($D94,kong_p1_var!$B$20:$H$26,SUBSTITUTE(L$1,"target_","") + 1,FALSE),":",$E94))</f>
        <v>172.16.148.134:31020</v>
      </c>
      <c r="M94" t="str">
        <f>IF($C94="dmz","",CONCATENATE(VLOOKUP($D94,kong_p1_var!$B$20:$H$26,SUBSTITUTE(M$1,"target_","") + 1,FALSE),":",$E94))</f>
        <v>172.16.148.135:31020</v>
      </c>
      <c r="N94" t="str">
        <f>IF($C94="dmz","",CONCATENATE(VLOOKUP($D94,kong_p1_var!$B$20:$H$26,SUBSTITUTE(N$1,"target_","") + 1,FALSE),":",$E94))</f>
        <v>172.16.148.136:31020</v>
      </c>
      <c r="O94" t="str">
        <f>VLOOKUP($D94,kong_p1_var!$B$10:$D$16,3,FALSE)</f>
        <v>172.16.149.183</v>
      </c>
      <c r="P94" t="str">
        <f>CONCATENATE("/",C94,MID(D94,2,15),"/",svc!$I93)</f>
        <v>/trust510/tag_validation</v>
      </c>
      <c r="Q94" t="str">
        <f>VLOOKUP(C94,kong_p1_var!$B$6:$C$7,2,FALSE)</f>
        <v>http://172.16.148.160:8001</v>
      </c>
      <c r="R94" t="str">
        <f>SUBSTITUTE(SUBSTITUTE(kong_p1_var!$J$1,"&lt;upstream_name&gt;",$F94),"&lt;kong_api_url&gt;",$Q94)</f>
        <v>curl -X PUT http://172.16.148.160:8001/upstreams/ups-v510-tag_validation</v>
      </c>
      <c r="S94" t="str">
        <f>SUBSTITUTE(SUBSTITUTE(SUBSTITUTE(SUBSTITUTE(kong_p1_var!$J$2,"&lt;kong_api_url&gt;",$Q94),"&lt;upstream_name&gt;",$F94),"&lt;port&gt;",$E94),"&lt;service_name&gt;",$G94)</f>
        <v>curl -X PUT http://172.16.148.160:8001/services/svc-v510-tag_validation -H "Content-Type: application/json" -d '{"protocol":"http","host":"ups-v510-tag_validation","port":31020}'</v>
      </c>
      <c r="T94" t="str">
        <f>SUBSTITUTE(SUBSTITUTE(SUBSTITUTE(SUBSTITUTE(SUBSTITUTE(kong_p1_var!$J$3,"&lt;kong_api_url&gt;",$Q94),"&lt;route_name&gt;",$H94),"&lt;service_name&gt;",$G94),"&lt;host&gt;",$O94),"&lt;path&gt;",$P94)</f>
        <v>curl -X PUT http://172.16.148.160:8001/services/svc-v510-tag_validation/routes/route-v504-v510-tag_validation -H "Content-Type: application/json" -d '{"protocols":["http"],"hosts":["172.16.149.183"],"paths":["/trust510/tag_validation"]}'</v>
      </c>
      <c r="U94" t="str">
        <f t="shared" si="7"/>
        <v>curl -X POST http://172.16.148.160:8001/upstreams/ups-v510-tag_validation/targets -d 'target=172.16.148.131:31020'</v>
      </c>
      <c r="V94" t="str">
        <f t="shared" si="8"/>
        <v>curl -X POST http://172.16.148.160:8001/upstreams/ups-v510-tag_validation/targets -d 'target=172.16.148.132:31020'</v>
      </c>
      <c r="W94" t="str">
        <f t="shared" si="9"/>
        <v>curl -X POST http://172.16.148.160:8001/upstreams/ups-v510-tag_validation/targets -d 'target=172.16.148.133:31020'</v>
      </c>
      <c r="X94" t="str">
        <f t="shared" si="10"/>
        <v>curl -X POST http://172.16.148.160:8001/upstreams/ups-v510-tag_validation/targets -d 'target=172.16.148.134:31020'</v>
      </c>
      <c r="Y94" t="str">
        <f t="shared" si="11"/>
        <v>curl -X POST http://172.16.148.160:8001/upstreams/ups-v510-tag_validation/targets -d 'target=172.16.148.135:31020'</v>
      </c>
      <c r="Z94" t="str">
        <f t="shared" si="12"/>
        <v>curl -X POST http://172.16.148.160:8001/upstreams/ups-v510-tag_validation/targets -d 'target=172.16.148.136:31020'</v>
      </c>
    </row>
    <row r="95" spans="1:26">
      <c r="A95">
        <f>IF(ISNUMBER(SEARCH("rest_api",svc!R94)),1,0)</f>
        <v>1</v>
      </c>
      <c r="C95" t="str">
        <f>svc!D94</f>
        <v>trust</v>
      </c>
      <c r="D95" t="str">
        <f>svc!$B94</f>
        <v>v510</v>
      </c>
      <c r="E95">
        <f>svc!G94</f>
        <v>31022</v>
      </c>
      <c r="F95" t="str">
        <f>CONCATENATE("ups-",svc!$B94,"-",svc!I94)</f>
        <v>ups-v510-posted_tx_validation</v>
      </c>
      <c r="G95" t="str">
        <f>CONCATENATE("svc-",svc!$B94,"-",svc!I94)</f>
        <v>svc-v510-posted_tx_validation</v>
      </c>
      <c r="H95" t="str">
        <f>CONCATENATE("route-",VLOOKUP($D95,kong_p1_var!$B$10:$D$16,2,FALSE),"-",svc!$B94,"-",svc!I94)</f>
        <v>route-v504-v510-posted_tx_validation</v>
      </c>
      <c r="I95" t="str">
        <f>CONCATENATE(VLOOKUP($D95,kong_p1_var!$B$20:$H$26,SUBSTITUTE(I$1,"target_","") + 1,FALSE),":",$E95)</f>
        <v>172.16.148.131:31022</v>
      </c>
      <c r="J95" t="str">
        <f>CONCATENATE(VLOOKUP($D95,kong_p1_var!$B$20:$H$26,SUBSTITUTE(J$1,"target_","") + 1,FALSE),":",$E95)</f>
        <v>172.16.148.132:31022</v>
      </c>
      <c r="K95" t="str">
        <f>CONCATENATE(VLOOKUP($D95,kong_p1_var!$B$20:$H$26,SUBSTITUTE(K$1,"target_","") + 1,FALSE),":",$E95)</f>
        <v>172.16.148.133:31022</v>
      </c>
      <c r="L95" t="str">
        <f>IF($C95="dmz","",CONCATENATE(VLOOKUP($D95,kong_p1_var!$B$20:$H$26,SUBSTITUTE(L$1,"target_","") + 1,FALSE),":",$E95))</f>
        <v>172.16.148.134:31022</v>
      </c>
      <c r="M95" t="str">
        <f>IF($C95="dmz","",CONCATENATE(VLOOKUP($D95,kong_p1_var!$B$20:$H$26,SUBSTITUTE(M$1,"target_","") + 1,FALSE),":",$E95))</f>
        <v>172.16.148.135:31022</v>
      </c>
      <c r="N95" t="str">
        <f>IF($C95="dmz","",CONCATENATE(VLOOKUP($D95,kong_p1_var!$B$20:$H$26,SUBSTITUTE(N$1,"target_","") + 1,FALSE),":",$E95))</f>
        <v>172.16.148.136:31022</v>
      </c>
      <c r="O95" t="str">
        <f>VLOOKUP($D95,kong_p1_var!$B$10:$D$16,3,FALSE)</f>
        <v>172.16.149.183</v>
      </c>
      <c r="P95" t="str">
        <f>CONCATENATE("/",C95,MID(D95,2,15),"/",svc!$I94)</f>
        <v>/trust510/posted_tx_validation</v>
      </c>
      <c r="Q95" t="str">
        <f>VLOOKUP(C95,kong_p1_var!$B$6:$C$7,2,FALSE)</f>
        <v>http://172.16.148.160:8001</v>
      </c>
      <c r="R95" t="str">
        <f>SUBSTITUTE(SUBSTITUTE(kong_p1_var!$J$1,"&lt;upstream_name&gt;",$F95),"&lt;kong_api_url&gt;",$Q95)</f>
        <v>curl -X PUT http://172.16.148.160:8001/upstreams/ups-v510-posted_tx_validation</v>
      </c>
      <c r="S95" t="str">
        <f>SUBSTITUTE(SUBSTITUTE(SUBSTITUTE(SUBSTITUTE(kong_p1_var!$J$2,"&lt;kong_api_url&gt;",$Q95),"&lt;upstream_name&gt;",$F95),"&lt;port&gt;",$E95),"&lt;service_name&gt;",$G95)</f>
        <v>curl -X PUT http://172.16.148.160:8001/services/svc-v510-posted_tx_validation -H "Content-Type: application/json" -d '{"protocol":"http","host":"ups-v510-posted_tx_validation","port":31022}'</v>
      </c>
      <c r="T95" t="str">
        <f>SUBSTITUTE(SUBSTITUTE(SUBSTITUTE(SUBSTITUTE(SUBSTITUTE(kong_p1_var!$J$3,"&lt;kong_api_url&gt;",$Q95),"&lt;route_name&gt;",$H95),"&lt;service_name&gt;",$G95),"&lt;host&gt;",$O95),"&lt;path&gt;",$P95)</f>
        <v>curl -X PUT http://172.16.148.160:8001/services/svc-v510-posted_tx_validation/routes/route-v504-v510-posted_tx_validation -H "Content-Type: application/json" -d '{"protocols":["http"],"hosts":["172.16.149.183"],"paths":["/trust510/posted_tx_validation"]}'</v>
      </c>
      <c r="U95" t="str">
        <f t="shared" si="7"/>
        <v>curl -X POST http://172.16.148.160:8001/upstreams/ups-v510-posted_tx_validation/targets -d 'target=172.16.148.131:31022'</v>
      </c>
      <c r="V95" t="str">
        <f t="shared" si="8"/>
        <v>curl -X POST http://172.16.148.160:8001/upstreams/ups-v510-posted_tx_validation/targets -d 'target=172.16.148.132:31022'</v>
      </c>
      <c r="W95" t="str">
        <f t="shared" si="9"/>
        <v>curl -X POST http://172.16.148.160:8001/upstreams/ups-v510-posted_tx_validation/targets -d 'target=172.16.148.133:31022'</v>
      </c>
      <c r="X95" t="str">
        <f t="shared" si="10"/>
        <v>curl -X POST http://172.16.148.160:8001/upstreams/ups-v510-posted_tx_validation/targets -d 'target=172.16.148.134:31022'</v>
      </c>
      <c r="Y95" t="str">
        <f t="shared" si="11"/>
        <v>curl -X POST http://172.16.148.160:8001/upstreams/ups-v510-posted_tx_validation/targets -d 'target=172.16.148.135:31022'</v>
      </c>
      <c r="Z95" t="str">
        <f t="shared" si="12"/>
        <v>curl -X POST http://172.16.148.160:8001/upstreams/ups-v510-posted_tx_validation/targets -d 'target=172.16.148.136:31022'</v>
      </c>
    </row>
    <row r="96" spans="1:26">
      <c r="A96">
        <f>IF(ISNUMBER(SEARCH("rest_api",svc!R95)),1,0)</f>
        <v>1</v>
      </c>
      <c r="C96" t="str">
        <f>svc!D95</f>
        <v>trust</v>
      </c>
      <c r="D96" t="str">
        <f>svc!$B95</f>
        <v>v510</v>
      </c>
      <c r="E96">
        <f>svc!G95</f>
        <v>31220</v>
      </c>
      <c r="F96" t="str">
        <f>CONCATENATE("ups-",svc!$B95,"-",svc!I95)</f>
        <v>ups-v510-s3_api</v>
      </c>
      <c r="G96" t="str">
        <f>CONCATENATE("svc-",svc!$B95,"-",svc!I95)</f>
        <v>svc-v510-s3_api</v>
      </c>
      <c r="H96" t="str">
        <f>CONCATENATE("route-",VLOOKUP($D96,kong_p1_var!$B$10:$D$16,2,FALSE),"-",svc!$B95,"-",svc!I95)</f>
        <v>route-v504-v510-s3_api</v>
      </c>
      <c r="I96" t="str">
        <f>CONCATENATE(VLOOKUP($D96,kong_p1_var!$B$20:$H$26,SUBSTITUTE(I$1,"target_","") + 1,FALSE),":",$E96)</f>
        <v>172.16.148.131:31220</v>
      </c>
      <c r="J96" t="str">
        <f>CONCATENATE(VLOOKUP($D96,kong_p1_var!$B$20:$H$26,SUBSTITUTE(J$1,"target_","") + 1,FALSE),":",$E96)</f>
        <v>172.16.148.132:31220</v>
      </c>
      <c r="K96" t="str">
        <f>CONCATENATE(VLOOKUP($D96,kong_p1_var!$B$20:$H$26,SUBSTITUTE(K$1,"target_","") + 1,FALSE),":",$E96)</f>
        <v>172.16.148.133:31220</v>
      </c>
      <c r="L96" t="str">
        <f>IF($C96="dmz","",CONCATENATE(VLOOKUP($D96,kong_p1_var!$B$20:$H$26,SUBSTITUTE(L$1,"target_","") + 1,FALSE),":",$E96))</f>
        <v>172.16.148.134:31220</v>
      </c>
      <c r="M96" t="str">
        <f>IF($C96="dmz","",CONCATENATE(VLOOKUP($D96,kong_p1_var!$B$20:$H$26,SUBSTITUTE(M$1,"target_","") + 1,FALSE),":",$E96))</f>
        <v>172.16.148.135:31220</v>
      </c>
      <c r="N96" t="str">
        <f>IF($C96="dmz","",CONCATENATE(VLOOKUP($D96,kong_p1_var!$B$20:$H$26,SUBSTITUTE(N$1,"target_","") + 1,FALSE),":",$E96))</f>
        <v>172.16.148.136:31220</v>
      </c>
      <c r="O96" t="str">
        <f>VLOOKUP($D96,kong_p1_var!$B$10:$D$16,3,FALSE)</f>
        <v>172.16.149.183</v>
      </c>
      <c r="P96" t="str">
        <f>CONCATENATE("/",C96,MID(D96,2,15),"/",svc!$I95)</f>
        <v>/trust510/s3_api</v>
      </c>
      <c r="Q96" t="str">
        <f>VLOOKUP(C96,kong_p1_var!$B$6:$C$7,2,FALSE)</f>
        <v>http://172.16.148.160:8001</v>
      </c>
      <c r="R96" t="str">
        <f>SUBSTITUTE(SUBSTITUTE(kong_p1_var!$J$1,"&lt;upstream_name&gt;",$F96),"&lt;kong_api_url&gt;",$Q96)</f>
        <v>curl -X PUT http://172.16.148.160:8001/upstreams/ups-v510-s3_api</v>
      </c>
      <c r="S96" t="str">
        <f>SUBSTITUTE(SUBSTITUTE(SUBSTITUTE(SUBSTITUTE(kong_p1_var!$J$2,"&lt;kong_api_url&gt;",$Q96),"&lt;upstream_name&gt;",$F96),"&lt;port&gt;",$E96),"&lt;service_name&gt;",$G96)</f>
        <v>curl -X PUT http://172.16.148.160:8001/services/svc-v510-s3_api -H "Content-Type: application/json" -d '{"protocol":"http","host":"ups-v510-s3_api","port":31220}'</v>
      </c>
      <c r="T96" t="str">
        <f>SUBSTITUTE(SUBSTITUTE(SUBSTITUTE(SUBSTITUTE(SUBSTITUTE(kong_p1_var!$J$3,"&lt;kong_api_url&gt;",$Q96),"&lt;route_name&gt;",$H96),"&lt;service_name&gt;",$G96),"&lt;host&gt;",$O96),"&lt;path&gt;",$P96)</f>
        <v>curl -X PUT http://172.16.148.160:8001/services/svc-v510-s3_api/routes/route-v504-v510-s3_api -H "Content-Type: application/json" -d '{"protocols":["http"],"hosts":["172.16.149.183"],"paths":["/trust510/s3_api"]}'</v>
      </c>
      <c r="U96" t="str">
        <f t="shared" si="7"/>
        <v>curl -X POST http://172.16.148.160:8001/upstreams/ups-v510-s3_api/targets -d 'target=172.16.148.131:31220'</v>
      </c>
      <c r="V96" t="str">
        <f t="shared" si="8"/>
        <v>curl -X POST http://172.16.148.160:8001/upstreams/ups-v510-s3_api/targets -d 'target=172.16.148.132:31220'</v>
      </c>
      <c r="W96" t="str">
        <f t="shared" si="9"/>
        <v>curl -X POST http://172.16.148.160:8001/upstreams/ups-v510-s3_api/targets -d 'target=172.16.148.133:31220'</v>
      </c>
      <c r="X96" t="str">
        <f t="shared" si="10"/>
        <v>curl -X POST http://172.16.148.160:8001/upstreams/ups-v510-s3_api/targets -d 'target=172.16.148.134:31220'</v>
      </c>
      <c r="Y96" t="str">
        <f t="shared" si="11"/>
        <v>curl -X POST http://172.16.148.160:8001/upstreams/ups-v510-s3_api/targets -d 'target=172.16.148.135:31220'</v>
      </c>
      <c r="Z96" t="str">
        <f t="shared" si="12"/>
        <v>curl -X POST http://172.16.148.160:8001/upstreams/ups-v510-s3_api/targets -d 'target=172.16.148.136:31220'</v>
      </c>
    </row>
    <row r="97" spans="1:26">
      <c r="A97">
        <f>IF(ISNUMBER(SEARCH("rest_api",svc!R96)),1,0)</f>
        <v>1</v>
      </c>
      <c r="C97" t="str">
        <f>svc!D96</f>
        <v>dmz</v>
      </c>
      <c r="D97" t="str">
        <f>svc!$B96</f>
        <v>v504</v>
      </c>
      <c r="E97">
        <f>svc!G96</f>
        <v>31050</v>
      </c>
      <c r="F97" t="str">
        <f>CONCATENATE("ups-",svc!$B96,"-",svc!I96)</f>
        <v>ups-v504-bes_wmm2</v>
      </c>
      <c r="G97" t="str">
        <f>CONCATENATE("svc-",svc!$B96,"-",svc!I96)</f>
        <v>svc-v504-bes_wmm2</v>
      </c>
      <c r="H97" t="str">
        <f>CONCATENATE("route-",VLOOKUP($D97,kong_p1_var!$B$10:$D$16,2,FALSE),"-",svc!$B96,"-",svc!I96)</f>
        <v>route-v510-v504-bes_wmm2</v>
      </c>
      <c r="I97" t="str">
        <f>CONCATENATE(VLOOKUP($D97,kong_p1_var!$B$20:$H$26,SUBSTITUTE(I$1,"target_","") + 1,FALSE),":",$E97)</f>
        <v>172.16.148.102:31050</v>
      </c>
      <c r="J97" t="str">
        <f>CONCATENATE(VLOOKUP($D97,kong_p1_var!$B$20:$H$26,SUBSTITUTE(J$1,"target_","") + 1,FALSE),":",$E97)</f>
        <v>172.16.148.103:31050</v>
      </c>
      <c r="K97" t="str">
        <f>CONCATENATE(VLOOKUP($D97,kong_p1_var!$B$20:$H$26,SUBSTITUTE(K$1,"target_","") + 1,FALSE),":",$E97)</f>
        <v>172.16.148.104:31050</v>
      </c>
      <c r="L97" t="str">
        <f>IF($C97="dmz","",CONCATENATE(VLOOKUP($D97,kong_p1_var!$B$20:$H$26,SUBSTITUTE(L$1,"target_","") + 1,FALSE),":",$E97))</f>
        <v/>
      </c>
      <c r="M97" t="str">
        <f>IF($C97="dmz","",CONCATENATE(VLOOKUP($D97,kong_p1_var!$B$20:$H$26,SUBSTITUTE(M$1,"target_","") + 1,FALSE),":",$E97))</f>
        <v/>
      </c>
      <c r="N97" t="str">
        <f>IF($C97="dmz","",CONCATENATE(VLOOKUP($D97,kong_p1_var!$B$20:$H$26,SUBSTITUTE(N$1,"target_","") + 1,FALSE),":",$E97))</f>
        <v/>
      </c>
      <c r="O97" t="str">
        <f>VLOOKUP($D97,kong_p1_var!$B$10:$D$16,3,FALSE)</f>
        <v>172.16.148.71</v>
      </c>
      <c r="P97" t="str">
        <f>CONCATENATE("/",C97,MID(D97,2,15),"/",svc!$I96)</f>
        <v>/dmz504/bes_wmm2</v>
      </c>
      <c r="Q97" t="str">
        <f>VLOOKUP(C97,kong_p1_var!$B$6:$C$7,2,FALSE)</f>
        <v>http://172.16.149.80:8001</v>
      </c>
      <c r="R97" t="str">
        <f>SUBSTITUTE(SUBSTITUTE(kong_p1_var!$J$1,"&lt;upstream_name&gt;",$F97),"&lt;kong_api_url&gt;",$Q97)</f>
        <v>curl -X PUT http://172.16.149.80:8001/upstreams/ups-v504-bes_wmm2</v>
      </c>
      <c r="S97" t="str">
        <f>SUBSTITUTE(SUBSTITUTE(SUBSTITUTE(SUBSTITUTE(kong_p1_var!$J$2,"&lt;kong_api_url&gt;",$Q97),"&lt;upstream_name&gt;",$F97),"&lt;port&gt;",$E97),"&lt;service_name&gt;",$G97)</f>
        <v>curl -X PUT http://172.16.149.80:8001/services/svc-v504-bes_wmm2 -H "Content-Type: application/json" -d '{"protocol":"http","host":"ups-v504-bes_wmm2","port":31050}'</v>
      </c>
      <c r="T97" t="str">
        <f>SUBSTITUTE(SUBSTITUTE(SUBSTITUTE(SUBSTITUTE(SUBSTITUTE(kong_p1_var!$J$3,"&lt;kong_api_url&gt;",$Q97),"&lt;route_name&gt;",$H97),"&lt;service_name&gt;",$G97),"&lt;host&gt;",$O97),"&lt;path&gt;",$P97)</f>
        <v>curl -X PUT http://172.16.149.80:8001/services/svc-v504-bes_wmm2/routes/route-v510-v504-bes_wmm2 -H "Content-Type: application/json" -d '{"protocols":["http"],"hosts":["172.16.148.71"],"paths":["/dmz504/bes_wmm2"]}'</v>
      </c>
      <c r="U97" t="str">
        <f t="shared" si="7"/>
        <v>curl -X POST http://172.16.149.80:8001/upstreams/ups-v504-bes_wmm2/targets -d 'target=172.16.148.102:31050'</v>
      </c>
      <c r="V97" t="str">
        <f t="shared" si="8"/>
        <v>curl -X POST http://172.16.149.80:8001/upstreams/ups-v504-bes_wmm2/targets -d 'target=172.16.148.103:31050'</v>
      </c>
      <c r="W97" t="str">
        <f t="shared" si="9"/>
        <v>curl -X POST http://172.16.149.80:8001/upstreams/ups-v504-bes_wmm2/targets -d 'target=172.16.148.104:31050'</v>
      </c>
      <c r="X97" t="str">
        <f t="shared" si="10"/>
        <v/>
      </c>
      <c r="Y97" t="str">
        <f t="shared" si="11"/>
        <v/>
      </c>
      <c r="Z97" t="str">
        <f t="shared" si="12"/>
        <v/>
      </c>
    </row>
    <row r="98" spans="1:26">
      <c r="A98">
        <f>IF(ISNUMBER(SEARCH("rest_api",svc!R97)),1,0)</f>
        <v>1</v>
      </c>
      <c r="C98" t="str">
        <f>svc!D97</f>
        <v>dmz</v>
      </c>
      <c r="D98" t="str">
        <f>svc!$B97</f>
        <v>v804</v>
      </c>
      <c r="E98">
        <f>svc!G97</f>
        <v>31050</v>
      </c>
      <c r="F98" t="str">
        <f>CONCATENATE("ups-",svc!$B97,"-",svc!I97)</f>
        <v>ups-v804-bes_wmm2</v>
      </c>
      <c r="G98" t="str">
        <f>CONCATENATE("svc-",svc!$B97,"-",svc!I97)</f>
        <v>svc-v804-bes_wmm2</v>
      </c>
      <c r="H98" t="str">
        <f>CONCATENATE("route-",VLOOKUP($D98,kong_p1_var!$B$10:$D$16,2,FALSE),"-",svc!$B97,"-",svc!I97)</f>
        <v>route-v810-v804-bes_wmm2</v>
      </c>
      <c r="I98" t="str">
        <f>CONCATENATE(VLOOKUP($D98,kong_p1_var!$B$20:$H$26,SUBSTITUTE(I$1,"target_","") + 1,FALSE),":",$E98)</f>
        <v>172.16.149.70:31050</v>
      </c>
      <c r="J98" t="str">
        <f>CONCATENATE(VLOOKUP($D98,kong_p1_var!$B$20:$H$26,SUBSTITUTE(J$1,"target_","") + 1,FALSE),":",$E98)</f>
        <v>172.16.149.71:31050</v>
      </c>
      <c r="K98" t="str">
        <f>CONCATENATE(VLOOKUP($D98,kong_p1_var!$B$20:$H$26,SUBSTITUTE(K$1,"target_","") + 1,FALSE),":",$E98)</f>
        <v>172.16.149.72:31050</v>
      </c>
      <c r="L98" t="str">
        <f>IF($C98="dmz","",CONCATENATE(VLOOKUP($D98,kong_p1_var!$B$20:$H$26,SUBSTITUTE(L$1,"target_","") + 1,FALSE),":",$E98))</f>
        <v/>
      </c>
      <c r="M98" t="str">
        <f>IF($C98="dmz","",CONCATENATE(VLOOKUP($D98,kong_p1_var!$B$20:$H$26,SUBSTITUTE(M$1,"target_","") + 1,FALSE),":",$E98))</f>
        <v/>
      </c>
      <c r="N98" t="str">
        <f>IF($C98="dmz","",CONCATENATE(VLOOKUP($D98,kong_p1_var!$B$20:$H$26,SUBSTITUTE(N$1,"target_","") + 1,FALSE),":",$E98))</f>
        <v/>
      </c>
      <c r="O98" t="str">
        <f>VLOOKUP($D98,kong_p1_var!$B$10:$D$16,3,FALSE)</f>
        <v>172.16.151.71</v>
      </c>
      <c r="P98" t="str">
        <f>CONCATENATE("/",C98,MID(D98,2,15),"/",svc!$I97)</f>
        <v>/dmz804/bes_wmm2</v>
      </c>
      <c r="Q98" t="str">
        <f>VLOOKUP(C98,kong_p1_var!$B$6:$C$7,2,FALSE)</f>
        <v>http://172.16.149.80:8001</v>
      </c>
      <c r="R98" t="str">
        <f>SUBSTITUTE(SUBSTITUTE(kong_p1_var!$J$1,"&lt;upstream_name&gt;",$F98),"&lt;kong_api_url&gt;",$Q98)</f>
        <v>curl -X PUT http://172.16.149.80:8001/upstreams/ups-v804-bes_wmm2</v>
      </c>
      <c r="S98" t="str">
        <f>SUBSTITUTE(SUBSTITUTE(SUBSTITUTE(SUBSTITUTE(kong_p1_var!$J$2,"&lt;kong_api_url&gt;",$Q98),"&lt;upstream_name&gt;",$F98),"&lt;port&gt;",$E98),"&lt;service_name&gt;",$G98)</f>
        <v>curl -X PUT http://172.16.149.80:8001/services/svc-v804-bes_wmm2 -H "Content-Type: application/json" -d '{"protocol":"http","host":"ups-v804-bes_wmm2","port":31050}'</v>
      </c>
      <c r="T98" t="str">
        <f>SUBSTITUTE(SUBSTITUTE(SUBSTITUTE(SUBSTITUTE(SUBSTITUTE(kong_p1_var!$J$3,"&lt;kong_api_url&gt;",$Q98),"&lt;route_name&gt;",$H98),"&lt;service_name&gt;",$G98),"&lt;host&gt;",$O98),"&lt;path&gt;",$P98)</f>
        <v>curl -X PUT http://172.16.149.80:8001/services/svc-v804-bes_wmm2/routes/route-v810-v804-bes_wmm2 -H "Content-Type: application/json" -d '{"protocols":["http"],"hosts":["172.16.151.71"],"paths":["/dmz804/bes_wmm2"]}'</v>
      </c>
      <c r="U98" t="str">
        <f t="shared" si="7"/>
        <v>curl -X POST http://172.16.149.80:8001/upstreams/ups-v804-bes_wmm2/targets -d 'target=172.16.149.70:31050'</v>
      </c>
      <c r="V98" t="str">
        <f t="shared" si="8"/>
        <v>curl -X POST http://172.16.149.80:8001/upstreams/ups-v804-bes_wmm2/targets -d 'target=172.16.149.71:31050'</v>
      </c>
      <c r="W98" t="str">
        <f t="shared" si="9"/>
        <v>curl -X POST http://172.16.149.80:8001/upstreams/ups-v804-bes_wmm2/targets -d 'target=172.16.149.72:31050'</v>
      </c>
      <c r="X98" t="str">
        <f t="shared" si="10"/>
        <v/>
      </c>
      <c r="Y98" t="str">
        <f t="shared" si="11"/>
        <v/>
      </c>
      <c r="Z98" t="str">
        <f t="shared" si="12"/>
        <v/>
      </c>
    </row>
    <row r="99" spans="1:26">
      <c r="A99">
        <f>IF(ISNUMBER(SEARCH("rest_api",svc!R98)),1,0)</f>
        <v>1</v>
      </c>
      <c r="C99" t="str">
        <f>svc!D98</f>
        <v>dmz</v>
      </c>
      <c r="D99" t="str">
        <f>svc!$B98</f>
        <v>v504</v>
      </c>
      <c r="E99">
        <f>svc!G98</f>
        <v>31082</v>
      </c>
      <c r="F99" t="str">
        <f>CONCATENATE("ups-",svc!$B98,"-",svc!I98)</f>
        <v>ups-v504-bes_ttis</v>
      </c>
      <c r="G99" t="str">
        <f>CONCATENATE("svc-",svc!$B98,"-",svc!I98)</f>
        <v>svc-v504-bes_ttis</v>
      </c>
      <c r="H99" t="str">
        <f>CONCATENATE("route-",VLOOKUP($D99,kong_p1_var!$B$10:$D$16,2,FALSE),"-",svc!$B98,"-",svc!I98)</f>
        <v>route-v510-v504-bes_ttis</v>
      </c>
      <c r="I99" t="str">
        <f>CONCATENATE(VLOOKUP($D99,kong_p1_var!$B$20:$H$26,SUBSTITUTE(I$1,"target_","") + 1,FALSE),":",$E99)</f>
        <v>172.16.148.102:31082</v>
      </c>
      <c r="J99" t="str">
        <f>CONCATENATE(VLOOKUP($D99,kong_p1_var!$B$20:$H$26,SUBSTITUTE(J$1,"target_","") + 1,FALSE),":",$E99)</f>
        <v>172.16.148.103:31082</v>
      </c>
      <c r="K99" t="str">
        <f>CONCATENATE(VLOOKUP($D99,kong_p1_var!$B$20:$H$26,SUBSTITUTE(K$1,"target_","") + 1,FALSE),":",$E99)</f>
        <v>172.16.148.104:31082</v>
      </c>
      <c r="L99" t="str">
        <f>IF($C99="dmz","",CONCATENATE(VLOOKUP($D99,kong_p1_var!$B$20:$H$26,SUBSTITUTE(L$1,"target_","") + 1,FALSE),":",$E99))</f>
        <v/>
      </c>
      <c r="M99" t="str">
        <f>IF($C99="dmz","",CONCATENATE(VLOOKUP($D99,kong_p1_var!$B$20:$H$26,SUBSTITUTE(M$1,"target_","") + 1,FALSE),":",$E99))</f>
        <v/>
      </c>
      <c r="N99" t="str">
        <f>IF($C99="dmz","",CONCATENATE(VLOOKUP($D99,kong_p1_var!$B$20:$H$26,SUBSTITUTE(N$1,"target_","") + 1,FALSE),":",$E99))</f>
        <v/>
      </c>
      <c r="O99" t="str">
        <f>VLOOKUP($D99,kong_p1_var!$B$10:$D$16,3,FALSE)</f>
        <v>172.16.148.71</v>
      </c>
      <c r="P99" t="str">
        <f>CONCATENATE("/",C99,MID(D99,2,15),"/",svc!$I98)</f>
        <v>/dmz504/bes_ttis</v>
      </c>
      <c r="Q99" t="str">
        <f>VLOOKUP(C99,kong_p1_var!$B$6:$C$7,2,FALSE)</f>
        <v>http://172.16.149.80:8001</v>
      </c>
      <c r="R99" t="str">
        <f>SUBSTITUTE(SUBSTITUTE(kong_p1_var!$J$1,"&lt;upstream_name&gt;",$F99),"&lt;kong_api_url&gt;",$Q99)</f>
        <v>curl -X PUT http://172.16.149.80:8001/upstreams/ups-v504-bes_ttis</v>
      </c>
      <c r="S99" t="str">
        <f>SUBSTITUTE(SUBSTITUTE(SUBSTITUTE(SUBSTITUTE(kong_p1_var!$J$2,"&lt;kong_api_url&gt;",$Q99),"&lt;upstream_name&gt;",$F99),"&lt;port&gt;",$E99),"&lt;service_name&gt;",$G99)</f>
        <v>curl -X PUT http://172.16.149.80:8001/services/svc-v504-bes_ttis -H "Content-Type: application/json" -d '{"protocol":"http","host":"ups-v504-bes_ttis","port":31082}'</v>
      </c>
      <c r="T99" t="str">
        <f>SUBSTITUTE(SUBSTITUTE(SUBSTITUTE(SUBSTITUTE(SUBSTITUTE(kong_p1_var!$J$3,"&lt;kong_api_url&gt;",$Q99),"&lt;route_name&gt;",$H99),"&lt;service_name&gt;",$G99),"&lt;host&gt;",$O99),"&lt;path&gt;",$P99)</f>
        <v>curl -X PUT http://172.16.149.80:8001/services/svc-v504-bes_ttis/routes/route-v510-v504-bes_ttis -H "Content-Type: application/json" -d '{"protocols":["http"],"hosts":["172.16.148.71"],"paths":["/dmz504/bes_ttis"]}'</v>
      </c>
      <c r="U99" t="str">
        <f t="shared" si="7"/>
        <v>curl -X POST http://172.16.149.80:8001/upstreams/ups-v504-bes_ttis/targets -d 'target=172.16.148.102:31082'</v>
      </c>
      <c r="V99" t="str">
        <f t="shared" si="8"/>
        <v>curl -X POST http://172.16.149.80:8001/upstreams/ups-v504-bes_ttis/targets -d 'target=172.16.148.103:31082'</v>
      </c>
      <c r="W99" t="str">
        <f t="shared" si="9"/>
        <v>curl -X POST http://172.16.149.80:8001/upstreams/ups-v504-bes_ttis/targets -d 'target=172.16.148.104:31082'</v>
      </c>
      <c r="X99" t="str">
        <f t="shared" si="10"/>
        <v/>
      </c>
      <c r="Y99" t="str">
        <f t="shared" si="11"/>
        <v/>
      </c>
      <c r="Z99" t="str">
        <f t="shared" si="12"/>
        <v/>
      </c>
    </row>
    <row r="100" spans="1:26">
      <c r="A100">
        <f>IF(ISNUMBER(SEARCH("rest_api",svc!R99)),1,0)</f>
        <v>1</v>
      </c>
      <c r="C100" t="str">
        <f>svc!D99</f>
        <v>dmz</v>
      </c>
      <c r="D100" t="str">
        <f>svc!$B99</f>
        <v>v504</v>
      </c>
      <c r="E100">
        <f>svc!G99</f>
        <v>31032</v>
      </c>
      <c r="F100" t="str">
        <f>CONCATENATE("ups-",svc!$B99,"-",svc!I99)</f>
        <v>ups-v504-bes_tsp</v>
      </c>
      <c r="G100" t="str">
        <f>CONCATENATE("svc-",svc!$B99,"-",svc!I99)</f>
        <v>svc-v504-bes_tsp</v>
      </c>
      <c r="H100" t="str">
        <f>CONCATENATE("route-",VLOOKUP($D100,kong_p1_var!$B$10:$D$16,2,FALSE),"-",svc!$B99,"-",svc!I99)</f>
        <v>route-v510-v504-bes_tsp</v>
      </c>
      <c r="I100" t="str">
        <f>CONCATENATE(VLOOKUP($D100,kong_p1_var!$B$20:$H$26,SUBSTITUTE(I$1,"target_","") + 1,FALSE),":",$E100)</f>
        <v>172.16.148.102:31032</v>
      </c>
      <c r="J100" t="str">
        <f>CONCATENATE(VLOOKUP($D100,kong_p1_var!$B$20:$H$26,SUBSTITUTE(J$1,"target_","") + 1,FALSE),":",$E100)</f>
        <v>172.16.148.103:31032</v>
      </c>
      <c r="K100" t="str">
        <f>CONCATENATE(VLOOKUP($D100,kong_p1_var!$B$20:$H$26,SUBSTITUTE(K$1,"target_","") + 1,FALSE),":",$E100)</f>
        <v>172.16.148.104:31032</v>
      </c>
      <c r="L100" t="str">
        <f>IF($C100="dmz","",CONCATENATE(VLOOKUP($D100,kong_p1_var!$B$20:$H$26,SUBSTITUTE(L$1,"target_","") + 1,FALSE),":",$E100))</f>
        <v/>
      </c>
      <c r="M100" t="str">
        <f>IF($C100="dmz","",CONCATENATE(VLOOKUP($D100,kong_p1_var!$B$20:$H$26,SUBSTITUTE(M$1,"target_","") + 1,FALSE),":",$E100))</f>
        <v/>
      </c>
      <c r="N100" t="str">
        <f>IF($C100="dmz","",CONCATENATE(VLOOKUP($D100,kong_p1_var!$B$20:$H$26,SUBSTITUTE(N$1,"target_","") + 1,FALSE),":",$E100))</f>
        <v/>
      </c>
      <c r="O100" t="str">
        <f>VLOOKUP($D100,kong_p1_var!$B$10:$D$16,3,FALSE)</f>
        <v>172.16.148.71</v>
      </c>
      <c r="P100" t="str">
        <f>CONCATENATE("/",C100,MID(D100,2,15),"/",svc!$I99)</f>
        <v>/dmz504/bes_tsp</v>
      </c>
      <c r="Q100" t="str">
        <f>VLOOKUP(C100,kong_p1_var!$B$6:$C$7,2,FALSE)</f>
        <v>http://172.16.149.80:8001</v>
      </c>
      <c r="R100" t="str">
        <f>SUBSTITUTE(SUBSTITUTE(kong_p1_var!$J$1,"&lt;upstream_name&gt;",$F100),"&lt;kong_api_url&gt;",$Q100)</f>
        <v>curl -X PUT http://172.16.149.80:8001/upstreams/ups-v504-bes_tsp</v>
      </c>
      <c r="S100" t="str">
        <f>SUBSTITUTE(SUBSTITUTE(SUBSTITUTE(SUBSTITUTE(kong_p1_var!$J$2,"&lt;kong_api_url&gt;",$Q100),"&lt;upstream_name&gt;",$F100),"&lt;port&gt;",$E100),"&lt;service_name&gt;",$G100)</f>
        <v>curl -X PUT http://172.16.149.80:8001/services/svc-v504-bes_tsp -H "Content-Type: application/json" -d '{"protocol":"http","host":"ups-v504-bes_tsp","port":31032}'</v>
      </c>
      <c r="T100" t="str">
        <f>SUBSTITUTE(SUBSTITUTE(SUBSTITUTE(SUBSTITUTE(SUBSTITUTE(kong_p1_var!$J$3,"&lt;kong_api_url&gt;",$Q100),"&lt;route_name&gt;",$H100),"&lt;service_name&gt;",$G100),"&lt;host&gt;",$O100),"&lt;path&gt;",$P100)</f>
        <v>curl -X PUT http://172.16.149.80:8001/services/svc-v504-bes_tsp/routes/route-v510-v504-bes_tsp -H "Content-Type: application/json" -d '{"protocols":["http"],"hosts":["172.16.148.71"],"paths":["/dmz504/bes_tsp"]}'</v>
      </c>
      <c r="U100" t="str">
        <f t="shared" si="7"/>
        <v>curl -X POST http://172.16.149.80:8001/upstreams/ups-v504-bes_tsp/targets -d 'target=172.16.148.102:31032'</v>
      </c>
      <c r="V100" t="str">
        <f t="shared" si="8"/>
        <v>curl -X POST http://172.16.149.80:8001/upstreams/ups-v504-bes_tsp/targets -d 'target=172.16.148.103:31032'</v>
      </c>
      <c r="W100" t="str">
        <f t="shared" si="9"/>
        <v>curl -X POST http://172.16.149.80:8001/upstreams/ups-v504-bes_tsp/targets -d 'target=172.16.148.104:31032'</v>
      </c>
      <c r="X100" t="str">
        <f t="shared" si="10"/>
        <v/>
      </c>
      <c r="Y100" t="str">
        <f t="shared" si="11"/>
        <v/>
      </c>
      <c r="Z100" t="str">
        <f t="shared" si="12"/>
        <v/>
      </c>
    </row>
    <row r="101" spans="1:26">
      <c r="A101">
        <f>IF(ISNUMBER(SEARCH("rest_api",svc!R100)),1,0)</f>
        <v>1</v>
      </c>
      <c r="C101" t="str">
        <f>svc!D100</f>
        <v>dmz</v>
      </c>
      <c r="D101" t="str">
        <f>svc!$B100</f>
        <v>v630</v>
      </c>
      <c r="E101">
        <f>svc!G100</f>
        <v>31052</v>
      </c>
      <c r="F101" t="str">
        <f>CONCATENATE("ups-",svc!$B100,"-",svc!I100)</f>
        <v>ups-v630-das_middleware_load_test</v>
      </c>
      <c r="G101" t="str">
        <f>CONCATENATE("svc-",svc!$B100,"-",svc!I100)</f>
        <v>svc-v630-das_middleware_load_test</v>
      </c>
      <c r="H101" t="str">
        <f>CONCATENATE("route-",VLOOKUP($D101,kong_p1_var!$B$10:$D$16,2,FALSE),"-",svc!$B100,"-",svc!I100)</f>
        <v>route-v510-v630-das_middleware_load_test</v>
      </c>
      <c r="I101" t="str">
        <f>CONCATENATE(VLOOKUP($D101,kong_p1_var!$B$20:$H$26,SUBSTITUTE(I$1,"target_","") + 1,FALSE),":",$E101)</f>
        <v>172.16.151.110:31052</v>
      </c>
      <c r="J101" t="str">
        <f>CONCATENATE(VLOOKUP($D101,kong_p1_var!$B$20:$H$26,SUBSTITUTE(J$1,"target_","") + 1,FALSE),":",$E101)</f>
        <v>172.16.151.111:31052</v>
      </c>
      <c r="K101" t="str">
        <f>CONCATENATE(VLOOKUP($D101,kong_p1_var!$B$20:$H$26,SUBSTITUTE(K$1,"target_","") + 1,FALSE),":",$E101)</f>
        <v>172.16.151.112:31052</v>
      </c>
      <c r="L101" t="str">
        <f>IF($C101="dmz","",CONCATENATE(VLOOKUP($D101,kong_p1_var!$B$20:$H$26,SUBSTITUTE(L$1,"target_","") + 1,FALSE),":",$E101))</f>
        <v/>
      </c>
      <c r="M101" t="str">
        <f>IF($C101="dmz","",CONCATENATE(VLOOKUP($D101,kong_p1_var!$B$20:$H$26,SUBSTITUTE(M$1,"target_","") + 1,FALSE),":",$E101))</f>
        <v/>
      </c>
      <c r="N101" t="str">
        <f>IF($C101="dmz","",CONCATENATE(VLOOKUP($D101,kong_p1_var!$B$20:$H$26,SUBSTITUTE(N$1,"target_","") + 1,FALSE),":",$E101))</f>
        <v/>
      </c>
      <c r="O101" t="str">
        <f>VLOOKUP($D101,kong_p1_var!$B$10:$D$16,3,FALSE)</f>
        <v>172.16.150.71</v>
      </c>
      <c r="P101" t="str">
        <f>CONCATENATE("/",C101,MID(D101,2,15),"/",svc!$I100)</f>
        <v>/dmz630/das_middleware_load_test</v>
      </c>
      <c r="Q101" t="str">
        <f>VLOOKUP(C101,kong_p1_var!$B$6:$C$7,2,FALSE)</f>
        <v>http://172.16.149.80:8001</v>
      </c>
      <c r="R101" t="str">
        <f>SUBSTITUTE(SUBSTITUTE(kong_p1_var!$J$1,"&lt;upstream_name&gt;",$F101),"&lt;kong_api_url&gt;",$Q101)</f>
        <v>curl -X PUT http://172.16.149.80:8001/upstreams/ups-v630-das_middleware_load_test</v>
      </c>
      <c r="S101" t="str">
        <f>SUBSTITUTE(SUBSTITUTE(SUBSTITUTE(SUBSTITUTE(kong_p1_var!$J$2,"&lt;kong_api_url&gt;",$Q101),"&lt;upstream_name&gt;",$F101),"&lt;port&gt;",$E101),"&lt;service_name&gt;",$G101)</f>
        <v>curl -X PUT http://172.16.149.80:8001/services/svc-v630-das_middleware_load_test -H "Content-Type: application/json" -d '{"protocol":"http","host":"ups-v630-das_middleware_load_test","port":31052}'</v>
      </c>
      <c r="T101" t="str">
        <f>SUBSTITUTE(SUBSTITUTE(SUBSTITUTE(SUBSTITUTE(SUBSTITUTE(kong_p1_var!$J$3,"&lt;kong_api_url&gt;",$Q101),"&lt;route_name&gt;",$H101),"&lt;service_name&gt;",$G101),"&lt;host&gt;",$O101),"&lt;path&gt;",$P101)</f>
        <v>curl -X PUT http://172.16.149.80:8001/services/svc-v630-das_middleware_load_test/routes/route-v510-v630-das_middleware_load_test -H "Content-Type: application/json" -d '{"protocols":["http"],"hosts":["172.16.150.71"],"paths":["/dmz630/das_middleware_load_test"]}'</v>
      </c>
      <c r="U101" t="str">
        <f t="shared" si="7"/>
        <v>curl -X POST http://172.16.149.80:8001/upstreams/ups-v630-das_middleware_load_test/targets -d 'target=172.16.151.110:31052'</v>
      </c>
      <c r="V101" t="str">
        <f t="shared" si="8"/>
        <v>curl -X POST http://172.16.149.80:8001/upstreams/ups-v630-das_middleware_load_test/targets -d 'target=172.16.151.111:31052'</v>
      </c>
      <c r="W101" t="str">
        <f t="shared" si="9"/>
        <v>curl -X POST http://172.16.149.80:8001/upstreams/ups-v630-das_middleware_load_test/targets -d 'target=172.16.151.112:31052'</v>
      </c>
      <c r="X101" t="str">
        <f t="shared" si="10"/>
        <v/>
      </c>
      <c r="Y101" t="str">
        <f t="shared" si="11"/>
        <v/>
      </c>
      <c r="Z101" t="str">
        <f t="shared" si="12"/>
        <v/>
      </c>
    </row>
    <row r="102" spans="1:26">
      <c r="A102">
        <f>IF(ISNUMBER(SEARCH("rest_api",svc!R101)),1,0)</f>
        <v>1</v>
      </c>
      <c r="C102" t="str">
        <f>svc!D101</f>
        <v>dmz</v>
      </c>
      <c r="D102" t="str">
        <f>svc!$B101</f>
        <v>v630</v>
      </c>
      <c r="E102">
        <f>svc!G101</f>
        <v>31053</v>
      </c>
      <c r="F102" t="str">
        <f>CONCATENATE("ups-",svc!$B101,"-",svc!I101)</f>
        <v>ups-v630-das_middleware_load_test_2</v>
      </c>
      <c r="G102" t="str">
        <f>CONCATENATE("svc-",svc!$B101,"-",svc!I101)</f>
        <v>svc-v630-das_middleware_load_test_2</v>
      </c>
      <c r="H102" t="str">
        <f>CONCATENATE("route-",VLOOKUP($D102,kong_p1_var!$B$10:$D$16,2,FALSE),"-",svc!$B101,"-",svc!I101)</f>
        <v>route-v510-v630-das_middleware_load_test_2</v>
      </c>
      <c r="I102" t="str">
        <f>CONCATENATE(VLOOKUP($D102,kong_p1_var!$B$20:$H$26,SUBSTITUTE(I$1,"target_","") + 1,FALSE),":",$E102)</f>
        <v>172.16.151.110:31053</v>
      </c>
      <c r="J102" t="str">
        <f>CONCATENATE(VLOOKUP($D102,kong_p1_var!$B$20:$H$26,SUBSTITUTE(J$1,"target_","") + 1,FALSE),":",$E102)</f>
        <v>172.16.151.111:31053</v>
      </c>
      <c r="K102" t="str">
        <f>CONCATENATE(VLOOKUP($D102,kong_p1_var!$B$20:$H$26,SUBSTITUTE(K$1,"target_","") + 1,FALSE),":",$E102)</f>
        <v>172.16.151.112:31053</v>
      </c>
      <c r="L102" t="str">
        <f>IF($C102="dmz","",CONCATENATE(VLOOKUP($D102,kong_p1_var!$B$20:$H$26,SUBSTITUTE(L$1,"target_","") + 1,FALSE),":",$E102))</f>
        <v/>
      </c>
      <c r="M102" t="str">
        <f>IF($C102="dmz","",CONCATENATE(VLOOKUP($D102,kong_p1_var!$B$20:$H$26,SUBSTITUTE(M$1,"target_","") + 1,FALSE),":",$E102))</f>
        <v/>
      </c>
      <c r="N102" t="str">
        <f>IF($C102="dmz","",CONCATENATE(VLOOKUP($D102,kong_p1_var!$B$20:$H$26,SUBSTITUTE(N$1,"target_","") + 1,FALSE),":",$E102))</f>
        <v/>
      </c>
      <c r="O102" t="str">
        <f>VLOOKUP($D102,kong_p1_var!$B$10:$D$16,3,FALSE)</f>
        <v>172.16.150.71</v>
      </c>
      <c r="P102" t="str">
        <f>CONCATENATE("/",C102,MID(D102,2,15),"/",svc!$I101)</f>
        <v>/dmz630/das_middleware_load_test_2</v>
      </c>
      <c r="Q102" t="str">
        <f>VLOOKUP(C102,kong_p1_var!$B$6:$C$7,2,FALSE)</f>
        <v>http://172.16.149.80:8001</v>
      </c>
      <c r="R102" t="str">
        <f>SUBSTITUTE(SUBSTITUTE(kong_p1_var!$J$1,"&lt;upstream_name&gt;",$F102),"&lt;kong_api_url&gt;",$Q102)</f>
        <v>curl -X PUT http://172.16.149.80:8001/upstreams/ups-v630-das_middleware_load_test_2</v>
      </c>
      <c r="S102" t="str">
        <f>SUBSTITUTE(SUBSTITUTE(SUBSTITUTE(SUBSTITUTE(kong_p1_var!$J$2,"&lt;kong_api_url&gt;",$Q102),"&lt;upstream_name&gt;",$F102),"&lt;port&gt;",$E102),"&lt;service_name&gt;",$G102)</f>
        <v>curl -X PUT http://172.16.149.80:8001/services/svc-v630-das_middleware_load_test_2 -H "Content-Type: application/json" -d '{"protocol":"http","host":"ups-v630-das_middleware_load_test_2","port":31053}'</v>
      </c>
      <c r="T102" t="str">
        <f>SUBSTITUTE(SUBSTITUTE(SUBSTITUTE(SUBSTITUTE(SUBSTITUTE(kong_p1_var!$J$3,"&lt;kong_api_url&gt;",$Q102),"&lt;route_name&gt;",$H102),"&lt;service_name&gt;",$G102),"&lt;host&gt;",$O102),"&lt;path&gt;",$P102)</f>
        <v>curl -X PUT http://172.16.149.80:8001/services/svc-v630-das_middleware_load_test_2/routes/route-v510-v630-das_middleware_load_test_2 -H "Content-Type: application/json" -d '{"protocols":["http"],"hosts":["172.16.150.71"],"paths":["/dmz630/das_middleware_load_test_2"]}'</v>
      </c>
      <c r="U102" t="str">
        <f t="shared" si="7"/>
        <v>curl -X POST http://172.16.149.80:8001/upstreams/ups-v630-das_middleware_load_test_2/targets -d 'target=172.16.151.110:31053'</v>
      </c>
      <c r="V102" t="str">
        <f t="shared" si="8"/>
        <v>curl -X POST http://172.16.149.80:8001/upstreams/ups-v630-das_middleware_load_test_2/targets -d 'target=172.16.151.111:31053'</v>
      </c>
      <c r="W102" t="str">
        <f t="shared" si="9"/>
        <v>curl -X POST http://172.16.149.80:8001/upstreams/ups-v630-das_middleware_load_test_2/targets -d 'target=172.16.151.112:31053'</v>
      </c>
      <c r="X102" t="str">
        <f t="shared" si="10"/>
        <v/>
      </c>
      <c r="Y102" t="str">
        <f t="shared" si="11"/>
        <v/>
      </c>
      <c r="Z102" t="str">
        <f t="shared" si="12"/>
        <v/>
      </c>
    </row>
    <row r="103" spans="1:26">
      <c r="A103">
        <f>IF(ISNUMBER(SEARCH("rest_api",svc!R102)),1,0)</f>
        <v>1</v>
      </c>
      <c r="C103" t="str">
        <f>svc!D102</f>
        <v>dmz</v>
      </c>
      <c r="D103" t="str">
        <f>svc!$B102</f>
        <v>v630</v>
      </c>
      <c r="E103">
        <f>svc!G102</f>
        <v>31054</v>
      </c>
      <c r="F103" t="str">
        <f>CONCATENATE("ups-",svc!$B102,"-",svc!I102)</f>
        <v>ups-v630-das_middleware_load_test_3</v>
      </c>
      <c r="G103" t="str">
        <f>CONCATENATE("svc-",svc!$B102,"-",svc!I102)</f>
        <v>svc-v630-das_middleware_load_test_3</v>
      </c>
      <c r="H103" t="str">
        <f>CONCATENATE("route-",VLOOKUP($D103,kong_p1_var!$B$10:$D$16,2,FALSE),"-",svc!$B102,"-",svc!I102)</f>
        <v>route-v510-v630-das_middleware_load_test_3</v>
      </c>
      <c r="I103" t="str">
        <f>CONCATENATE(VLOOKUP($D103,kong_p1_var!$B$20:$H$26,SUBSTITUTE(I$1,"target_","") + 1,FALSE),":",$E103)</f>
        <v>172.16.151.110:31054</v>
      </c>
      <c r="J103" t="str">
        <f>CONCATENATE(VLOOKUP($D103,kong_p1_var!$B$20:$H$26,SUBSTITUTE(J$1,"target_","") + 1,FALSE),":",$E103)</f>
        <v>172.16.151.111:31054</v>
      </c>
      <c r="K103" t="str">
        <f>CONCATENATE(VLOOKUP($D103,kong_p1_var!$B$20:$H$26,SUBSTITUTE(K$1,"target_","") + 1,FALSE),":",$E103)</f>
        <v>172.16.151.112:31054</v>
      </c>
      <c r="L103" t="str">
        <f>IF($C103="dmz","",CONCATENATE(VLOOKUP($D103,kong_p1_var!$B$20:$H$26,SUBSTITUTE(L$1,"target_","") + 1,FALSE),":",$E103))</f>
        <v/>
      </c>
      <c r="M103" t="str">
        <f>IF($C103="dmz","",CONCATENATE(VLOOKUP($D103,kong_p1_var!$B$20:$H$26,SUBSTITUTE(M$1,"target_","") + 1,FALSE),":",$E103))</f>
        <v/>
      </c>
      <c r="N103" t="str">
        <f>IF($C103="dmz","",CONCATENATE(VLOOKUP($D103,kong_p1_var!$B$20:$H$26,SUBSTITUTE(N$1,"target_","") + 1,FALSE),":",$E103))</f>
        <v/>
      </c>
      <c r="O103" t="str">
        <f>VLOOKUP($D103,kong_p1_var!$B$10:$D$16,3,FALSE)</f>
        <v>172.16.150.71</v>
      </c>
      <c r="P103" t="str">
        <f>CONCATENATE("/",C103,MID(D103,2,15),"/",svc!$I102)</f>
        <v>/dmz630/das_middleware_load_test_3</v>
      </c>
      <c r="Q103" t="str">
        <f>VLOOKUP(C103,kong_p1_var!$B$6:$C$7,2,FALSE)</f>
        <v>http://172.16.149.80:8001</v>
      </c>
      <c r="R103" t="str">
        <f>SUBSTITUTE(SUBSTITUTE(kong_p1_var!$J$1,"&lt;upstream_name&gt;",$F103),"&lt;kong_api_url&gt;",$Q103)</f>
        <v>curl -X PUT http://172.16.149.80:8001/upstreams/ups-v630-das_middleware_load_test_3</v>
      </c>
      <c r="S103" t="str">
        <f>SUBSTITUTE(SUBSTITUTE(SUBSTITUTE(SUBSTITUTE(kong_p1_var!$J$2,"&lt;kong_api_url&gt;",$Q103),"&lt;upstream_name&gt;",$F103),"&lt;port&gt;",$E103),"&lt;service_name&gt;",$G103)</f>
        <v>curl -X PUT http://172.16.149.80:8001/services/svc-v630-das_middleware_load_test_3 -H "Content-Type: application/json" -d '{"protocol":"http","host":"ups-v630-das_middleware_load_test_3","port":31054}'</v>
      </c>
      <c r="T103" t="str">
        <f>SUBSTITUTE(SUBSTITUTE(SUBSTITUTE(SUBSTITUTE(SUBSTITUTE(kong_p1_var!$J$3,"&lt;kong_api_url&gt;",$Q103),"&lt;route_name&gt;",$H103),"&lt;service_name&gt;",$G103),"&lt;host&gt;",$O103),"&lt;path&gt;",$P103)</f>
        <v>curl -X PUT http://172.16.149.80:8001/services/svc-v630-das_middleware_load_test_3/routes/route-v510-v630-das_middleware_load_test_3 -H "Content-Type: application/json" -d '{"protocols":["http"],"hosts":["172.16.150.71"],"paths":["/dmz630/das_middleware_load_test_3"]}'</v>
      </c>
      <c r="U103" t="str">
        <f t="shared" si="7"/>
        <v>curl -X POST http://172.16.149.80:8001/upstreams/ups-v630-das_middleware_load_test_3/targets -d 'target=172.16.151.110:31054'</v>
      </c>
      <c r="V103" t="str">
        <f t="shared" si="8"/>
        <v>curl -X POST http://172.16.149.80:8001/upstreams/ups-v630-das_middleware_load_test_3/targets -d 'target=172.16.151.111:31054'</v>
      </c>
      <c r="W103" t="str">
        <f t="shared" si="9"/>
        <v>curl -X POST http://172.16.149.80:8001/upstreams/ups-v630-das_middleware_load_test_3/targets -d 'target=172.16.151.112:31054'</v>
      </c>
      <c r="X103" t="str">
        <f t="shared" si="10"/>
        <v/>
      </c>
      <c r="Y103" t="str">
        <f t="shared" si="11"/>
        <v/>
      </c>
      <c r="Z103" t="str">
        <f t="shared" si="12"/>
        <v/>
      </c>
    </row>
    <row r="104" spans="1:26">
      <c r="A104">
        <f>IF(ISNUMBER(SEARCH("rest_api",svc!R103)),1,0)</f>
        <v>1</v>
      </c>
      <c r="C104" t="str">
        <f>svc!D103</f>
        <v>dmz</v>
      </c>
      <c r="D104" t="str">
        <f>svc!$B103</f>
        <v>v630</v>
      </c>
      <c r="E104">
        <f>svc!G103</f>
        <v>31055</v>
      </c>
      <c r="F104" t="str">
        <f>CONCATENATE("ups-",svc!$B103,"-",svc!I103)</f>
        <v>ups-v630-das_middleware_load_test_4</v>
      </c>
      <c r="G104" t="str">
        <f>CONCATENATE("svc-",svc!$B103,"-",svc!I103)</f>
        <v>svc-v630-das_middleware_load_test_4</v>
      </c>
      <c r="H104" t="str">
        <f>CONCATENATE("route-",VLOOKUP($D104,kong_p1_var!$B$10:$D$16,2,FALSE),"-",svc!$B103,"-",svc!I103)</f>
        <v>route-v510-v630-das_middleware_load_test_4</v>
      </c>
      <c r="I104" t="str">
        <f>CONCATENATE(VLOOKUP($D104,kong_p1_var!$B$20:$H$26,SUBSTITUTE(I$1,"target_","") + 1,FALSE),":",$E104)</f>
        <v>172.16.151.110:31055</v>
      </c>
      <c r="J104" t="str">
        <f>CONCATENATE(VLOOKUP($D104,kong_p1_var!$B$20:$H$26,SUBSTITUTE(J$1,"target_","") + 1,FALSE),":",$E104)</f>
        <v>172.16.151.111:31055</v>
      </c>
      <c r="K104" t="str">
        <f>CONCATENATE(VLOOKUP($D104,kong_p1_var!$B$20:$H$26,SUBSTITUTE(K$1,"target_","") + 1,FALSE),":",$E104)</f>
        <v>172.16.151.112:31055</v>
      </c>
      <c r="L104" t="str">
        <f>IF($C104="dmz","",CONCATENATE(VLOOKUP($D104,kong_p1_var!$B$20:$H$26,SUBSTITUTE(L$1,"target_","") + 1,FALSE),":",$E104))</f>
        <v/>
      </c>
      <c r="M104" t="str">
        <f>IF($C104="dmz","",CONCATENATE(VLOOKUP($D104,kong_p1_var!$B$20:$H$26,SUBSTITUTE(M$1,"target_","") + 1,FALSE),":",$E104))</f>
        <v/>
      </c>
      <c r="N104" t="str">
        <f>IF($C104="dmz","",CONCATENATE(VLOOKUP($D104,kong_p1_var!$B$20:$H$26,SUBSTITUTE(N$1,"target_","") + 1,FALSE),":",$E104))</f>
        <v/>
      </c>
      <c r="O104" t="str">
        <f>VLOOKUP($D104,kong_p1_var!$B$10:$D$16,3,FALSE)</f>
        <v>172.16.150.71</v>
      </c>
      <c r="P104" t="str">
        <f>CONCATENATE("/",C104,MID(D104,2,15),"/",svc!$I103)</f>
        <v>/dmz630/das_middleware_load_test_4</v>
      </c>
      <c r="Q104" t="str">
        <f>VLOOKUP(C104,kong_p1_var!$B$6:$C$7,2,FALSE)</f>
        <v>http://172.16.149.80:8001</v>
      </c>
      <c r="R104" t="str">
        <f>SUBSTITUTE(SUBSTITUTE(kong_p1_var!$J$1,"&lt;upstream_name&gt;",$F104),"&lt;kong_api_url&gt;",$Q104)</f>
        <v>curl -X PUT http://172.16.149.80:8001/upstreams/ups-v630-das_middleware_load_test_4</v>
      </c>
      <c r="S104" t="str">
        <f>SUBSTITUTE(SUBSTITUTE(SUBSTITUTE(SUBSTITUTE(kong_p1_var!$J$2,"&lt;kong_api_url&gt;",$Q104),"&lt;upstream_name&gt;",$F104),"&lt;port&gt;",$E104),"&lt;service_name&gt;",$G104)</f>
        <v>curl -X PUT http://172.16.149.80:8001/services/svc-v630-das_middleware_load_test_4 -H "Content-Type: application/json" -d '{"protocol":"http","host":"ups-v630-das_middleware_load_test_4","port":31055}'</v>
      </c>
      <c r="T104" t="str">
        <f>SUBSTITUTE(SUBSTITUTE(SUBSTITUTE(SUBSTITUTE(SUBSTITUTE(kong_p1_var!$J$3,"&lt;kong_api_url&gt;",$Q104),"&lt;route_name&gt;",$H104),"&lt;service_name&gt;",$G104),"&lt;host&gt;",$O104),"&lt;path&gt;",$P104)</f>
        <v>curl -X PUT http://172.16.149.80:8001/services/svc-v630-das_middleware_load_test_4/routes/route-v510-v630-das_middleware_load_test_4 -H "Content-Type: application/json" -d '{"protocols":["http"],"hosts":["172.16.150.71"],"paths":["/dmz630/das_middleware_load_test_4"]}'</v>
      </c>
      <c r="U104" t="str">
        <f t="shared" si="7"/>
        <v>curl -X POST http://172.16.149.80:8001/upstreams/ups-v630-das_middleware_load_test_4/targets -d 'target=172.16.151.110:31055'</v>
      </c>
      <c r="V104" t="str">
        <f t="shared" si="8"/>
        <v>curl -X POST http://172.16.149.80:8001/upstreams/ups-v630-das_middleware_load_test_4/targets -d 'target=172.16.151.111:31055'</v>
      </c>
      <c r="W104" t="str">
        <f t="shared" si="9"/>
        <v>curl -X POST http://172.16.149.80:8001/upstreams/ups-v630-das_middleware_load_test_4/targets -d 'target=172.16.151.112:31055'</v>
      </c>
      <c r="X104" t="str">
        <f t="shared" si="10"/>
        <v/>
      </c>
      <c r="Y104" t="str">
        <f t="shared" si="11"/>
        <v/>
      </c>
      <c r="Z104" t="str">
        <f t="shared" si="12"/>
        <v/>
      </c>
    </row>
    <row r="105" spans="1:26">
      <c r="A105">
        <f>IF(ISNUMBER(SEARCH("rest_api",svc!R104)),1,0)</f>
        <v>1</v>
      </c>
      <c r="C105" t="str">
        <f>svc!D104</f>
        <v>dmz</v>
      </c>
      <c r="D105" t="str">
        <f>svc!$B104</f>
        <v>v630</v>
      </c>
      <c r="E105">
        <f>svc!G104</f>
        <v>31056</v>
      </c>
      <c r="F105" t="str">
        <f>CONCATENATE("ups-",svc!$B104,"-",svc!I104)</f>
        <v>ups-v630-das_middleware_load_test_5</v>
      </c>
      <c r="G105" t="str">
        <f>CONCATENATE("svc-",svc!$B104,"-",svc!I104)</f>
        <v>svc-v630-das_middleware_load_test_5</v>
      </c>
      <c r="H105" t="str">
        <f>CONCATENATE("route-",VLOOKUP($D105,kong_p1_var!$B$10:$D$16,2,FALSE),"-",svc!$B104,"-",svc!I104)</f>
        <v>route-v510-v630-das_middleware_load_test_5</v>
      </c>
      <c r="I105" t="str">
        <f>CONCATENATE(VLOOKUP($D105,kong_p1_var!$B$20:$H$26,SUBSTITUTE(I$1,"target_","") + 1,FALSE),":",$E105)</f>
        <v>172.16.151.110:31056</v>
      </c>
      <c r="J105" t="str">
        <f>CONCATENATE(VLOOKUP($D105,kong_p1_var!$B$20:$H$26,SUBSTITUTE(J$1,"target_","") + 1,FALSE),":",$E105)</f>
        <v>172.16.151.111:31056</v>
      </c>
      <c r="K105" t="str">
        <f>CONCATENATE(VLOOKUP($D105,kong_p1_var!$B$20:$H$26,SUBSTITUTE(K$1,"target_","") + 1,FALSE),":",$E105)</f>
        <v>172.16.151.112:31056</v>
      </c>
      <c r="L105" t="str">
        <f>IF($C105="dmz","",CONCATENATE(VLOOKUP($D105,kong_p1_var!$B$20:$H$26,SUBSTITUTE(L$1,"target_","") + 1,FALSE),":",$E105))</f>
        <v/>
      </c>
      <c r="M105" t="str">
        <f>IF($C105="dmz","",CONCATENATE(VLOOKUP($D105,kong_p1_var!$B$20:$H$26,SUBSTITUTE(M$1,"target_","") + 1,FALSE),":",$E105))</f>
        <v/>
      </c>
      <c r="N105" t="str">
        <f>IF($C105="dmz","",CONCATENATE(VLOOKUP($D105,kong_p1_var!$B$20:$H$26,SUBSTITUTE(N$1,"target_","") + 1,FALSE),":",$E105))</f>
        <v/>
      </c>
      <c r="O105" t="str">
        <f>VLOOKUP($D105,kong_p1_var!$B$10:$D$16,3,FALSE)</f>
        <v>172.16.150.71</v>
      </c>
      <c r="P105" t="str">
        <f>CONCATENATE("/",C105,MID(D105,2,15),"/",svc!$I104)</f>
        <v>/dmz630/das_middleware_load_test_5</v>
      </c>
      <c r="Q105" t="str">
        <f>VLOOKUP(C105,kong_p1_var!$B$6:$C$7,2,FALSE)</f>
        <v>http://172.16.149.80:8001</v>
      </c>
      <c r="R105" t="str">
        <f>SUBSTITUTE(SUBSTITUTE(kong_p1_var!$J$1,"&lt;upstream_name&gt;",$F105),"&lt;kong_api_url&gt;",$Q105)</f>
        <v>curl -X PUT http://172.16.149.80:8001/upstreams/ups-v630-das_middleware_load_test_5</v>
      </c>
      <c r="S105" t="str">
        <f>SUBSTITUTE(SUBSTITUTE(SUBSTITUTE(SUBSTITUTE(kong_p1_var!$J$2,"&lt;kong_api_url&gt;",$Q105),"&lt;upstream_name&gt;",$F105),"&lt;port&gt;",$E105),"&lt;service_name&gt;",$G105)</f>
        <v>curl -X PUT http://172.16.149.80:8001/services/svc-v630-das_middleware_load_test_5 -H "Content-Type: application/json" -d '{"protocol":"http","host":"ups-v630-das_middleware_load_test_5","port":31056}'</v>
      </c>
      <c r="T105" t="str">
        <f>SUBSTITUTE(SUBSTITUTE(SUBSTITUTE(SUBSTITUTE(SUBSTITUTE(kong_p1_var!$J$3,"&lt;kong_api_url&gt;",$Q105),"&lt;route_name&gt;",$H105),"&lt;service_name&gt;",$G105),"&lt;host&gt;",$O105),"&lt;path&gt;",$P105)</f>
        <v>curl -X PUT http://172.16.149.80:8001/services/svc-v630-das_middleware_load_test_5/routes/route-v510-v630-das_middleware_load_test_5 -H "Content-Type: application/json" -d '{"protocols":["http"],"hosts":["172.16.150.71"],"paths":["/dmz630/das_middleware_load_test_5"]}'</v>
      </c>
      <c r="U105" t="str">
        <f t="shared" si="7"/>
        <v>curl -X POST http://172.16.149.80:8001/upstreams/ups-v630-das_middleware_load_test_5/targets -d 'target=172.16.151.110:31056'</v>
      </c>
      <c r="V105" t="str">
        <f t="shared" si="8"/>
        <v>curl -X POST http://172.16.149.80:8001/upstreams/ups-v630-das_middleware_load_test_5/targets -d 'target=172.16.151.111:31056'</v>
      </c>
      <c r="W105" t="str">
        <f t="shared" si="9"/>
        <v>curl -X POST http://172.16.149.80:8001/upstreams/ups-v630-das_middleware_load_test_5/targets -d 'target=172.16.151.112:31056'</v>
      </c>
      <c r="X105" t="str">
        <f t="shared" si="10"/>
        <v/>
      </c>
      <c r="Y105" t="str">
        <f t="shared" si="11"/>
        <v/>
      </c>
      <c r="Z105" t="str">
        <f t="shared" si="12"/>
        <v/>
      </c>
    </row>
    <row r="106" spans="1:26">
      <c r="A106">
        <f>IF(ISNUMBER(SEARCH("rest_api",svc!R105)),1,0)</f>
        <v>1</v>
      </c>
      <c r="C106" t="str">
        <f>svc!D105</f>
        <v>dmz</v>
      </c>
      <c r="D106" t="str">
        <f>svc!$B105</f>
        <v>v630</v>
      </c>
      <c r="E106">
        <f>svc!G105</f>
        <v>31114</v>
      </c>
      <c r="F106" t="str">
        <f>CONCATENATE("ups-",svc!$B105,"-",svc!I105)</f>
        <v>ups-v630-das_middleware_lrt</v>
      </c>
      <c r="G106" t="str">
        <f>CONCATENATE("svc-",svc!$B105,"-",svc!I105)</f>
        <v>svc-v630-das_middleware_lrt</v>
      </c>
      <c r="H106" t="str">
        <f>CONCATENATE("route-",VLOOKUP($D106,kong_p1_var!$B$10:$D$16,2,FALSE),"-",svc!$B105,"-",svc!I105)</f>
        <v>route-v510-v630-das_middleware_lrt</v>
      </c>
      <c r="I106" t="str">
        <f>CONCATENATE(VLOOKUP($D106,kong_p1_var!$B$20:$H$26,SUBSTITUTE(I$1,"target_","") + 1,FALSE),":",$E106)</f>
        <v>172.16.151.110:31114</v>
      </c>
      <c r="J106" t="str">
        <f>CONCATENATE(VLOOKUP($D106,kong_p1_var!$B$20:$H$26,SUBSTITUTE(J$1,"target_","") + 1,FALSE),":",$E106)</f>
        <v>172.16.151.111:31114</v>
      </c>
      <c r="K106" t="str">
        <f>CONCATENATE(VLOOKUP($D106,kong_p1_var!$B$20:$H$26,SUBSTITUTE(K$1,"target_","") + 1,FALSE),":",$E106)</f>
        <v>172.16.151.112:31114</v>
      </c>
      <c r="L106" t="str">
        <f>IF($C106="dmz","",CONCATENATE(VLOOKUP($D106,kong_p1_var!$B$20:$H$26,SUBSTITUTE(L$1,"target_","") + 1,FALSE),":",$E106))</f>
        <v/>
      </c>
      <c r="M106" t="str">
        <f>IF($C106="dmz","",CONCATENATE(VLOOKUP($D106,kong_p1_var!$B$20:$H$26,SUBSTITUTE(M$1,"target_","") + 1,FALSE),":",$E106))</f>
        <v/>
      </c>
      <c r="N106" t="str">
        <f>IF($C106="dmz","",CONCATENATE(VLOOKUP($D106,kong_p1_var!$B$20:$H$26,SUBSTITUTE(N$1,"target_","") + 1,FALSE),":",$E106))</f>
        <v/>
      </c>
      <c r="O106" t="str">
        <f>VLOOKUP($D106,kong_p1_var!$B$10:$D$16,3,FALSE)</f>
        <v>172.16.150.71</v>
      </c>
      <c r="P106" t="str">
        <f>CONCATENATE("/",C106,MID(D106,2,15),"/",svc!$I105)</f>
        <v>/dmz630/das_middleware_lrt</v>
      </c>
      <c r="Q106" t="str">
        <f>VLOOKUP(C106,kong_p1_var!$B$6:$C$7,2,FALSE)</f>
        <v>http://172.16.149.80:8001</v>
      </c>
      <c r="R106" t="str">
        <f>SUBSTITUTE(SUBSTITUTE(kong_p1_var!$J$1,"&lt;upstream_name&gt;",$F106),"&lt;kong_api_url&gt;",$Q106)</f>
        <v>curl -X PUT http://172.16.149.80:8001/upstreams/ups-v630-das_middleware_lrt</v>
      </c>
      <c r="S106" t="str">
        <f>SUBSTITUTE(SUBSTITUTE(SUBSTITUTE(SUBSTITUTE(kong_p1_var!$J$2,"&lt;kong_api_url&gt;",$Q106),"&lt;upstream_name&gt;",$F106),"&lt;port&gt;",$E106),"&lt;service_name&gt;",$G106)</f>
        <v>curl -X PUT http://172.16.149.80:8001/services/svc-v630-das_middleware_lrt -H "Content-Type: application/json" -d '{"protocol":"http","host":"ups-v630-das_middleware_lrt","port":31114}'</v>
      </c>
      <c r="T106" t="str">
        <f>SUBSTITUTE(SUBSTITUTE(SUBSTITUTE(SUBSTITUTE(SUBSTITUTE(kong_p1_var!$J$3,"&lt;kong_api_url&gt;",$Q106),"&lt;route_name&gt;",$H106),"&lt;service_name&gt;",$G106),"&lt;host&gt;",$O106),"&lt;path&gt;",$P106)</f>
        <v>curl -X PUT http://172.16.149.80:8001/services/svc-v630-das_middleware_lrt/routes/route-v510-v630-das_middleware_lrt -H "Content-Type: application/json" -d '{"protocols":["http"],"hosts":["172.16.150.71"],"paths":["/dmz630/das_middleware_lrt"]}'</v>
      </c>
      <c r="U106" t="str">
        <f t="shared" si="7"/>
        <v>curl -X POST http://172.16.149.80:8001/upstreams/ups-v630-das_middleware_lrt/targets -d 'target=172.16.151.110:31114'</v>
      </c>
      <c r="V106" t="str">
        <f t="shared" si="8"/>
        <v>curl -X POST http://172.16.149.80:8001/upstreams/ups-v630-das_middleware_lrt/targets -d 'target=172.16.151.111:31114'</v>
      </c>
      <c r="W106" t="str">
        <f t="shared" si="9"/>
        <v>curl -X POST http://172.16.149.80:8001/upstreams/ups-v630-das_middleware_lrt/targets -d 'target=172.16.151.112:31114'</v>
      </c>
      <c r="X106" t="str">
        <f t="shared" si="10"/>
        <v/>
      </c>
      <c r="Y106" t="str">
        <f t="shared" si="11"/>
        <v/>
      </c>
      <c r="Z106" t="str">
        <f t="shared" si="12"/>
        <v/>
      </c>
    </row>
    <row r="107" spans="1:26">
      <c r="A107">
        <f>IF(ISNUMBER(SEARCH("rest_api",svc!R106)),1,0)</f>
        <v>1</v>
      </c>
      <c r="C107" t="str">
        <f>svc!D106</f>
        <v>dmz</v>
      </c>
      <c r="D107" t="str">
        <f>svc!$B106</f>
        <v>v630</v>
      </c>
      <c r="E107">
        <f>svc!G106</f>
        <v>31115</v>
      </c>
      <c r="F107" t="str">
        <f>CONCATENATE("ups-",svc!$B106,"-",svc!I106)</f>
        <v>ups-v630-das_middleware_smt</v>
      </c>
      <c r="G107" t="str">
        <f>CONCATENATE("svc-",svc!$B106,"-",svc!I106)</f>
        <v>svc-v630-das_middleware_smt</v>
      </c>
      <c r="H107" t="str">
        <f>CONCATENATE("route-",VLOOKUP($D107,kong_p1_var!$B$10:$D$16,2,FALSE),"-",svc!$B106,"-",svc!I106)</f>
        <v>route-v510-v630-das_middleware_smt</v>
      </c>
      <c r="I107" t="str">
        <f>CONCATENATE(VLOOKUP($D107,kong_p1_var!$B$20:$H$26,SUBSTITUTE(I$1,"target_","") + 1,FALSE),":",$E107)</f>
        <v>172.16.151.110:31115</v>
      </c>
      <c r="J107" t="str">
        <f>CONCATENATE(VLOOKUP($D107,kong_p1_var!$B$20:$H$26,SUBSTITUTE(J$1,"target_","") + 1,FALSE),":",$E107)</f>
        <v>172.16.151.111:31115</v>
      </c>
      <c r="K107" t="str">
        <f>CONCATENATE(VLOOKUP($D107,kong_p1_var!$B$20:$H$26,SUBSTITUTE(K$1,"target_","") + 1,FALSE),":",$E107)</f>
        <v>172.16.151.112:31115</v>
      </c>
      <c r="L107" t="str">
        <f>IF($C107="dmz","",CONCATENATE(VLOOKUP($D107,kong_p1_var!$B$20:$H$26,SUBSTITUTE(L$1,"target_","") + 1,FALSE),":",$E107))</f>
        <v/>
      </c>
      <c r="M107" t="str">
        <f>IF($C107="dmz","",CONCATENATE(VLOOKUP($D107,kong_p1_var!$B$20:$H$26,SUBSTITUTE(M$1,"target_","") + 1,FALSE),":",$E107))</f>
        <v/>
      </c>
      <c r="N107" t="str">
        <f>IF($C107="dmz","",CONCATENATE(VLOOKUP($D107,kong_p1_var!$B$20:$H$26,SUBSTITUTE(N$1,"target_","") + 1,FALSE),":",$E107))</f>
        <v/>
      </c>
      <c r="O107" t="str">
        <f>VLOOKUP($D107,kong_p1_var!$B$10:$D$16,3,FALSE)</f>
        <v>172.16.150.71</v>
      </c>
      <c r="P107" t="str">
        <f>CONCATENATE("/",C107,MID(D107,2,15),"/",svc!$I106)</f>
        <v>/dmz630/das_middleware_smt</v>
      </c>
      <c r="Q107" t="str">
        <f>VLOOKUP(C107,kong_p1_var!$B$6:$C$7,2,FALSE)</f>
        <v>http://172.16.149.80:8001</v>
      </c>
      <c r="R107" t="str">
        <f>SUBSTITUTE(SUBSTITUTE(kong_p1_var!$J$1,"&lt;upstream_name&gt;",$F107),"&lt;kong_api_url&gt;",$Q107)</f>
        <v>curl -X PUT http://172.16.149.80:8001/upstreams/ups-v630-das_middleware_smt</v>
      </c>
      <c r="S107" t="str">
        <f>SUBSTITUTE(SUBSTITUTE(SUBSTITUTE(SUBSTITUTE(kong_p1_var!$J$2,"&lt;kong_api_url&gt;",$Q107),"&lt;upstream_name&gt;",$F107),"&lt;port&gt;",$E107),"&lt;service_name&gt;",$G107)</f>
        <v>curl -X PUT http://172.16.149.80:8001/services/svc-v630-das_middleware_smt -H "Content-Type: application/json" -d '{"protocol":"http","host":"ups-v630-das_middleware_smt","port":31115}'</v>
      </c>
      <c r="T107" t="str">
        <f>SUBSTITUTE(SUBSTITUTE(SUBSTITUTE(SUBSTITUTE(SUBSTITUTE(kong_p1_var!$J$3,"&lt;kong_api_url&gt;",$Q107),"&lt;route_name&gt;",$H107),"&lt;service_name&gt;",$G107),"&lt;host&gt;",$O107),"&lt;path&gt;",$P107)</f>
        <v>curl -X PUT http://172.16.149.80:8001/services/svc-v630-das_middleware_smt/routes/route-v510-v630-das_middleware_smt -H "Content-Type: application/json" -d '{"protocols":["http"],"hosts":["172.16.150.71"],"paths":["/dmz630/das_middleware_smt"]}'</v>
      </c>
      <c r="U107" t="str">
        <f t="shared" ref="U107" si="13">IF(I107="","","curl -X POST " &amp; $Q107 &amp; "/upstreams/"&amp; $F107 &amp;"/targets -d 'target="&amp; I107 &amp; "'")</f>
        <v>curl -X POST http://172.16.149.80:8001/upstreams/ups-v630-das_middleware_smt/targets -d 'target=172.16.151.110:31115'</v>
      </c>
      <c r="V107" t="str">
        <f t="shared" ref="V107" si="14">IF(J107="","","curl -X POST " &amp; $Q107 &amp; "/upstreams/"&amp; $F107 &amp;"/targets -d 'target="&amp; J107 &amp; "'")</f>
        <v>curl -X POST http://172.16.149.80:8001/upstreams/ups-v630-das_middleware_smt/targets -d 'target=172.16.151.111:31115'</v>
      </c>
      <c r="W107" t="str">
        <f t="shared" ref="W107" si="15">IF(K107="","","curl -X POST " &amp; $Q107 &amp; "/upstreams/"&amp; $F107 &amp;"/targets -d 'target="&amp; K107 &amp; "'")</f>
        <v>curl -X POST http://172.16.149.80:8001/upstreams/ups-v630-das_middleware_smt/targets -d 'target=172.16.151.112:31115'</v>
      </c>
      <c r="X107" t="str">
        <f t="shared" ref="X107" si="16">IF(L107="","","curl -X POST " &amp; $Q107 &amp; "/upstreams/"&amp; $F107 &amp;"/targets -d 'target="&amp; L107 &amp; "'")</f>
        <v/>
      </c>
      <c r="Y107" t="str">
        <f t="shared" ref="Y107" si="17">IF(M107="","","curl -X POST " &amp; $Q107 &amp; "/upstreams/"&amp; $F107 &amp;"/targets -d 'target="&amp; M107 &amp; "'")</f>
        <v/>
      </c>
      <c r="Z107" t="str">
        <f t="shared" ref="Z107" si="18">IF(N107="","","curl -X POST " &amp; $Q107 &amp; "/upstreams/"&amp; $F107 &amp;"/targets -d 'target="&amp; N107 &amp; "'")</f>
        <v/>
      </c>
    </row>
    <row r="108" spans="1:26">
      <c r="A108">
        <f>IF(ISNUMBER(SEARCH("rest_api",svc!R107)),1,0)</f>
        <v>1</v>
      </c>
      <c r="C108" t="str">
        <f>svc!D107</f>
        <v>dmz</v>
      </c>
      <c r="D108" t="str">
        <f>svc!$B107</f>
        <v>v630</v>
      </c>
      <c r="E108">
        <f>svc!G107</f>
        <v>31124</v>
      </c>
      <c r="F108" t="str">
        <f>CONCATENATE("ups-",svc!$B107,"-",svc!I107)</f>
        <v>ups-v630-das_middleware_lrt_video</v>
      </c>
      <c r="G108" t="str">
        <f>CONCATENATE("svc-",svc!$B107,"-",svc!I107)</f>
        <v>svc-v630-das_middleware_lrt_video</v>
      </c>
      <c r="H108" t="str">
        <f>CONCATENATE("route-",VLOOKUP($D108,kong_p1_var!$B$10:$D$16,2,FALSE),"-",svc!$B107,"-",svc!I107)</f>
        <v>route-v510-v630-das_middleware_lrt_video</v>
      </c>
      <c r="I108" t="str">
        <f>CONCATENATE(VLOOKUP($D108,kong_p1_var!$B$20:$H$26,SUBSTITUTE(I$1,"target_","") + 1,FALSE),":",$E108)</f>
        <v>172.16.151.110:31124</v>
      </c>
      <c r="J108" t="str">
        <f>CONCATENATE(VLOOKUP($D108,kong_p1_var!$B$20:$H$26,SUBSTITUTE(J$1,"target_","") + 1,FALSE),":",$E108)</f>
        <v>172.16.151.111:31124</v>
      </c>
      <c r="K108" t="str">
        <f>CONCATENATE(VLOOKUP($D108,kong_p1_var!$B$20:$H$26,SUBSTITUTE(K$1,"target_","") + 1,FALSE),":",$E108)</f>
        <v>172.16.151.112:31124</v>
      </c>
      <c r="L108" t="str">
        <f>IF($C108="dmz","",CONCATENATE(VLOOKUP($D108,kong_p1_var!$B$20:$H$26,SUBSTITUTE(L$1,"target_","") + 1,FALSE),":",$E108))</f>
        <v/>
      </c>
      <c r="M108" t="str">
        <f>IF($C108="dmz","",CONCATENATE(VLOOKUP($D108,kong_p1_var!$B$20:$H$26,SUBSTITUTE(M$1,"target_","") + 1,FALSE),":",$E108))</f>
        <v/>
      </c>
      <c r="N108" t="str">
        <f>IF($C108="dmz","",CONCATENATE(VLOOKUP($D108,kong_p1_var!$B$20:$H$26,SUBSTITUTE(N$1,"target_","") + 1,FALSE),":",$E108))</f>
        <v/>
      </c>
      <c r="O108" t="str">
        <f>VLOOKUP($D108,kong_p1_var!$B$10:$D$16,3,FALSE)</f>
        <v>172.16.150.71</v>
      </c>
      <c r="P108" t="str">
        <f>CONCATENATE("/",C108,MID(D108,2,15),"/",svc!$I107)</f>
        <v>/dmz630/das_middleware_lrt_video</v>
      </c>
      <c r="Q108" t="str">
        <f>VLOOKUP(C108,kong_p1_var!$B$6:$C$7,2,FALSE)</f>
        <v>http://172.16.149.80:8001</v>
      </c>
      <c r="R108" t="str">
        <f>SUBSTITUTE(SUBSTITUTE(kong_p1_var!$J$1,"&lt;upstream_name&gt;",$F108),"&lt;kong_api_url&gt;",$Q108)</f>
        <v>curl -X PUT http://172.16.149.80:8001/upstreams/ups-v630-das_middleware_lrt_video</v>
      </c>
      <c r="S108" t="str">
        <f>SUBSTITUTE(SUBSTITUTE(SUBSTITUTE(SUBSTITUTE(kong_p1_var!$J$2,"&lt;kong_api_url&gt;",$Q108),"&lt;upstream_name&gt;",$F108),"&lt;port&gt;",$E108),"&lt;service_name&gt;",$G108)</f>
        <v>curl -X PUT http://172.16.149.80:8001/services/svc-v630-das_middleware_lrt_video -H "Content-Type: application/json" -d '{"protocol":"http","host":"ups-v630-das_middleware_lrt_video","port":31124}'</v>
      </c>
      <c r="T108" t="str">
        <f>SUBSTITUTE(SUBSTITUTE(SUBSTITUTE(SUBSTITUTE(SUBSTITUTE(kong_p1_var!$J$3,"&lt;kong_api_url&gt;",$Q108),"&lt;route_name&gt;",$H108),"&lt;service_name&gt;",$G108),"&lt;host&gt;",$O108),"&lt;path&gt;",$P108)</f>
        <v>curl -X PUT http://172.16.149.80:8001/services/svc-v630-das_middleware_lrt_video/routes/route-v510-v630-das_middleware_lrt_video -H "Content-Type: application/json" -d '{"protocols":["http"],"hosts":["172.16.150.71"],"paths":["/dmz630/das_middleware_lrt_video"]}'</v>
      </c>
      <c r="U108" t="str">
        <f t="shared" ref="U108:U110" si="19">IF(I108="","","curl -X POST " &amp; $Q108 &amp; "/upstreams/"&amp; $F108 &amp;"/targets -d 'target="&amp; I108 &amp; "'")</f>
        <v>curl -X POST http://172.16.149.80:8001/upstreams/ups-v630-das_middleware_lrt_video/targets -d 'target=172.16.151.110:31124'</v>
      </c>
      <c r="V108" t="str">
        <f t="shared" ref="V108:V110" si="20">IF(J108="","","curl -X POST " &amp; $Q108 &amp; "/upstreams/"&amp; $F108 &amp;"/targets -d 'target="&amp; J108 &amp; "'")</f>
        <v>curl -X POST http://172.16.149.80:8001/upstreams/ups-v630-das_middleware_lrt_video/targets -d 'target=172.16.151.111:31124'</v>
      </c>
      <c r="W108" t="str">
        <f t="shared" ref="W108:W110" si="21">IF(K108="","","curl -X POST " &amp; $Q108 &amp; "/upstreams/"&amp; $F108 &amp;"/targets -d 'target="&amp; K108 &amp; "'")</f>
        <v>curl -X POST http://172.16.149.80:8001/upstreams/ups-v630-das_middleware_lrt_video/targets -d 'target=172.16.151.112:31124'</v>
      </c>
      <c r="X108" t="str">
        <f t="shared" ref="X108:X110" si="22">IF(L108="","","curl -X POST " &amp; $Q108 &amp; "/upstreams/"&amp; $F108 &amp;"/targets -d 'target="&amp; L108 &amp; "'")</f>
        <v/>
      </c>
      <c r="Y108" t="str">
        <f t="shared" ref="Y108:Y110" si="23">IF(M108="","","curl -X POST " &amp; $Q108 &amp; "/upstreams/"&amp; $F108 &amp;"/targets -d 'target="&amp; M108 &amp; "'")</f>
        <v/>
      </c>
      <c r="Z108" t="str">
        <f t="shared" ref="Z108:Z110" si="24">IF(N108="","","curl -X POST " &amp; $Q108 &amp; "/upstreams/"&amp; $F108 &amp;"/targets -d 'target="&amp; N108 &amp; "'")</f>
        <v/>
      </c>
    </row>
    <row r="109" spans="1:26">
      <c r="A109">
        <f>IF(ISNUMBER(SEARCH("rest_api",svc!R108)),1,0)</f>
        <v>1</v>
      </c>
      <c r="C109" t="str">
        <f>svc!D108</f>
        <v>dmz</v>
      </c>
      <c r="D109" t="str">
        <f>svc!$B108</f>
        <v>v630</v>
      </c>
      <c r="E109">
        <f>svc!G108</f>
        <v>31125</v>
      </c>
      <c r="F109" t="str">
        <f>CONCATENATE("ups-",svc!$B108,"-",svc!I108)</f>
        <v>ups-v630-das_middleware_smt_video</v>
      </c>
      <c r="G109" t="str">
        <f>CONCATENATE("svc-",svc!$B108,"-",svc!I108)</f>
        <v>svc-v630-das_middleware_smt_video</v>
      </c>
      <c r="H109" t="str">
        <f>CONCATENATE("route-",VLOOKUP($D109,kong_p1_var!$B$10:$D$16,2,FALSE),"-",svc!$B108,"-",svc!I108)</f>
        <v>route-v510-v630-das_middleware_smt_video</v>
      </c>
      <c r="I109" t="str">
        <f>CONCATENATE(VLOOKUP($D109,kong_p1_var!$B$20:$H$26,SUBSTITUTE(I$1,"target_","") + 1,FALSE),":",$E109)</f>
        <v>172.16.151.110:31125</v>
      </c>
      <c r="J109" t="str">
        <f>CONCATENATE(VLOOKUP($D109,kong_p1_var!$B$20:$H$26,SUBSTITUTE(J$1,"target_","") + 1,FALSE),":",$E109)</f>
        <v>172.16.151.111:31125</v>
      </c>
      <c r="K109" t="str">
        <f>CONCATENATE(VLOOKUP($D109,kong_p1_var!$B$20:$H$26,SUBSTITUTE(K$1,"target_","") + 1,FALSE),":",$E109)</f>
        <v>172.16.151.112:31125</v>
      </c>
      <c r="L109" t="str">
        <f>IF($C109="dmz","",CONCATENATE(VLOOKUP($D109,kong_p1_var!$B$20:$H$26,SUBSTITUTE(L$1,"target_","") + 1,FALSE),":",$E109))</f>
        <v/>
      </c>
      <c r="M109" t="str">
        <f>IF($C109="dmz","",CONCATENATE(VLOOKUP($D109,kong_p1_var!$B$20:$H$26,SUBSTITUTE(M$1,"target_","") + 1,FALSE),":",$E109))</f>
        <v/>
      </c>
      <c r="N109" t="str">
        <f>IF($C109="dmz","",CONCATENATE(VLOOKUP($D109,kong_p1_var!$B$20:$H$26,SUBSTITUTE(N$1,"target_","") + 1,FALSE),":",$E109))</f>
        <v/>
      </c>
      <c r="O109" t="str">
        <f>VLOOKUP($D109,kong_p1_var!$B$10:$D$16,3,FALSE)</f>
        <v>172.16.150.71</v>
      </c>
      <c r="P109" t="str">
        <f>CONCATENATE("/",C109,MID(D109,2,15),"/",svc!$I108)</f>
        <v>/dmz630/das_middleware_smt_video</v>
      </c>
      <c r="Q109" t="str">
        <f>VLOOKUP(C109,kong_p1_var!$B$6:$C$7,2,FALSE)</f>
        <v>http://172.16.149.80:8001</v>
      </c>
      <c r="R109" t="str">
        <f>SUBSTITUTE(SUBSTITUTE(kong_p1_var!$J$1,"&lt;upstream_name&gt;",$F109),"&lt;kong_api_url&gt;",$Q109)</f>
        <v>curl -X PUT http://172.16.149.80:8001/upstreams/ups-v630-das_middleware_smt_video</v>
      </c>
      <c r="S109" t="str">
        <f>SUBSTITUTE(SUBSTITUTE(SUBSTITUTE(SUBSTITUTE(kong_p1_var!$J$2,"&lt;kong_api_url&gt;",$Q109),"&lt;upstream_name&gt;",$F109),"&lt;port&gt;",$E109),"&lt;service_name&gt;",$G109)</f>
        <v>curl -X PUT http://172.16.149.80:8001/services/svc-v630-das_middleware_smt_video -H "Content-Type: application/json" -d '{"protocol":"http","host":"ups-v630-das_middleware_smt_video","port":31125}'</v>
      </c>
      <c r="T109" t="str">
        <f>SUBSTITUTE(SUBSTITUTE(SUBSTITUTE(SUBSTITUTE(SUBSTITUTE(kong_p1_var!$J$3,"&lt;kong_api_url&gt;",$Q109),"&lt;route_name&gt;",$H109),"&lt;service_name&gt;",$G109),"&lt;host&gt;",$O109),"&lt;path&gt;",$P109)</f>
        <v>curl -X PUT http://172.16.149.80:8001/services/svc-v630-das_middleware_smt_video/routes/route-v510-v630-das_middleware_smt_video -H "Content-Type: application/json" -d '{"protocols":["http"],"hosts":["172.16.150.71"],"paths":["/dmz630/das_middleware_smt_video"]}'</v>
      </c>
      <c r="U109" t="str">
        <f t="shared" si="19"/>
        <v>curl -X POST http://172.16.149.80:8001/upstreams/ups-v630-das_middleware_smt_video/targets -d 'target=172.16.151.110:31125'</v>
      </c>
      <c r="V109" t="str">
        <f t="shared" si="20"/>
        <v>curl -X POST http://172.16.149.80:8001/upstreams/ups-v630-das_middleware_smt_video/targets -d 'target=172.16.151.111:31125'</v>
      </c>
      <c r="W109" t="str">
        <f t="shared" si="21"/>
        <v>curl -X POST http://172.16.149.80:8001/upstreams/ups-v630-das_middleware_smt_video/targets -d 'target=172.16.151.112:31125'</v>
      </c>
      <c r="X109" t="str">
        <f t="shared" si="22"/>
        <v/>
      </c>
      <c r="Y109" t="str">
        <f t="shared" si="23"/>
        <v/>
      </c>
      <c r="Z109" t="str">
        <f t="shared" si="24"/>
        <v/>
      </c>
    </row>
    <row r="110" spans="1:26">
      <c r="A110">
        <f>IF(ISNUMBER(SEARCH("rest_api",svc!R109)),1,0)</f>
        <v>1</v>
      </c>
      <c r="C110" t="str">
        <f>svc!D109</f>
        <v>dmz</v>
      </c>
      <c r="D110" t="str">
        <f>svc!$B109</f>
        <v>v630</v>
      </c>
      <c r="E110">
        <f>svc!G109</f>
        <v>31129</v>
      </c>
      <c r="F110" t="str">
        <f>CONCATENATE("ups-",svc!$B109,"-",svc!I109)</f>
        <v>ups-v630-das_middleware_video</v>
      </c>
      <c r="G110" t="str">
        <f>CONCATENATE("svc-",svc!$B109,"-",svc!I109)</f>
        <v>svc-v630-das_middleware_video</v>
      </c>
      <c r="H110" t="str">
        <f>CONCATENATE("route-",VLOOKUP($D110,kong_p1_var!$B$10:$D$16,2,FALSE),"-",svc!$B109,"-",svc!I109)</f>
        <v>route-v510-v630-das_middleware_video</v>
      </c>
      <c r="I110" t="str">
        <f>CONCATENATE(VLOOKUP($D110,kong_p1_var!$B$20:$H$26,SUBSTITUTE(I$1,"target_","") + 1,FALSE),":",$E110)</f>
        <v>172.16.151.110:31129</v>
      </c>
      <c r="J110" t="str">
        <f>CONCATENATE(VLOOKUP($D110,kong_p1_var!$B$20:$H$26,SUBSTITUTE(J$1,"target_","") + 1,FALSE),":",$E110)</f>
        <v>172.16.151.111:31129</v>
      </c>
      <c r="K110" t="str">
        <f>CONCATENATE(VLOOKUP($D110,kong_p1_var!$B$20:$H$26,SUBSTITUTE(K$1,"target_","") + 1,FALSE),":",$E110)</f>
        <v>172.16.151.112:31129</v>
      </c>
      <c r="L110" t="str">
        <f>IF($C110="dmz","",CONCATENATE(VLOOKUP($D110,kong_p1_var!$B$20:$H$26,SUBSTITUTE(L$1,"target_","") + 1,FALSE),":",$E110))</f>
        <v/>
      </c>
      <c r="M110" t="str">
        <f>IF($C110="dmz","",CONCATENATE(VLOOKUP($D110,kong_p1_var!$B$20:$H$26,SUBSTITUTE(M$1,"target_","") + 1,FALSE),":",$E110))</f>
        <v/>
      </c>
      <c r="N110" t="str">
        <f>IF($C110="dmz","",CONCATENATE(VLOOKUP($D110,kong_p1_var!$B$20:$H$26,SUBSTITUTE(N$1,"target_","") + 1,FALSE),":",$E110))</f>
        <v/>
      </c>
      <c r="O110" t="str">
        <f>VLOOKUP($D110,kong_p1_var!$B$10:$D$16,3,FALSE)</f>
        <v>172.16.150.71</v>
      </c>
      <c r="P110" t="str">
        <f>CONCATENATE("/",C110,MID(D110,2,15),"/",svc!$I109)</f>
        <v>/dmz630/das_middleware_video</v>
      </c>
      <c r="Q110" t="str">
        <f>VLOOKUP(C110,kong_p1_var!$B$6:$C$7,2,FALSE)</f>
        <v>http://172.16.149.80:8001</v>
      </c>
      <c r="R110" t="str">
        <f>SUBSTITUTE(SUBSTITUTE(kong_p1_var!$J$1,"&lt;upstream_name&gt;",$F110),"&lt;kong_api_url&gt;",$Q110)</f>
        <v>curl -X PUT http://172.16.149.80:8001/upstreams/ups-v630-das_middleware_video</v>
      </c>
      <c r="S110" t="str">
        <f>SUBSTITUTE(SUBSTITUTE(SUBSTITUTE(SUBSTITUTE(kong_p1_var!$J$2,"&lt;kong_api_url&gt;",$Q110),"&lt;upstream_name&gt;",$F110),"&lt;port&gt;",$E110),"&lt;service_name&gt;",$G110)</f>
        <v>curl -X PUT http://172.16.149.80:8001/services/svc-v630-das_middleware_video -H "Content-Type: application/json" -d '{"protocol":"http","host":"ups-v630-das_middleware_video","port":31129}'</v>
      </c>
      <c r="T110" t="str">
        <f>SUBSTITUTE(SUBSTITUTE(SUBSTITUTE(SUBSTITUTE(SUBSTITUTE(kong_p1_var!$J$3,"&lt;kong_api_url&gt;",$Q110),"&lt;route_name&gt;",$H110),"&lt;service_name&gt;",$G110),"&lt;host&gt;",$O110),"&lt;path&gt;",$P110)</f>
        <v>curl -X PUT http://172.16.149.80:8001/services/svc-v630-das_middleware_video/routes/route-v510-v630-das_middleware_video -H "Content-Type: application/json" -d '{"protocols":["http"],"hosts":["172.16.150.71"],"paths":["/dmz630/das_middleware_video"]}'</v>
      </c>
      <c r="U110" t="str">
        <f t="shared" si="19"/>
        <v>curl -X POST http://172.16.149.80:8001/upstreams/ups-v630-das_middleware_video/targets -d 'target=172.16.151.110:31129'</v>
      </c>
      <c r="V110" t="str">
        <f t="shared" si="20"/>
        <v>curl -X POST http://172.16.149.80:8001/upstreams/ups-v630-das_middleware_video/targets -d 'target=172.16.151.111:31129'</v>
      </c>
      <c r="W110" t="str">
        <f t="shared" si="21"/>
        <v>curl -X POST http://172.16.149.80:8001/upstreams/ups-v630-das_middleware_video/targets -d 'target=172.16.151.112:31129'</v>
      </c>
      <c r="X110" t="str">
        <f t="shared" si="22"/>
        <v/>
      </c>
      <c r="Y110" t="str">
        <f t="shared" si="23"/>
        <v/>
      </c>
      <c r="Z110" t="str">
        <f t="shared" si="24"/>
        <v/>
      </c>
    </row>
    <row r="111" spans="1:26">
      <c r="A111">
        <f>IF(ISNUMBER(SEARCH("rest_api",svc!R110)),1,0)</f>
        <v>1</v>
      </c>
      <c r="C111" t="str">
        <f>svc!D110</f>
        <v>trust</v>
      </c>
      <c r="D111" t="str">
        <f>svc!$B110</f>
        <v>v910</v>
      </c>
      <c r="E111">
        <f>svc!G110</f>
        <v>31313</v>
      </c>
      <c r="F111" t="str">
        <f>CONCATENATE("ups-",svc!$B110,"-",svc!I110)</f>
        <v>ups-v910-ccs_api</v>
      </c>
      <c r="G111" t="str">
        <f>CONCATENATE("svc-",svc!$B110,"-",svc!I110)</f>
        <v>svc-v910-ccs_api</v>
      </c>
      <c r="H111" t="str">
        <f>CONCATENATE("route-",VLOOKUP($D111,kong_p1_var!$B$10:$D$16,2,FALSE),"-",svc!$B110,"-",svc!I110)</f>
        <v>route-v904-v910-ccs_api</v>
      </c>
      <c r="I111" t="str">
        <f>CONCATENATE(VLOOKUP($D111,kong_p1_var!$B$20:$H$26,SUBSTITUTE(I$1,"target_","") + 1,FALSE),":",$E111)</f>
        <v>172.16.151.3:31313</v>
      </c>
      <c r="J111" t="str">
        <f>CONCATENATE(VLOOKUP($D111,kong_p1_var!$B$20:$H$26,SUBSTITUTE(J$1,"target_","") + 1,FALSE),":",$E111)</f>
        <v>172.16.151.4:31313</v>
      </c>
      <c r="K111" t="str">
        <f>CONCATENATE(VLOOKUP($D111,kong_p1_var!$B$20:$H$26,SUBSTITUTE(K$1,"target_","") + 1,FALSE),":",$E111)</f>
        <v>172.16.151.5:31313</v>
      </c>
      <c r="L111" t="str">
        <f>IF($C111="dmz","",CONCATENATE(VLOOKUP($D111,kong_p1_var!$B$20:$H$26,SUBSTITUTE(L$1,"target_","") + 1,FALSE),":",$E111))</f>
        <v>172.16.151.6:31313</v>
      </c>
      <c r="M111" t="str">
        <f>IF($C111="dmz","",CONCATENATE(VLOOKUP($D111,kong_p1_var!$B$20:$H$26,SUBSTITUTE(M$1,"target_","") + 1,FALSE),":",$E111))</f>
        <v>172.16.151.7:31313</v>
      </c>
      <c r="N111" t="str">
        <f>IF($C111="dmz","",CONCATENATE(VLOOKUP($D111,kong_p1_var!$B$20:$H$26,SUBSTITUTE(N$1,"target_","") + 1,FALSE),":",$E111))</f>
        <v>172.16.151.8:31313</v>
      </c>
      <c r="O111" t="str">
        <f>VLOOKUP($D111,kong_p1_var!$B$10:$D$16,3,FALSE)</f>
        <v>172.16.149.167</v>
      </c>
      <c r="P111" t="str">
        <f>CONCATENATE("/",C111,MID(D111,2,15),"/",svc!$I110)</f>
        <v>/trust910/ccs_api</v>
      </c>
      <c r="Q111" t="str">
        <f>VLOOKUP(C111,kong_p1_var!$B$6:$C$7,2,FALSE)</f>
        <v>http://172.16.148.160:8001</v>
      </c>
      <c r="R111" t="str">
        <f>SUBSTITUTE(SUBSTITUTE(kong_p1_var!$J$1,"&lt;upstream_name&gt;",$F111),"&lt;kong_api_url&gt;",$Q111)</f>
        <v>curl -X PUT http://172.16.148.160:8001/upstreams/ups-v910-ccs_api</v>
      </c>
      <c r="S111" t="str">
        <f>SUBSTITUTE(SUBSTITUTE(SUBSTITUTE(SUBSTITUTE(kong_p1_var!$J$2,"&lt;kong_api_url&gt;",$Q111),"&lt;upstream_name&gt;",$F111),"&lt;port&gt;",$E111),"&lt;service_name&gt;",$G111)</f>
        <v>curl -X PUT http://172.16.148.160:8001/services/svc-v910-ccs_api -H "Content-Type: application/json" -d '{"protocol":"http","host":"ups-v910-ccs_api","port":31313}'</v>
      </c>
      <c r="T111" t="str">
        <f>SUBSTITUTE(SUBSTITUTE(SUBSTITUTE(SUBSTITUTE(SUBSTITUTE(kong_p1_var!$J$3,"&lt;kong_api_url&gt;",$Q111),"&lt;route_name&gt;",$H111),"&lt;service_name&gt;",$G111),"&lt;host&gt;",$O111),"&lt;path&gt;",$P111)</f>
        <v>curl -X PUT http://172.16.148.160:8001/services/svc-v910-ccs_api/routes/route-v904-v910-ccs_api -H "Content-Type: application/json" -d '{"protocols":["http"],"hosts":["172.16.149.167"],"paths":["/trust910/ccs_api"]}'</v>
      </c>
      <c r="U111" t="str">
        <f t="shared" ref="U111:U113" si="25">IF(I111="","","curl -X POST " &amp; $Q111 &amp; "/upstreams/"&amp; $F111 &amp;"/targets -d 'target="&amp; I111 &amp; "'")</f>
        <v>curl -X POST http://172.16.148.160:8001/upstreams/ups-v910-ccs_api/targets -d 'target=172.16.151.3:31313'</v>
      </c>
      <c r="V111" t="str">
        <f t="shared" ref="V111:V113" si="26">IF(J111="","","curl -X POST " &amp; $Q111 &amp; "/upstreams/"&amp; $F111 &amp;"/targets -d 'target="&amp; J111 &amp; "'")</f>
        <v>curl -X POST http://172.16.148.160:8001/upstreams/ups-v910-ccs_api/targets -d 'target=172.16.151.4:31313'</v>
      </c>
      <c r="W111" t="str">
        <f t="shared" ref="W111:W113" si="27">IF(K111="","","curl -X POST " &amp; $Q111 &amp; "/upstreams/"&amp; $F111 &amp;"/targets -d 'target="&amp; K111 &amp; "'")</f>
        <v>curl -X POST http://172.16.148.160:8001/upstreams/ups-v910-ccs_api/targets -d 'target=172.16.151.5:31313'</v>
      </c>
      <c r="X111" t="str">
        <f t="shared" ref="X111:X113" si="28">IF(L111="","","curl -X POST " &amp; $Q111 &amp; "/upstreams/"&amp; $F111 &amp;"/targets -d 'target="&amp; L111 &amp; "'")</f>
        <v>curl -X POST http://172.16.148.160:8001/upstreams/ups-v910-ccs_api/targets -d 'target=172.16.151.6:31313'</v>
      </c>
      <c r="Y111" t="str">
        <f t="shared" ref="Y111:Y113" si="29">IF(M111="","","curl -X POST " &amp; $Q111 &amp; "/upstreams/"&amp; $F111 &amp;"/targets -d 'target="&amp; M111 &amp; "'")</f>
        <v>curl -X POST http://172.16.148.160:8001/upstreams/ups-v910-ccs_api/targets -d 'target=172.16.151.7:31313'</v>
      </c>
      <c r="Z111" t="str">
        <f t="shared" ref="Z111:Z113" si="30">IF(N111="","","curl -X POST " &amp; $Q111 &amp; "/upstreams/"&amp; $F111 &amp;"/targets -d 'target="&amp; N111 &amp; "'")</f>
        <v>curl -X POST http://172.16.148.160:8001/upstreams/ups-v910-ccs_api/targets -d 'target=172.16.151.8:31313'</v>
      </c>
    </row>
    <row r="112" spans="1:26">
      <c r="A112">
        <f>IF(ISNUMBER(SEARCH("rest_api",svc!R111)),1,0)</f>
        <v>1</v>
      </c>
      <c r="C112" t="str">
        <f>svc!D111</f>
        <v>dmz</v>
      </c>
      <c r="D112" t="str">
        <f>svc!$B111</f>
        <v>v630</v>
      </c>
      <c r="E112">
        <f>svc!G111</f>
        <v>31112</v>
      </c>
      <c r="F112" t="str">
        <f>CONCATENATE("ups-",svc!$B111,"-",svc!I111)</f>
        <v>ups-v630-das_middleware_cht</v>
      </c>
      <c r="G112" t="str">
        <f>CONCATENATE("svc-",svc!$B111,"-",svc!I111)</f>
        <v>svc-v630-das_middleware_cht</v>
      </c>
      <c r="H112" t="str">
        <f>CONCATENATE("route-",VLOOKUP($D112,kong_p1_var!$B$10:$D$16,2,FALSE),"-",svc!$B111,"-",svc!I111)</f>
        <v>route-v510-v630-das_middleware_cht</v>
      </c>
      <c r="I112" t="str">
        <f>CONCATENATE(VLOOKUP($D112,kong_p1_var!$B$20:$H$26,SUBSTITUTE(I$1,"target_","") + 1,FALSE),":",$E112)</f>
        <v>172.16.151.110:31112</v>
      </c>
      <c r="J112" t="str">
        <f>CONCATENATE(VLOOKUP($D112,kong_p1_var!$B$20:$H$26,SUBSTITUTE(J$1,"target_","") + 1,FALSE),":",$E112)</f>
        <v>172.16.151.111:31112</v>
      </c>
      <c r="K112" t="str">
        <f>CONCATENATE(VLOOKUP($D112,kong_p1_var!$B$20:$H$26,SUBSTITUTE(K$1,"target_","") + 1,FALSE),":",$E112)</f>
        <v>172.16.151.112:31112</v>
      </c>
      <c r="L112" t="str">
        <f>IF($C112="dmz","",CONCATENATE(VLOOKUP($D112,kong_p1_var!$B$20:$H$26,SUBSTITUTE(L$1,"target_","") + 1,FALSE),":",$E112))</f>
        <v/>
      </c>
      <c r="M112" t="str">
        <f>IF($C112="dmz","",CONCATENATE(VLOOKUP($D112,kong_p1_var!$B$20:$H$26,SUBSTITUTE(M$1,"target_","") + 1,FALSE),":",$E112))</f>
        <v/>
      </c>
      <c r="N112" t="str">
        <f>IF($C112="dmz","",CONCATENATE(VLOOKUP($D112,kong_p1_var!$B$20:$H$26,SUBSTITUTE(N$1,"target_","") + 1,FALSE),":",$E112))</f>
        <v/>
      </c>
      <c r="O112" t="str">
        <f>VLOOKUP($D112,kong_p1_var!$B$10:$D$16,3,FALSE)</f>
        <v>172.16.150.71</v>
      </c>
      <c r="P112" t="str">
        <f>CONCATENATE("/",C112,MID(D112,2,15),"/",svc!$I111)</f>
        <v>/dmz630/das_middleware_cht</v>
      </c>
      <c r="Q112" t="str">
        <f>VLOOKUP(C112,kong_p1_var!$B$6:$C$7,2,FALSE)</f>
        <v>http://172.16.149.80:8001</v>
      </c>
      <c r="R112" t="str">
        <f>SUBSTITUTE(SUBSTITUTE(kong_p1_var!$J$1,"&lt;upstream_name&gt;",$F112),"&lt;kong_api_url&gt;",$Q112)</f>
        <v>curl -X PUT http://172.16.149.80:8001/upstreams/ups-v630-das_middleware_cht</v>
      </c>
      <c r="S112" t="str">
        <f>SUBSTITUTE(SUBSTITUTE(SUBSTITUTE(SUBSTITUTE(kong_p1_var!$J$2,"&lt;kong_api_url&gt;",$Q112),"&lt;upstream_name&gt;",$F112),"&lt;port&gt;",$E112),"&lt;service_name&gt;",$G112)</f>
        <v>curl -X PUT http://172.16.149.80:8001/services/svc-v630-das_middleware_cht -H "Content-Type: application/json" -d '{"protocol":"http","host":"ups-v630-das_middleware_cht","port":31112}'</v>
      </c>
      <c r="T112" t="str">
        <f>SUBSTITUTE(SUBSTITUTE(SUBSTITUTE(SUBSTITUTE(SUBSTITUTE(kong_p1_var!$J$3,"&lt;kong_api_url&gt;",$Q112),"&lt;route_name&gt;",$H112),"&lt;service_name&gt;",$G112),"&lt;host&gt;",$O112),"&lt;path&gt;",$P112)</f>
        <v>curl -X PUT http://172.16.149.80:8001/services/svc-v630-das_middleware_cht/routes/route-v510-v630-das_middleware_cht -H "Content-Type: application/json" -d '{"protocols":["http"],"hosts":["172.16.150.71"],"paths":["/dmz630/das_middleware_cht"]}'</v>
      </c>
      <c r="U112" t="str">
        <f t="shared" si="25"/>
        <v>curl -X POST http://172.16.149.80:8001/upstreams/ups-v630-das_middleware_cht/targets -d 'target=172.16.151.110:31112'</v>
      </c>
      <c r="V112" t="str">
        <f t="shared" si="26"/>
        <v>curl -X POST http://172.16.149.80:8001/upstreams/ups-v630-das_middleware_cht/targets -d 'target=172.16.151.111:31112'</v>
      </c>
      <c r="W112" t="str">
        <f t="shared" si="27"/>
        <v>curl -X POST http://172.16.149.80:8001/upstreams/ups-v630-das_middleware_cht/targets -d 'target=172.16.151.112:31112'</v>
      </c>
      <c r="X112" t="str">
        <f t="shared" si="28"/>
        <v/>
      </c>
      <c r="Y112" t="str">
        <f t="shared" si="29"/>
        <v/>
      </c>
      <c r="Z112" t="str">
        <f t="shared" si="30"/>
        <v/>
      </c>
    </row>
    <row r="113" spans="1:26">
      <c r="A113">
        <f>IF(ISNUMBER(SEARCH("rest_api",svc!R112)),1,0)</f>
        <v>1</v>
      </c>
      <c r="C113" t="str">
        <f>svc!D112</f>
        <v>dmz</v>
      </c>
      <c r="D113" t="str">
        <f>svc!$B112</f>
        <v>v630</v>
      </c>
      <c r="E113">
        <f>svc!G112</f>
        <v>31122</v>
      </c>
      <c r="F113" t="str">
        <f>CONCATENATE("ups-",svc!$B112,"-",svc!I112)</f>
        <v>ups-v630-das_middleware_cht_video</v>
      </c>
      <c r="G113" t="str">
        <f>CONCATENATE("svc-",svc!$B112,"-",svc!I112)</f>
        <v>svc-v630-das_middleware_cht_video</v>
      </c>
      <c r="H113" t="str">
        <f>CONCATENATE("route-",VLOOKUP($D113,kong_p1_var!$B$10:$D$16,2,FALSE),"-",svc!$B112,"-",svc!I112)</f>
        <v>route-v510-v630-das_middleware_cht_video</v>
      </c>
      <c r="I113" t="str">
        <f>CONCATENATE(VLOOKUP($D113,kong_p1_var!$B$20:$H$26,SUBSTITUTE(I$1,"target_","") + 1,FALSE),":",$E113)</f>
        <v>172.16.151.110:31122</v>
      </c>
      <c r="J113" t="str">
        <f>CONCATENATE(VLOOKUP($D113,kong_p1_var!$B$20:$H$26,SUBSTITUTE(J$1,"target_","") + 1,FALSE),":",$E113)</f>
        <v>172.16.151.111:31122</v>
      </c>
      <c r="K113" t="str">
        <f>CONCATENATE(VLOOKUP($D113,kong_p1_var!$B$20:$H$26,SUBSTITUTE(K$1,"target_","") + 1,FALSE),":",$E113)</f>
        <v>172.16.151.112:31122</v>
      </c>
      <c r="L113" t="str">
        <f>IF($C113="dmz","",CONCATENATE(VLOOKUP($D113,kong_p1_var!$B$20:$H$26,SUBSTITUTE(L$1,"target_","") + 1,FALSE),":",$E113))</f>
        <v/>
      </c>
      <c r="M113" t="str">
        <f>IF($C113="dmz","",CONCATENATE(VLOOKUP($D113,kong_p1_var!$B$20:$H$26,SUBSTITUTE(M$1,"target_","") + 1,FALSE),":",$E113))</f>
        <v/>
      </c>
      <c r="N113" t="str">
        <f>IF($C113="dmz","",CONCATENATE(VLOOKUP($D113,kong_p1_var!$B$20:$H$26,SUBSTITUTE(N$1,"target_","") + 1,FALSE),":",$E113))</f>
        <v/>
      </c>
      <c r="O113" t="str">
        <f>VLOOKUP($D113,kong_p1_var!$B$10:$D$16,3,FALSE)</f>
        <v>172.16.150.71</v>
      </c>
      <c r="P113" t="str">
        <f>CONCATENATE("/",C113,MID(D113,2,15),"/",svc!$I112)</f>
        <v>/dmz630/das_middleware_cht_video</v>
      </c>
      <c r="Q113" t="str">
        <f>VLOOKUP(C113,kong_p1_var!$B$6:$C$7,2,FALSE)</f>
        <v>http://172.16.149.80:8001</v>
      </c>
      <c r="R113" t="str">
        <f>SUBSTITUTE(SUBSTITUTE(kong_p1_var!$J$1,"&lt;upstream_name&gt;",$F113),"&lt;kong_api_url&gt;",$Q113)</f>
        <v>curl -X PUT http://172.16.149.80:8001/upstreams/ups-v630-das_middleware_cht_video</v>
      </c>
      <c r="S113" t="str">
        <f>SUBSTITUTE(SUBSTITUTE(SUBSTITUTE(SUBSTITUTE(kong_p1_var!$J$2,"&lt;kong_api_url&gt;",$Q113),"&lt;upstream_name&gt;",$F113),"&lt;port&gt;",$E113),"&lt;service_name&gt;",$G113)</f>
        <v>curl -X PUT http://172.16.149.80:8001/services/svc-v630-das_middleware_cht_video -H "Content-Type: application/json" -d '{"protocol":"http","host":"ups-v630-das_middleware_cht_video","port":31122}'</v>
      </c>
      <c r="T113" t="str">
        <f>SUBSTITUTE(SUBSTITUTE(SUBSTITUTE(SUBSTITUTE(SUBSTITUTE(kong_p1_var!$J$3,"&lt;kong_api_url&gt;",$Q113),"&lt;route_name&gt;",$H113),"&lt;service_name&gt;",$G113),"&lt;host&gt;",$O113),"&lt;path&gt;",$P113)</f>
        <v>curl -X PUT http://172.16.149.80:8001/services/svc-v630-das_middleware_cht_video/routes/route-v510-v630-das_middleware_cht_video -H "Content-Type: application/json" -d '{"protocols":["http"],"hosts":["172.16.150.71"],"paths":["/dmz630/das_middleware_cht_video"]}'</v>
      </c>
      <c r="U113" t="str">
        <f t="shared" si="25"/>
        <v>curl -X POST http://172.16.149.80:8001/upstreams/ups-v630-das_middleware_cht_video/targets -d 'target=172.16.151.110:31122'</v>
      </c>
      <c r="V113" t="str">
        <f t="shared" si="26"/>
        <v>curl -X POST http://172.16.149.80:8001/upstreams/ups-v630-das_middleware_cht_video/targets -d 'target=172.16.151.111:31122'</v>
      </c>
      <c r="W113" t="str">
        <f t="shared" si="27"/>
        <v>curl -X POST http://172.16.149.80:8001/upstreams/ups-v630-das_middleware_cht_video/targets -d 'target=172.16.151.112:31122'</v>
      </c>
      <c r="X113" t="str">
        <f t="shared" si="28"/>
        <v/>
      </c>
      <c r="Y113" t="str">
        <f t="shared" si="29"/>
        <v/>
      </c>
      <c r="Z113" t="str">
        <f t="shared" si="30"/>
        <v/>
      </c>
    </row>
    <row r="114" spans="1:26">
      <c r="A114">
        <f>IF(ISNUMBER(SEARCH("rest_api",svc!R113)),1,0)</f>
        <v>0</v>
      </c>
      <c r="C114">
        <f>svc!D113</f>
        <v>0</v>
      </c>
      <c r="D114">
        <f>svc!$B113</f>
        <v>0</v>
      </c>
      <c r="E114">
        <f>svc!G113</f>
        <v>0</v>
      </c>
      <c r="F114" t="str">
        <f>CONCATENATE("ups-",svc!$B113,"-",svc!I113)</f>
        <v>ups--</v>
      </c>
      <c r="G114" t="str">
        <f>CONCATENATE("svc-",svc!$B113,"-",svc!I113)</f>
        <v>svc--</v>
      </c>
      <c r="H114" t="e">
        <f>CONCATENATE("route-",VLOOKUP($D114,kong_p1_var!$B$10:$D$16,2,FALSE),"-",svc!$B113,"-",svc!I113)</f>
        <v>#N/A</v>
      </c>
      <c r="I114" t="e">
        <f>CONCATENATE(VLOOKUP($D114,kong_p1_var!$B$20:$H$26,SUBSTITUTE(I$1,"target_","") + 1,FALSE),":",$E114)</f>
        <v>#N/A</v>
      </c>
      <c r="J114" t="e">
        <f>CONCATENATE(VLOOKUP($D114,kong_p1_var!$B$20:$H$26,SUBSTITUTE(J$1,"target_","") + 1,FALSE),":",$E114)</f>
        <v>#N/A</v>
      </c>
      <c r="K114" t="e">
        <f>CONCATENATE(VLOOKUP($D114,kong_p1_var!$B$20:$H$26,SUBSTITUTE(K$1,"target_","") + 1,FALSE),":",$E114)</f>
        <v>#N/A</v>
      </c>
      <c r="L114" t="e">
        <f>IF($C114="dmz","",CONCATENATE(VLOOKUP($D114,kong_p1_var!$B$20:$H$26,SUBSTITUTE(L$1,"target_","") + 1,FALSE),":",$E114))</f>
        <v>#N/A</v>
      </c>
      <c r="M114" t="e">
        <f>IF($C114="dmz","",CONCATENATE(VLOOKUP($D114,kong_p1_var!$B$20:$H$26,SUBSTITUTE(M$1,"target_","") + 1,FALSE),":",$E114))</f>
        <v>#N/A</v>
      </c>
      <c r="N114" t="e">
        <f>IF($C114="dmz","",CONCATENATE(VLOOKUP($D114,kong_p1_var!$B$20:$H$26,SUBSTITUTE(N$1,"target_","") + 1,FALSE),":",$E114))</f>
        <v>#N/A</v>
      </c>
      <c r="O114" t="e">
        <f>VLOOKUP($D114,kong_p1_var!$B$10:$D$16,3,FALSE)</f>
        <v>#N/A</v>
      </c>
      <c r="P114" t="str">
        <f>CONCATENATE("/",C114,MID(D114,2,15),"/",svc!$I113)</f>
        <v>/0/</v>
      </c>
      <c r="Q114" t="e">
        <f>VLOOKUP(C114,kong_p1_var!$B$6:$C$7,2,FALSE)</f>
        <v>#N/A</v>
      </c>
      <c r="R114" t="e">
        <f>SUBSTITUTE(SUBSTITUTE(kong_p1_var!$J$1,"&lt;upstream_name&gt;",$F114),"&lt;kong_api_url&gt;",$Q114)</f>
        <v>#N/A</v>
      </c>
      <c r="S114" t="e">
        <f>SUBSTITUTE(SUBSTITUTE(SUBSTITUTE(SUBSTITUTE(kong_p1_var!$J$2,"&lt;kong_api_url&gt;",$Q114),"&lt;upstream_name&gt;",$F114),"&lt;port&gt;",$E114),"&lt;service_name&gt;",$G114)</f>
        <v>#N/A</v>
      </c>
      <c r="T114" t="e">
        <f>SUBSTITUTE(SUBSTITUTE(SUBSTITUTE(SUBSTITUTE(SUBSTITUTE(kong_p1_var!$J$3,"&lt;kong_api_url&gt;",$Q114),"&lt;route_name&gt;",$H114),"&lt;service_name&gt;",$G114),"&lt;host&gt;",$O114),"&lt;path&gt;",$P114)</f>
        <v>#N/A</v>
      </c>
      <c r="U114" t="e">
        <f t="shared" ref="U114:U138" si="31">IF(I114="","","curl -X POST " &amp; $Q114 &amp; "/upstreams/"&amp; $F114 &amp;"/targets -d 'target="&amp; I114 &amp; "'")</f>
        <v>#N/A</v>
      </c>
      <c r="V114" t="e">
        <f t="shared" ref="V114:V138" si="32">IF(J114="","","curl -X POST " &amp; $Q114 &amp; "/upstreams/"&amp; $F114 &amp;"/targets -d 'target="&amp; J114 &amp; "'")</f>
        <v>#N/A</v>
      </c>
      <c r="W114" t="e">
        <f t="shared" ref="W114:W138" si="33">IF(K114="","","curl -X POST " &amp; $Q114 &amp; "/upstreams/"&amp; $F114 &amp;"/targets -d 'target="&amp; K114 &amp; "'")</f>
        <v>#N/A</v>
      </c>
      <c r="X114" t="e">
        <f t="shared" ref="X114:X138" si="34">IF(L114="","","curl -X POST " &amp; $Q114 &amp; "/upstreams/"&amp; $F114 &amp;"/targets -d 'target="&amp; L114 &amp; "'")</f>
        <v>#N/A</v>
      </c>
      <c r="Y114" t="e">
        <f t="shared" ref="Y114:Y138" si="35">IF(M114="","","curl -X POST " &amp; $Q114 &amp; "/upstreams/"&amp; $F114 &amp;"/targets -d 'target="&amp; M114 &amp; "'")</f>
        <v>#N/A</v>
      </c>
      <c r="Z114" t="e">
        <f t="shared" ref="Z114:Z138" si="36">IF(N114="","","curl -X POST " &amp; $Q114 &amp; "/upstreams/"&amp; $F114 &amp;"/targets -d 'target="&amp; N114 &amp; "'")</f>
        <v>#N/A</v>
      </c>
    </row>
    <row r="115" spans="1:26">
      <c r="A115">
        <f>IF(ISNUMBER(SEARCH("rest_api",svc!R114)),1,0)</f>
        <v>0</v>
      </c>
      <c r="C115">
        <f>svc!D114</f>
        <v>0</v>
      </c>
      <c r="D115">
        <f>svc!$B114</f>
        <v>0</v>
      </c>
      <c r="E115">
        <f>svc!G114</f>
        <v>0</v>
      </c>
      <c r="F115" t="str">
        <f>CONCATENATE("ups-",svc!$B114,"-",svc!I114)</f>
        <v>ups--</v>
      </c>
      <c r="G115" t="str">
        <f>CONCATENATE("svc-",svc!$B114,"-",svc!I114)</f>
        <v>svc--</v>
      </c>
      <c r="H115" t="e">
        <f>CONCATENATE("route-",VLOOKUP($D115,kong_p1_var!$B$10:$D$16,2,FALSE),"-",svc!$B114,"-",svc!I114)</f>
        <v>#N/A</v>
      </c>
      <c r="I115" t="e">
        <f>CONCATENATE(VLOOKUP($D115,kong_p1_var!$B$20:$H$26,SUBSTITUTE(I$1,"target_","") + 1,FALSE),":",$E115)</f>
        <v>#N/A</v>
      </c>
      <c r="J115" t="e">
        <f>CONCATENATE(VLOOKUP($D115,kong_p1_var!$B$20:$H$26,SUBSTITUTE(J$1,"target_","") + 1,FALSE),":",$E115)</f>
        <v>#N/A</v>
      </c>
      <c r="K115" t="e">
        <f>CONCATENATE(VLOOKUP($D115,kong_p1_var!$B$20:$H$26,SUBSTITUTE(K$1,"target_","") + 1,FALSE),":",$E115)</f>
        <v>#N/A</v>
      </c>
      <c r="L115" t="e">
        <f>IF($C115="dmz","",CONCATENATE(VLOOKUP($D115,kong_p1_var!$B$20:$H$26,SUBSTITUTE(L$1,"target_","") + 1,FALSE),":",$E115))</f>
        <v>#N/A</v>
      </c>
      <c r="M115" t="e">
        <f>IF($C115="dmz","",CONCATENATE(VLOOKUP($D115,kong_p1_var!$B$20:$H$26,SUBSTITUTE(M$1,"target_","") + 1,FALSE),":",$E115))</f>
        <v>#N/A</v>
      </c>
      <c r="N115" t="e">
        <f>IF($C115="dmz","",CONCATENATE(VLOOKUP($D115,kong_p1_var!$B$20:$H$26,SUBSTITUTE(N$1,"target_","") + 1,FALSE),":",$E115))</f>
        <v>#N/A</v>
      </c>
      <c r="O115" t="e">
        <f>VLOOKUP($D115,kong_p1_var!$B$10:$D$16,3,FALSE)</f>
        <v>#N/A</v>
      </c>
      <c r="P115" t="str">
        <f>CONCATENATE("/",C115,MID(D115,2,15),"/",svc!$I114)</f>
        <v>/0/</v>
      </c>
      <c r="Q115" t="e">
        <f>VLOOKUP(C115,kong_p1_var!$B$6:$C$7,2,FALSE)</f>
        <v>#N/A</v>
      </c>
      <c r="R115" t="e">
        <f>SUBSTITUTE(SUBSTITUTE(kong_p1_var!$J$1,"&lt;upstream_name&gt;",$F115),"&lt;kong_api_url&gt;",$Q115)</f>
        <v>#N/A</v>
      </c>
      <c r="S115" t="e">
        <f>SUBSTITUTE(SUBSTITUTE(SUBSTITUTE(SUBSTITUTE(kong_p1_var!$J$2,"&lt;kong_api_url&gt;",$Q115),"&lt;upstream_name&gt;",$F115),"&lt;port&gt;",$E115),"&lt;service_name&gt;",$G115)</f>
        <v>#N/A</v>
      </c>
      <c r="T115" t="e">
        <f>SUBSTITUTE(SUBSTITUTE(SUBSTITUTE(SUBSTITUTE(SUBSTITUTE(kong_p1_var!$J$3,"&lt;kong_api_url&gt;",$Q115),"&lt;route_name&gt;",$H115),"&lt;service_name&gt;",$G115),"&lt;host&gt;",$O115),"&lt;path&gt;",$P115)</f>
        <v>#N/A</v>
      </c>
      <c r="U115" t="e">
        <f t="shared" si="31"/>
        <v>#N/A</v>
      </c>
      <c r="V115" t="e">
        <f t="shared" si="32"/>
        <v>#N/A</v>
      </c>
      <c r="W115" t="e">
        <f t="shared" si="33"/>
        <v>#N/A</v>
      </c>
      <c r="X115" t="e">
        <f t="shared" si="34"/>
        <v>#N/A</v>
      </c>
      <c r="Y115" t="e">
        <f t="shared" si="35"/>
        <v>#N/A</v>
      </c>
      <c r="Z115" t="e">
        <f t="shared" si="36"/>
        <v>#N/A</v>
      </c>
    </row>
    <row r="116" spans="1:26">
      <c r="A116">
        <f>IF(ISNUMBER(SEARCH("rest_api",svc!R115)),1,0)</f>
        <v>0</v>
      </c>
      <c r="C116">
        <f>svc!D115</f>
        <v>0</v>
      </c>
      <c r="D116">
        <f>svc!$B115</f>
        <v>0</v>
      </c>
      <c r="E116">
        <f>svc!G115</f>
        <v>0</v>
      </c>
      <c r="F116" t="str">
        <f>CONCATENATE("ups-",svc!$B115,"-",svc!I115)</f>
        <v>ups--</v>
      </c>
      <c r="G116" t="str">
        <f>CONCATENATE("svc-",svc!$B115,"-",svc!I115)</f>
        <v>svc--</v>
      </c>
      <c r="H116" t="e">
        <f>CONCATENATE("route-",VLOOKUP($D116,kong_p1_var!$B$10:$D$16,2,FALSE),"-",svc!$B115,"-",svc!I115)</f>
        <v>#N/A</v>
      </c>
      <c r="I116" t="e">
        <f>CONCATENATE(VLOOKUP($D116,kong_p1_var!$B$20:$H$26,SUBSTITUTE(I$1,"target_","") + 1,FALSE),":",$E116)</f>
        <v>#N/A</v>
      </c>
      <c r="J116" t="e">
        <f>CONCATENATE(VLOOKUP($D116,kong_p1_var!$B$20:$H$26,SUBSTITUTE(J$1,"target_","") + 1,FALSE),":",$E116)</f>
        <v>#N/A</v>
      </c>
      <c r="K116" t="e">
        <f>CONCATENATE(VLOOKUP($D116,kong_p1_var!$B$20:$H$26,SUBSTITUTE(K$1,"target_","") + 1,FALSE),":",$E116)</f>
        <v>#N/A</v>
      </c>
      <c r="L116" t="e">
        <f>IF($C116="dmz","",CONCATENATE(VLOOKUP($D116,kong_p1_var!$B$20:$H$26,SUBSTITUTE(L$1,"target_","") + 1,FALSE),":",$E116))</f>
        <v>#N/A</v>
      </c>
      <c r="M116" t="e">
        <f>IF($C116="dmz","",CONCATENATE(VLOOKUP($D116,kong_p1_var!$B$20:$H$26,SUBSTITUTE(M$1,"target_","") + 1,FALSE),":",$E116))</f>
        <v>#N/A</v>
      </c>
      <c r="N116" t="e">
        <f>IF($C116="dmz","",CONCATENATE(VLOOKUP($D116,kong_p1_var!$B$20:$H$26,SUBSTITUTE(N$1,"target_","") + 1,FALSE),":",$E116))</f>
        <v>#N/A</v>
      </c>
      <c r="O116" t="e">
        <f>VLOOKUP($D116,kong_p1_var!$B$10:$D$16,3,FALSE)</f>
        <v>#N/A</v>
      </c>
      <c r="P116" t="str">
        <f>CONCATENATE("/",C116,MID(D116,2,15),"/",svc!$I115)</f>
        <v>/0/</v>
      </c>
      <c r="Q116" t="e">
        <f>VLOOKUP(C116,kong_p1_var!$B$6:$C$7,2,FALSE)</f>
        <v>#N/A</v>
      </c>
      <c r="R116" t="e">
        <f>SUBSTITUTE(SUBSTITUTE(kong_p1_var!$J$1,"&lt;upstream_name&gt;",$F116),"&lt;kong_api_url&gt;",$Q116)</f>
        <v>#N/A</v>
      </c>
      <c r="S116" t="e">
        <f>SUBSTITUTE(SUBSTITUTE(SUBSTITUTE(SUBSTITUTE(kong_p1_var!$J$2,"&lt;kong_api_url&gt;",$Q116),"&lt;upstream_name&gt;",$F116),"&lt;port&gt;",$E116),"&lt;service_name&gt;",$G116)</f>
        <v>#N/A</v>
      </c>
      <c r="T116" t="e">
        <f>SUBSTITUTE(SUBSTITUTE(SUBSTITUTE(SUBSTITUTE(SUBSTITUTE(kong_p1_var!$J$3,"&lt;kong_api_url&gt;",$Q116),"&lt;route_name&gt;",$H116),"&lt;service_name&gt;",$G116),"&lt;host&gt;",$O116),"&lt;path&gt;",$P116)</f>
        <v>#N/A</v>
      </c>
      <c r="U116" t="e">
        <f t="shared" si="31"/>
        <v>#N/A</v>
      </c>
      <c r="V116" t="e">
        <f t="shared" si="32"/>
        <v>#N/A</v>
      </c>
      <c r="W116" t="e">
        <f t="shared" si="33"/>
        <v>#N/A</v>
      </c>
      <c r="X116" t="e">
        <f t="shared" si="34"/>
        <v>#N/A</v>
      </c>
      <c r="Y116" t="e">
        <f t="shared" si="35"/>
        <v>#N/A</v>
      </c>
      <c r="Z116" t="e">
        <f t="shared" si="36"/>
        <v>#N/A</v>
      </c>
    </row>
    <row r="117" spans="1:26">
      <c r="A117">
        <f>IF(ISNUMBER(SEARCH("rest_api",svc!R116)),1,0)</f>
        <v>0</v>
      </c>
      <c r="C117">
        <f>svc!D116</f>
        <v>0</v>
      </c>
      <c r="D117">
        <f>svc!$B116</f>
        <v>0</v>
      </c>
      <c r="E117">
        <f>svc!G116</f>
        <v>0</v>
      </c>
      <c r="F117" t="str">
        <f>CONCATENATE("ups-",svc!$B116,"-",svc!I116)</f>
        <v>ups--</v>
      </c>
      <c r="G117" t="str">
        <f>CONCATENATE("svc-",svc!$B116,"-",svc!I116)</f>
        <v>svc--</v>
      </c>
      <c r="H117" t="e">
        <f>CONCATENATE("route-",VLOOKUP($D117,kong_p1_var!$B$10:$D$16,2,FALSE),"-",svc!$B116,"-",svc!I116)</f>
        <v>#N/A</v>
      </c>
      <c r="I117" t="e">
        <f>CONCATENATE(VLOOKUP($D117,kong_p1_var!$B$20:$H$26,SUBSTITUTE(I$1,"target_","") + 1,FALSE),":",$E117)</f>
        <v>#N/A</v>
      </c>
      <c r="J117" t="e">
        <f>CONCATENATE(VLOOKUP($D117,kong_p1_var!$B$20:$H$26,SUBSTITUTE(J$1,"target_","") + 1,FALSE),":",$E117)</f>
        <v>#N/A</v>
      </c>
      <c r="K117" t="e">
        <f>CONCATENATE(VLOOKUP($D117,kong_p1_var!$B$20:$H$26,SUBSTITUTE(K$1,"target_","") + 1,FALSE),":",$E117)</f>
        <v>#N/A</v>
      </c>
      <c r="L117" t="e">
        <f>IF($C117="dmz","",CONCATENATE(VLOOKUP($D117,kong_p1_var!$B$20:$H$26,SUBSTITUTE(L$1,"target_","") + 1,FALSE),":",$E117))</f>
        <v>#N/A</v>
      </c>
      <c r="M117" t="e">
        <f>IF($C117="dmz","",CONCATENATE(VLOOKUP($D117,kong_p1_var!$B$20:$H$26,SUBSTITUTE(M$1,"target_","") + 1,FALSE),":",$E117))</f>
        <v>#N/A</v>
      </c>
      <c r="N117" t="e">
        <f>IF($C117="dmz","",CONCATENATE(VLOOKUP($D117,kong_p1_var!$B$20:$H$26,SUBSTITUTE(N$1,"target_","") + 1,FALSE),":",$E117))</f>
        <v>#N/A</v>
      </c>
      <c r="O117" t="e">
        <f>VLOOKUP($D117,kong_p1_var!$B$10:$D$16,3,FALSE)</f>
        <v>#N/A</v>
      </c>
      <c r="P117" t="str">
        <f>CONCATENATE("/",C117,MID(D117,2,15),"/",svc!$I116)</f>
        <v>/0/</v>
      </c>
      <c r="Q117" t="e">
        <f>VLOOKUP(C117,kong_p1_var!$B$6:$C$7,2,FALSE)</f>
        <v>#N/A</v>
      </c>
      <c r="R117" t="e">
        <f>SUBSTITUTE(SUBSTITUTE(kong_p1_var!$J$1,"&lt;upstream_name&gt;",$F117),"&lt;kong_api_url&gt;",$Q117)</f>
        <v>#N/A</v>
      </c>
      <c r="S117" t="e">
        <f>SUBSTITUTE(SUBSTITUTE(SUBSTITUTE(SUBSTITUTE(kong_p1_var!$J$2,"&lt;kong_api_url&gt;",$Q117),"&lt;upstream_name&gt;",$F117),"&lt;port&gt;",$E117),"&lt;service_name&gt;",$G117)</f>
        <v>#N/A</v>
      </c>
      <c r="T117" t="e">
        <f>SUBSTITUTE(SUBSTITUTE(SUBSTITUTE(SUBSTITUTE(SUBSTITUTE(kong_p1_var!$J$3,"&lt;kong_api_url&gt;",$Q117),"&lt;route_name&gt;",$H117),"&lt;service_name&gt;",$G117),"&lt;host&gt;",$O117),"&lt;path&gt;",$P117)</f>
        <v>#N/A</v>
      </c>
      <c r="U117" t="e">
        <f t="shared" si="31"/>
        <v>#N/A</v>
      </c>
      <c r="V117" t="e">
        <f t="shared" si="32"/>
        <v>#N/A</v>
      </c>
      <c r="W117" t="e">
        <f t="shared" si="33"/>
        <v>#N/A</v>
      </c>
      <c r="X117" t="e">
        <f t="shared" si="34"/>
        <v>#N/A</v>
      </c>
      <c r="Y117" t="e">
        <f t="shared" si="35"/>
        <v>#N/A</v>
      </c>
      <c r="Z117" t="e">
        <f t="shared" si="36"/>
        <v>#N/A</v>
      </c>
    </row>
    <row r="118" spans="1:26">
      <c r="A118">
        <f>IF(ISNUMBER(SEARCH("rest_api",svc!R117)),1,0)</f>
        <v>0</v>
      </c>
      <c r="C118">
        <f>svc!D117</f>
        <v>0</v>
      </c>
      <c r="D118">
        <f>svc!$B117</f>
        <v>0</v>
      </c>
      <c r="E118">
        <f>svc!G117</f>
        <v>0</v>
      </c>
      <c r="F118" t="str">
        <f>CONCATENATE("ups-",svc!$B117,"-",svc!I117)</f>
        <v>ups--</v>
      </c>
      <c r="G118" t="str">
        <f>CONCATENATE("svc-",svc!$B117,"-",svc!I117)</f>
        <v>svc--</v>
      </c>
      <c r="H118" t="e">
        <f>CONCATENATE("route-",VLOOKUP($D118,kong_p1_var!$B$10:$D$16,2,FALSE),"-",svc!$B117,"-",svc!I117)</f>
        <v>#N/A</v>
      </c>
      <c r="I118" t="e">
        <f>CONCATENATE(VLOOKUP($D118,kong_p1_var!$B$20:$H$26,SUBSTITUTE(I$1,"target_","") + 1,FALSE),":",$E118)</f>
        <v>#N/A</v>
      </c>
      <c r="J118" t="e">
        <f>CONCATENATE(VLOOKUP($D118,kong_p1_var!$B$20:$H$26,SUBSTITUTE(J$1,"target_","") + 1,FALSE),":",$E118)</f>
        <v>#N/A</v>
      </c>
      <c r="K118" t="e">
        <f>CONCATENATE(VLOOKUP($D118,kong_p1_var!$B$20:$H$26,SUBSTITUTE(K$1,"target_","") + 1,FALSE),":",$E118)</f>
        <v>#N/A</v>
      </c>
      <c r="L118" t="e">
        <f>IF($C118="dmz","",CONCATENATE(VLOOKUP($D118,kong_p1_var!$B$20:$H$26,SUBSTITUTE(L$1,"target_","") + 1,FALSE),":",$E118))</f>
        <v>#N/A</v>
      </c>
      <c r="M118" t="e">
        <f>IF($C118="dmz","",CONCATENATE(VLOOKUP($D118,kong_p1_var!$B$20:$H$26,SUBSTITUTE(M$1,"target_","") + 1,FALSE),":",$E118))</f>
        <v>#N/A</v>
      </c>
      <c r="N118" t="e">
        <f>IF($C118="dmz","",CONCATENATE(VLOOKUP($D118,kong_p1_var!$B$20:$H$26,SUBSTITUTE(N$1,"target_","") + 1,FALSE),":",$E118))</f>
        <v>#N/A</v>
      </c>
      <c r="O118" t="e">
        <f>VLOOKUP($D118,kong_p1_var!$B$10:$D$16,3,FALSE)</f>
        <v>#N/A</v>
      </c>
      <c r="P118" t="str">
        <f>CONCATENATE("/",C118,MID(D118,2,15),"/",svc!$I117)</f>
        <v>/0/</v>
      </c>
      <c r="Q118" t="e">
        <f>VLOOKUP(C118,kong_p1_var!$B$6:$C$7,2,FALSE)</f>
        <v>#N/A</v>
      </c>
      <c r="R118" t="e">
        <f>SUBSTITUTE(SUBSTITUTE(kong_p1_var!$J$1,"&lt;upstream_name&gt;",$F118),"&lt;kong_api_url&gt;",$Q118)</f>
        <v>#N/A</v>
      </c>
      <c r="S118" t="e">
        <f>SUBSTITUTE(SUBSTITUTE(SUBSTITUTE(SUBSTITUTE(kong_p1_var!$J$2,"&lt;kong_api_url&gt;",$Q118),"&lt;upstream_name&gt;",$F118),"&lt;port&gt;",$E118),"&lt;service_name&gt;",$G118)</f>
        <v>#N/A</v>
      </c>
      <c r="T118" t="e">
        <f>SUBSTITUTE(SUBSTITUTE(SUBSTITUTE(SUBSTITUTE(SUBSTITUTE(kong_p1_var!$J$3,"&lt;kong_api_url&gt;",$Q118),"&lt;route_name&gt;",$H118),"&lt;service_name&gt;",$G118),"&lt;host&gt;",$O118),"&lt;path&gt;",$P118)</f>
        <v>#N/A</v>
      </c>
      <c r="U118" t="e">
        <f t="shared" si="31"/>
        <v>#N/A</v>
      </c>
      <c r="V118" t="e">
        <f t="shared" si="32"/>
        <v>#N/A</v>
      </c>
      <c r="W118" t="e">
        <f t="shared" si="33"/>
        <v>#N/A</v>
      </c>
      <c r="X118" t="e">
        <f t="shared" si="34"/>
        <v>#N/A</v>
      </c>
      <c r="Y118" t="e">
        <f t="shared" si="35"/>
        <v>#N/A</v>
      </c>
      <c r="Z118" t="e">
        <f t="shared" si="36"/>
        <v>#N/A</v>
      </c>
    </row>
    <row r="119" spans="1:26">
      <c r="A119">
        <f>IF(ISNUMBER(SEARCH("rest_api",svc!R118)),1,0)</f>
        <v>0</v>
      </c>
      <c r="C119">
        <f>svc!D118</f>
        <v>0</v>
      </c>
      <c r="D119">
        <f>svc!$B118</f>
        <v>0</v>
      </c>
      <c r="E119">
        <f>svc!G118</f>
        <v>0</v>
      </c>
      <c r="F119" t="str">
        <f>CONCATENATE("ups-",svc!$B118,"-",svc!I118)</f>
        <v>ups--</v>
      </c>
      <c r="G119" t="str">
        <f>CONCATENATE("svc-",svc!$B118,"-",svc!I118)</f>
        <v>svc--</v>
      </c>
      <c r="H119" t="e">
        <f>CONCATENATE("route-",VLOOKUP($D119,kong_p1_var!$B$10:$D$16,2,FALSE),"-",svc!$B118,"-",svc!I118)</f>
        <v>#N/A</v>
      </c>
      <c r="I119" t="e">
        <f>CONCATENATE(VLOOKUP($D119,kong_p1_var!$B$20:$H$26,SUBSTITUTE(I$1,"target_","") + 1,FALSE),":",$E119)</f>
        <v>#N/A</v>
      </c>
      <c r="J119" t="e">
        <f>CONCATENATE(VLOOKUP($D119,kong_p1_var!$B$20:$H$26,SUBSTITUTE(J$1,"target_","") + 1,FALSE),":",$E119)</f>
        <v>#N/A</v>
      </c>
      <c r="K119" t="e">
        <f>CONCATENATE(VLOOKUP($D119,kong_p1_var!$B$20:$H$26,SUBSTITUTE(K$1,"target_","") + 1,FALSE),":",$E119)</f>
        <v>#N/A</v>
      </c>
      <c r="L119" t="e">
        <f>IF($C119="dmz","",CONCATENATE(VLOOKUP($D119,kong_p1_var!$B$20:$H$26,SUBSTITUTE(L$1,"target_","") + 1,FALSE),":",$E119))</f>
        <v>#N/A</v>
      </c>
      <c r="M119" t="e">
        <f>IF($C119="dmz","",CONCATENATE(VLOOKUP($D119,kong_p1_var!$B$20:$H$26,SUBSTITUTE(M$1,"target_","") + 1,FALSE),":",$E119))</f>
        <v>#N/A</v>
      </c>
      <c r="N119" t="e">
        <f>IF($C119="dmz","",CONCATENATE(VLOOKUP($D119,kong_p1_var!$B$20:$H$26,SUBSTITUTE(N$1,"target_","") + 1,FALSE),":",$E119))</f>
        <v>#N/A</v>
      </c>
      <c r="O119" t="e">
        <f>VLOOKUP($D119,kong_p1_var!$B$10:$D$16,3,FALSE)</f>
        <v>#N/A</v>
      </c>
      <c r="P119" t="str">
        <f>CONCATENATE("/",C119,MID(D119,2,15),"/",svc!$I118)</f>
        <v>/0/</v>
      </c>
      <c r="Q119" t="e">
        <f>VLOOKUP(C119,kong_p1_var!$B$6:$C$7,2,FALSE)</f>
        <v>#N/A</v>
      </c>
      <c r="R119" t="e">
        <f>SUBSTITUTE(SUBSTITUTE(kong_p1_var!$J$1,"&lt;upstream_name&gt;",$F119),"&lt;kong_api_url&gt;",$Q119)</f>
        <v>#N/A</v>
      </c>
      <c r="S119" t="e">
        <f>SUBSTITUTE(SUBSTITUTE(SUBSTITUTE(SUBSTITUTE(kong_p1_var!$J$2,"&lt;kong_api_url&gt;",$Q119),"&lt;upstream_name&gt;",$F119),"&lt;port&gt;",$E119),"&lt;service_name&gt;",$G119)</f>
        <v>#N/A</v>
      </c>
      <c r="T119" t="e">
        <f>SUBSTITUTE(SUBSTITUTE(SUBSTITUTE(SUBSTITUTE(SUBSTITUTE(kong_p1_var!$J$3,"&lt;kong_api_url&gt;",$Q119),"&lt;route_name&gt;",$H119),"&lt;service_name&gt;",$G119),"&lt;host&gt;",$O119),"&lt;path&gt;",$P119)</f>
        <v>#N/A</v>
      </c>
      <c r="U119" t="e">
        <f t="shared" si="31"/>
        <v>#N/A</v>
      </c>
      <c r="V119" t="e">
        <f t="shared" si="32"/>
        <v>#N/A</v>
      </c>
      <c r="W119" t="e">
        <f t="shared" si="33"/>
        <v>#N/A</v>
      </c>
      <c r="X119" t="e">
        <f t="shared" si="34"/>
        <v>#N/A</v>
      </c>
      <c r="Y119" t="e">
        <f t="shared" si="35"/>
        <v>#N/A</v>
      </c>
      <c r="Z119" t="e">
        <f t="shared" si="36"/>
        <v>#N/A</v>
      </c>
    </row>
    <row r="120" spans="1:26">
      <c r="A120">
        <f>IF(ISNUMBER(SEARCH("rest_api",svc!R119)),1,0)</f>
        <v>0</v>
      </c>
      <c r="C120">
        <f>svc!D119</f>
        <v>0</v>
      </c>
      <c r="D120">
        <f>svc!$B119</f>
        <v>0</v>
      </c>
      <c r="E120">
        <f>svc!G119</f>
        <v>0</v>
      </c>
      <c r="F120" t="str">
        <f>CONCATENATE("ups-",svc!$B119,"-",svc!I119)</f>
        <v>ups--</v>
      </c>
      <c r="G120" t="str">
        <f>CONCATENATE("svc-",svc!$B119,"-",svc!I119)</f>
        <v>svc--</v>
      </c>
      <c r="H120" t="e">
        <f>CONCATENATE("route-",VLOOKUP($D120,kong_p1_var!$B$10:$D$16,2,FALSE),"-",svc!$B119,"-",svc!I119)</f>
        <v>#N/A</v>
      </c>
      <c r="I120" t="e">
        <f>CONCATENATE(VLOOKUP($D120,kong_p1_var!$B$20:$H$26,SUBSTITUTE(I$1,"target_","") + 1,FALSE),":",$E120)</f>
        <v>#N/A</v>
      </c>
      <c r="J120" t="e">
        <f>CONCATENATE(VLOOKUP($D120,kong_p1_var!$B$20:$H$26,SUBSTITUTE(J$1,"target_","") + 1,FALSE),":",$E120)</f>
        <v>#N/A</v>
      </c>
      <c r="K120" t="e">
        <f>CONCATENATE(VLOOKUP($D120,kong_p1_var!$B$20:$H$26,SUBSTITUTE(K$1,"target_","") + 1,FALSE),":",$E120)</f>
        <v>#N/A</v>
      </c>
      <c r="L120" t="e">
        <f>IF($C120="dmz","",CONCATENATE(VLOOKUP($D120,kong_p1_var!$B$20:$H$26,SUBSTITUTE(L$1,"target_","") + 1,FALSE),":",$E120))</f>
        <v>#N/A</v>
      </c>
      <c r="M120" t="e">
        <f>IF($C120="dmz","",CONCATENATE(VLOOKUP($D120,kong_p1_var!$B$20:$H$26,SUBSTITUTE(M$1,"target_","") + 1,FALSE),":",$E120))</f>
        <v>#N/A</v>
      </c>
      <c r="N120" t="e">
        <f>IF($C120="dmz","",CONCATENATE(VLOOKUP($D120,kong_p1_var!$B$20:$H$26,SUBSTITUTE(N$1,"target_","") + 1,FALSE),":",$E120))</f>
        <v>#N/A</v>
      </c>
      <c r="O120" t="e">
        <f>VLOOKUP($D120,kong_p1_var!$B$10:$D$16,3,FALSE)</f>
        <v>#N/A</v>
      </c>
      <c r="P120" t="str">
        <f>CONCATENATE("/",C120,MID(D120,2,15),"/",svc!$I119)</f>
        <v>/0/</v>
      </c>
      <c r="Q120" t="e">
        <f>VLOOKUP(C120,kong_p1_var!$B$6:$C$7,2,FALSE)</f>
        <v>#N/A</v>
      </c>
      <c r="R120" t="e">
        <f>SUBSTITUTE(SUBSTITUTE(kong_p1_var!$J$1,"&lt;upstream_name&gt;",$F120),"&lt;kong_api_url&gt;",$Q120)</f>
        <v>#N/A</v>
      </c>
      <c r="S120" t="e">
        <f>SUBSTITUTE(SUBSTITUTE(SUBSTITUTE(SUBSTITUTE(kong_p1_var!$J$2,"&lt;kong_api_url&gt;",$Q120),"&lt;upstream_name&gt;",$F120),"&lt;port&gt;",$E120),"&lt;service_name&gt;",$G120)</f>
        <v>#N/A</v>
      </c>
      <c r="T120" t="e">
        <f>SUBSTITUTE(SUBSTITUTE(SUBSTITUTE(SUBSTITUTE(SUBSTITUTE(kong_p1_var!$J$3,"&lt;kong_api_url&gt;",$Q120),"&lt;route_name&gt;",$H120),"&lt;service_name&gt;",$G120),"&lt;host&gt;",$O120),"&lt;path&gt;",$P120)</f>
        <v>#N/A</v>
      </c>
      <c r="U120" t="e">
        <f t="shared" si="31"/>
        <v>#N/A</v>
      </c>
      <c r="V120" t="e">
        <f t="shared" si="32"/>
        <v>#N/A</v>
      </c>
      <c r="W120" t="e">
        <f t="shared" si="33"/>
        <v>#N/A</v>
      </c>
      <c r="X120" t="e">
        <f t="shared" si="34"/>
        <v>#N/A</v>
      </c>
      <c r="Y120" t="e">
        <f t="shared" si="35"/>
        <v>#N/A</v>
      </c>
      <c r="Z120" t="e">
        <f t="shared" si="36"/>
        <v>#N/A</v>
      </c>
    </row>
    <row r="121" spans="1:26">
      <c r="A121">
        <f>IF(ISNUMBER(SEARCH("rest_api",svc!R120)),1,0)</f>
        <v>0</v>
      </c>
      <c r="C121">
        <f>svc!D120</f>
        <v>0</v>
      </c>
      <c r="D121">
        <f>svc!$B120</f>
        <v>0</v>
      </c>
      <c r="E121">
        <f>svc!G120</f>
        <v>0</v>
      </c>
      <c r="F121" t="str">
        <f>CONCATENATE("ups-",svc!$B120,"-",svc!I120)</f>
        <v>ups--</v>
      </c>
      <c r="G121" t="str">
        <f>CONCATENATE("svc-",svc!$B120,"-",svc!I120)</f>
        <v>svc--</v>
      </c>
      <c r="H121" t="e">
        <f>CONCATENATE("route-",VLOOKUP($D121,kong_p1_var!$B$10:$D$16,2,FALSE),"-",svc!$B120,"-",svc!I120)</f>
        <v>#N/A</v>
      </c>
      <c r="I121" t="e">
        <f>CONCATENATE(VLOOKUP($D121,kong_p1_var!$B$20:$H$26,SUBSTITUTE(I$1,"target_","") + 1,FALSE),":",$E121)</f>
        <v>#N/A</v>
      </c>
      <c r="J121" t="e">
        <f>CONCATENATE(VLOOKUP($D121,kong_p1_var!$B$20:$H$26,SUBSTITUTE(J$1,"target_","") + 1,FALSE),":",$E121)</f>
        <v>#N/A</v>
      </c>
      <c r="K121" t="e">
        <f>CONCATENATE(VLOOKUP($D121,kong_p1_var!$B$20:$H$26,SUBSTITUTE(K$1,"target_","") + 1,FALSE),":",$E121)</f>
        <v>#N/A</v>
      </c>
      <c r="L121" t="e">
        <f>IF($C121="dmz","",CONCATENATE(VLOOKUP($D121,kong_p1_var!$B$20:$H$26,SUBSTITUTE(L$1,"target_","") + 1,FALSE),":",$E121))</f>
        <v>#N/A</v>
      </c>
      <c r="M121" t="e">
        <f>IF($C121="dmz","",CONCATENATE(VLOOKUP($D121,kong_p1_var!$B$20:$H$26,SUBSTITUTE(M$1,"target_","") + 1,FALSE),":",$E121))</f>
        <v>#N/A</v>
      </c>
      <c r="N121" t="e">
        <f>IF($C121="dmz","",CONCATENATE(VLOOKUP($D121,kong_p1_var!$B$20:$H$26,SUBSTITUTE(N$1,"target_","") + 1,FALSE),":",$E121))</f>
        <v>#N/A</v>
      </c>
      <c r="O121" t="e">
        <f>VLOOKUP($D121,kong_p1_var!$B$10:$D$16,3,FALSE)</f>
        <v>#N/A</v>
      </c>
      <c r="P121" t="str">
        <f>CONCATENATE("/",C121,MID(D121,2,15),"/",svc!$I120)</f>
        <v>/0/</v>
      </c>
      <c r="Q121" t="e">
        <f>VLOOKUP(C121,kong_p1_var!$B$6:$C$7,2,FALSE)</f>
        <v>#N/A</v>
      </c>
      <c r="R121" t="e">
        <f>SUBSTITUTE(SUBSTITUTE(kong_p1_var!$J$1,"&lt;upstream_name&gt;",$F121),"&lt;kong_api_url&gt;",$Q121)</f>
        <v>#N/A</v>
      </c>
      <c r="S121" t="e">
        <f>SUBSTITUTE(SUBSTITUTE(SUBSTITUTE(SUBSTITUTE(kong_p1_var!$J$2,"&lt;kong_api_url&gt;",$Q121),"&lt;upstream_name&gt;",$F121),"&lt;port&gt;",$E121),"&lt;service_name&gt;",$G121)</f>
        <v>#N/A</v>
      </c>
      <c r="T121" t="e">
        <f>SUBSTITUTE(SUBSTITUTE(SUBSTITUTE(SUBSTITUTE(SUBSTITUTE(kong_p1_var!$J$3,"&lt;kong_api_url&gt;",$Q121),"&lt;route_name&gt;",$H121),"&lt;service_name&gt;",$G121),"&lt;host&gt;",$O121),"&lt;path&gt;",$P121)</f>
        <v>#N/A</v>
      </c>
      <c r="U121" t="e">
        <f t="shared" si="31"/>
        <v>#N/A</v>
      </c>
      <c r="V121" t="e">
        <f t="shared" si="32"/>
        <v>#N/A</v>
      </c>
      <c r="W121" t="e">
        <f t="shared" si="33"/>
        <v>#N/A</v>
      </c>
      <c r="X121" t="e">
        <f t="shared" si="34"/>
        <v>#N/A</v>
      </c>
      <c r="Y121" t="e">
        <f t="shared" si="35"/>
        <v>#N/A</v>
      </c>
      <c r="Z121" t="e">
        <f t="shared" si="36"/>
        <v>#N/A</v>
      </c>
    </row>
    <row r="122" spans="1:26">
      <c r="A122">
        <f>IF(ISNUMBER(SEARCH("rest_api",svc!R121)),1,0)</f>
        <v>0</v>
      </c>
      <c r="C122">
        <f>svc!D121</f>
        <v>0</v>
      </c>
      <c r="D122">
        <f>svc!$B121</f>
        <v>0</v>
      </c>
      <c r="E122">
        <f>svc!G121</f>
        <v>0</v>
      </c>
      <c r="F122" t="str">
        <f>CONCATENATE("ups-",svc!$B121,"-",svc!I121)</f>
        <v>ups--</v>
      </c>
      <c r="G122" t="str">
        <f>CONCATENATE("svc-",svc!$B121,"-",svc!I121)</f>
        <v>svc--</v>
      </c>
      <c r="H122" t="e">
        <f>CONCATENATE("route-",VLOOKUP($D122,kong_p1_var!$B$10:$D$16,2,FALSE),"-",svc!$B121,"-",svc!I121)</f>
        <v>#N/A</v>
      </c>
      <c r="I122" t="e">
        <f>CONCATENATE(VLOOKUP($D122,kong_p1_var!$B$20:$H$26,SUBSTITUTE(I$1,"target_","") + 1,FALSE),":",$E122)</f>
        <v>#N/A</v>
      </c>
      <c r="J122" t="e">
        <f>CONCATENATE(VLOOKUP($D122,kong_p1_var!$B$20:$H$26,SUBSTITUTE(J$1,"target_","") + 1,FALSE),":",$E122)</f>
        <v>#N/A</v>
      </c>
      <c r="K122" t="e">
        <f>CONCATENATE(VLOOKUP($D122,kong_p1_var!$B$20:$H$26,SUBSTITUTE(K$1,"target_","") + 1,FALSE),":",$E122)</f>
        <v>#N/A</v>
      </c>
      <c r="L122" t="e">
        <f>IF($C122="dmz","",CONCATENATE(VLOOKUP($D122,kong_p1_var!$B$20:$H$26,SUBSTITUTE(L$1,"target_","") + 1,FALSE),":",$E122))</f>
        <v>#N/A</v>
      </c>
      <c r="M122" t="e">
        <f>IF($C122="dmz","",CONCATENATE(VLOOKUP($D122,kong_p1_var!$B$20:$H$26,SUBSTITUTE(M$1,"target_","") + 1,FALSE),":",$E122))</f>
        <v>#N/A</v>
      </c>
      <c r="N122" t="e">
        <f>IF($C122="dmz","",CONCATENATE(VLOOKUP($D122,kong_p1_var!$B$20:$H$26,SUBSTITUTE(N$1,"target_","") + 1,FALSE),":",$E122))</f>
        <v>#N/A</v>
      </c>
      <c r="O122" t="e">
        <f>VLOOKUP($D122,kong_p1_var!$B$10:$D$16,3,FALSE)</f>
        <v>#N/A</v>
      </c>
      <c r="P122" t="str">
        <f>CONCATENATE("/",C122,MID(D122,2,15),"/",svc!$I121)</f>
        <v>/0/</v>
      </c>
      <c r="Q122" t="e">
        <f>VLOOKUP(C122,kong_p1_var!$B$6:$C$7,2,FALSE)</f>
        <v>#N/A</v>
      </c>
      <c r="R122" t="e">
        <f>SUBSTITUTE(SUBSTITUTE(kong_p1_var!$J$1,"&lt;upstream_name&gt;",$F122),"&lt;kong_api_url&gt;",$Q122)</f>
        <v>#N/A</v>
      </c>
      <c r="S122" t="e">
        <f>SUBSTITUTE(SUBSTITUTE(SUBSTITUTE(SUBSTITUTE(kong_p1_var!$J$2,"&lt;kong_api_url&gt;",$Q122),"&lt;upstream_name&gt;",$F122),"&lt;port&gt;",$E122),"&lt;service_name&gt;",$G122)</f>
        <v>#N/A</v>
      </c>
      <c r="T122" t="e">
        <f>SUBSTITUTE(SUBSTITUTE(SUBSTITUTE(SUBSTITUTE(SUBSTITUTE(kong_p1_var!$J$3,"&lt;kong_api_url&gt;",$Q122),"&lt;route_name&gt;",$H122),"&lt;service_name&gt;",$G122),"&lt;host&gt;",$O122),"&lt;path&gt;",$P122)</f>
        <v>#N/A</v>
      </c>
      <c r="U122" t="e">
        <f t="shared" si="31"/>
        <v>#N/A</v>
      </c>
      <c r="V122" t="e">
        <f t="shared" si="32"/>
        <v>#N/A</v>
      </c>
      <c r="W122" t="e">
        <f t="shared" si="33"/>
        <v>#N/A</v>
      </c>
      <c r="X122" t="e">
        <f t="shared" si="34"/>
        <v>#N/A</v>
      </c>
      <c r="Y122" t="e">
        <f t="shared" si="35"/>
        <v>#N/A</v>
      </c>
      <c r="Z122" t="e">
        <f t="shared" si="36"/>
        <v>#N/A</v>
      </c>
    </row>
    <row r="123" spans="1:26">
      <c r="A123">
        <f>IF(ISNUMBER(SEARCH("rest_api",svc!R122)),1,0)</f>
        <v>0</v>
      </c>
      <c r="C123">
        <f>svc!D122</f>
        <v>0</v>
      </c>
      <c r="D123">
        <f>svc!$B122</f>
        <v>0</v>
      </c>
      <c r="E123">
        <f>svc!G122</f>
        <v>0</v>
      </c>
      <c r="F123" t="str">
        <f>CONCATENATE("ups-",svc!$B122,"-",svc!I122)</f>
        <v>ups--</v>
      </c>
      <c r="G123" t="str">
        <f>CONCATENATE("svc-",svc!$B122,"-",svc!I122)</f>
        <v>svc--</v>
      </c>
      <c r="H123" t="e">
        <f>CONCATENATE("route-",VLOOKUP($D123,kong_p1_var!$B$10:$D$16,2,FALSE),"-",svc!$B122,"-",svc!I122)</f>
        <v>#N/A</v>
      </c>
      <c r="I123" t="e">
        <f>CONCATENATE(VLOOKUP($D123,kong_p1_var!$B$20:$H$26,SUBSTITUTE(I$1,"target_","") + 1,FALSE),":",$E123)</f>
        <v>#N/A</v>
      </c>
      <c r="J123" t="e">
        <f>CONCATENATE(VLOOKUP($D123,kong_p1_var!$B$20:$H$26,SUBSTITUTE(J$1,"target_","") + 1,FALSE),":",$E123)</f>
        <v>#N/A</v>
      </c>
      <c r="K123" t="e">
        <f>CONCATENATE(VLOOKUP($D123,kong_p1_var!$B$20:$H$26,SUBSTITUTE(K$1,"target_","") + 1,FALSE),":",$E123)</f>
        <v>#N/A</v>
      </c>
      <c r="L123" t="e">
        <f>IF($C123="dmz","",CONCATENATE(VLOOKUP($D123,kong_p1_var!$B$20:$H$26,SUBSTITUTE(L$1,"target_","") + 1,FALSE),":",$E123))</f>
        <v>#N/A</v>
      </c>
      <c r="M123" t="e">
        <f>IF($C123="dmz","",CONCATENATE(VLOOKUP($D123,kong_p1_var!$B$20:$H$26,SUBSTITUTE(M$1,"target_","") + 1,FALSE),":",$E123))</f>
        <v>#N/A</v>
      </c>
      <c r="N123" t="e">
        <f>IF($C123="dmz","",CONCATENATE(VLOOKUP($D123,kong_p1_var!$B$20:$H$26,SUBSTITUTE(N$1,"target_","") + 1,FALSE),":",$E123))</f>
        <v>#N/A</v>
      </c>
      <c r="O123" t="e">
        <f>VLOOKUP($D123,kong_p1_var!$B$10:$D$16,3,FALSE)</f>
        <v>#N/A</v>
      </c>
      <c r="P123" t="str">
        <f>CONCATENATE("/",C123,MID(D123,2,15),"/",svc!$I122)</f>
        <v>/0/</v>
      </c>
      <c r="Q123" t="e">
        <f>VLOOKUP(C123,kong_p1_var!$B$6:$C$7,2,FALSE)</f>
        <v>#N/A</v>
      </c>
      <c r="R123" t="e">
        <f>SUBSTITUTE(SUBSTITUTE(kong_p1_var!$J$1,"&lt;upstream_name&gt;",$F123),"&lt;kong_api_url&gt;",$Q123)</f>
        <v>#N/A</v>
      </c>
      <c r="S123" t="e">
        <f>SUBSTITUTE(SUBSTITUTE(SUBSTITUTE(SUBSTITUTE(kong_p1_var!$J$2,"&lt;kong_api_url&gt;",$Q123),"&lt;upstream_name&gt;",$F123),"&lt;port&gt;",$E123),"&lt;service_name&gt;",$G123)</f>
        <v>#N/A</v>
      </c>
      <c r="T123" t="e">
        <f>SUBSTITUTE(SUBSTITUTE(SUBSTITUTE(SUBSTITUTE(SUBSTITUTE(kong_p1_var!$J$3,"&lt;kong_api_url&gt;",$Q123),"&lt;route_name&gt;",$H123),"&lt;service_name&gt;",$G123),"&lt;host&gt;",$O123),"&lt;path&gt;",$P123)</f>
        <v>#N/A</v>
      </c>
      <c r="U123" t="e">
        <f t="shared" si="31"/>
        <v>#N/A</v>
      </c>
      <c r="V123" t="e">
        <f t="shared" si="32"/>
        <v>#N/A</v>
      </c>
      <c r="W123" t="e">
        <f t="shared" si="33"/>
        <v>#N/A</v>
      </c>
      <c r="X123" t="e">
        <f t="shared" si="34"/>
        <v>#N/A</v>
      </c>
      <c r="Y123" t="e">
        <f t="shared" si="35"/>
        <v>#N/A</v>
      </c>
      <c r="Z123" t="e">
        <f t="shared" si="36"/>
        <v>#N/A</v>
      </c>
    </row>
    <row r="124" spans="1:26">
      <c r="A124">
        <f>IF(ISNUMBER(SEARCH("rest_api",svc!R123)),1,0)</f>
        <v>0</v>
      </c>
      <c r="C124">
        <f>svc!D123</f>
        <v>0</v>
      </c>
      <c r="D124">
        <f>svc!$B123</f>
        <v>0</v>
      </c>
      <c r="E124">
        <f>svc!G123</f>
        <v>0</v>
      </c>
      <c r="F124" t="str">
        <f>CONCATENATE("ups-",svc!$B123,"-",svc!I123)</f>
        <v>ups--</v>
      </c>
      <c r="G124" t="str">
        <f>CONCATENATE("svc-",svc!$B123,"-",svc!I123)</f>
        <v>svc--</v>
      </c>
      <c r="H124" t="e">
        <f>CONCATENATE("route-",VLOOKUP($D124,kong_p1_var!$B$10:$D$16,2,FALSE),"-",svc!$B123,"-",svc!I123)</f>
        <v>#N/A</v>
      </c>
      <c r="I124" t="e">
        <f>CONCATENATE(VLOOKUP($D124,kong_p1_var!$B$20:$H$26,SUBSTITUTE(I$1,"target_","") + 1,FALSE),":",$E124)</f>
        <v>#N/A</v>
      </c>
      <c r="J124" t="e">
        <f>CONCATENATE(VLOOKUP($D124,kong_p1_var!$B$20:$H$26,SUBSTITUTE(J$1,"target_","") + 1,FALSE),":",$E124)</f>
        <v>#N/A</v>
      </c>
      <c r="K124" t="e">
        <f>CONCATENATE(VLOOKUP($D124,kong_p1_var!$B$20:$H$26,SUBSTITUTE(K$1,"target_","") + 1,FALSE),":",$E124)</f>
        <v>#N/A</v>
      </c>
      <c r="L124" t="e">
        <f>IF($C124="dmz","",CONCATENATE(VLOOKUP($D124,kong_p1_var!$B$20:$H$26,SUBSTITUTE(L$1,"target_","") + 1,FALSE),":",$E124))</f>
        <v>#N/A</v>
      </c>
      <c r="M124" t="e">
        <f>IF($C124="dmz","",CONCATENATE(VLOOKUP($D124,kong_p1_var!$B$20:$H$26,SUBSTITUTE(M$1,"target_","") + 1,FALSE),":",$E124))</f>
        <v>#N/A</v>
      </c>
      <c r="N124" t="e">
        <f>IF($C124="dmz","",CONCATENATE(VLOOKUP($D124,kong_p1_var!$B$20:$H$26,SUBSTITUTE(N$1,"target_","") + 1,FALSE),":",$E124))</f>
        <v>#N/A</v>
      </c>
      <c r="O124" t="e">
        <f>VLOOKUP($D124,kong_p1_var!$B$10:$D$16,3,FALSE)</f>
        <v>#N/A</v>
      </c>
      <c r="P124" t="str">
        <f>CONCATENATE("/",C124,MID(D124,2,15),"/",svc!$I123)</f>
        <v>/0/</v>
      </c>
      <c r="Q124" t="e">
        <f>VLOOKUP(C124,kong_p1_var!$B$6:$C$7,2,FALSE)</f>
        <v>#N/A</v>
      </c>
      <c r="R124" t="e">
        <f>SUBSTITUTE(SUBSTITUTE(kong_p1_var!$J$1,"&lt;upstream_name&gt;",$F124),"&lt;kong_api_url&gt;",$Q124)</f>
        <v>#N/A</v>
      </c>
      <c r="S124" t="e">
        <f>SUBSTITUTE(SUBSTITUTE(SUBSTITUTE(SUBSTITUTE(kong_p1_var!$J$2,"&lt;kong_api_url&gt;",$Q124),"&lt;upstream_name&gt;",$F124),"&lt;port&gt;",$E124),"&lt;service_name&gt;",$G124)</f>
        <v>#N/A</v>
      </c>
      <c r="T124" t="e">
        <f>SUBSTITUTE(SUBSTITUTE(SUBSTITUTE(SUBSTITUTE(SUBSTITUTE(kong_p1_var!$J$3,"&lt;kong_api_url&gt;",$Q124),"&lt;route_name&gt;",$H124),"&lt;service_name&gt;",$G124),"&lt;host&gt;",$O124),"&lt;path&gt;",$P124)</f>
        <v>#N/A</v>
      </c>
      <c r="U124" t="e">
        <f t="shared" si="31"/>
        <v>#N/A</v>
      </c>
      <c r="V124" t="e">
        <f t="shared" si="32"/>
        <v>#N/A</v>
      </c>
      <c r="W124" t="e">
        <f t="shared" si="33"/>
        <v>#N/A</v>
      </c>
      <c r="X124" t="e">
        <f t="shared" si="34"/>
        <v>#N/A</v>
      </c>
      <c r="Y124" t="e">
        <f t="shared" si="35"/>
        <v>#N/A</v>
      </c>
      <c r="Z124" t="e">
        <f t="shared" si="36"/>
        <v>#N/A</v>
      </c>
    </row>
    <row r="125" spans="1:26">
      <c r="A125">
        <f>IF(ISNUMBER(SEARCH("rest_api",svc!R124)),1,0)</f>
        <v>0</v>
      </c>
      <c r="C125">
        <f>svc!D124</f>
        <v>0</v>
      </c>
      <c r="D125">
        <f>svc!$B124</f>
        <v>0</v>
      </c>
      <c r="E125">
        <f>svc!G124</f>
        <v>0</v>
      </c>
      <c r="F125" t="str">
        <f>CONCATENATE("ups-",svc!$B124,"-",svc!I124)</f>
        <v>ups--</v>
      </c>
      <c r="G125" t="str">
        <f>CONCATENATE("svc-",svc!$B124,"-",svc!I124)</f>
        <v>svc--</v>
      </c>
      <c r="H125" t="e">
        <f>CONCATENATE("route-",VLOOKUP($D125,kong_p1_var!$B$10:$D$16,2,FALSE),"-",svc!$B124,"-",svc!I124)</f>
        <v>#N/A</v>
      </c>
      <c r="I125" t="e">
        <f>CONCATENATE(VLOOKUP($D125,kong_p1_var!$B$20:$H$26,SUBSTITUTE(I$1,"target_","") + 1,FALSE),":",$E125)</f>
        <v>#N/A</v>
      </c>
      <c r="J125" t="e">
        <f>CONCATENATE(VLOOKUP($D125,kong_p1_var!$B$20:$H$26,SUBSTITUTE(J$1,"target_","") + 1,FALSE),":",$E125)</f>
        <v>#N/A</v>
      </c>
      <c r="K125" t="e">
        <f>CONCATENATE(VLOOKUP($D125,kong_p1_var!$B$20:$H$26,SUBSTITUTE(K$1,"target_","") + 1,FALSE),":",$E125)</f>
        <v>#N/A</v>
      </c>
      <c r="L125" t="e">
        <f>IF($C125="dmz","",CONCATENATE(VLOOKUP($D125,kong_p1_var!$B$20:$H$26,SUBSTITUTE(L$1,"target_","") + 1,FALSE),":",$E125))</f>
        <v>#N/A</v>
      </c>
      <c r="M125" t="e">
        <f>IF($C125="dmz","",CONCATENATE(VLOOKUP($D125,kong_p1_var!$B$20:$H$26,SUBSTITUTE(M$1,"target_","") + 1,FALSE),":",$E125))</f>
        <v>#N/A</v>
      </c>
      <c r="N125" t="e">
        <f>IF($C125="dmz","",CONCATENATE(VLOOKUP($D125,kong_p1_var!$B$20:$H$26,SUBSTITUTE(N$1,"target_","") + 1,FALSE),":",$E125))</f>
        <v>#N/A</v>
      </c>
      <c r="O125" t="e">
        <f>VLOOKUP($D125,kong_p1_var!$B$10:$D$16,3,FALSE)</f>
        <v>#N/A</v>
      </c>
      <c r="P125" t="str">
        <f>CONCATENATE("/",C125,MID(D125,2,15),"/",svc!$I124)</f>
        <v>/0/</v>
      </c>
      <c r="Q125" t="e">
        <f>VLOOKUP(C125,kong_p1_var!$B$6:$C$7,2,FALSE)</f>
        <v>#N/A</v>
      </c>
      <c r="R125" t="e">
        <f>SUBSTITUTE(SUBSTITUTE(kong_p1_var!$J$1,"&lt;upstream_name&gt;",$F125),"&lt;kong_api_url&gt;",$Q125)</f>
        <v>#N/A</v>
      </c>
      <c r="S125" t="e">
        <f>SUBSTITUTE(SUBSTITUTE(SUBSTITUTE(SUBSTITUTE(kong_p1_var!$J$2,"&lt;kong_api_url&gt;",$Q125),"&lt;upstream_name&gt;",$F125),"&lt;port&gt;",$E125),"&lt;service_name&gt;",$G125)</f>
        <v>#N/A</v>
      </c>
      <c r="T125" t="e">
        <f>SUBSTITUTE(SUBSTITUTE(SUBSTITUTE(SUBSTITUTE(SUBSTITUTE(kong_p1_var!$J$3,"&lt;kong_api_url&gt;",$Q125),"&lt;route_name&gt;",$H125),"&lt;service_name&gt;",$G125),"&lt;host&gt;",$O125),"&lt;path&gt;",$P125)</f>
        <v>#N/A</v>
      </c>
      <c r="U125" t="e">
        <f t="shared" si="31"/>
        <v>#N/A</v>
      </c>
      <c r="V125" t="e">
        <f t="shared" si="32"/>
        <v>#N/A</v>
      </c>
      <c r="W125" t="e">
        <f t="shared" si="33"/>
        <v>#N/A</v>
      </c>
      <c r="X125" t="e">
        <f t="shared" si="34"/>
        <v>#N/A</v>
      </c>
      <c r="Y125" t="e">
        <f t="shared" si="35"/>
        <v>#N/A</v>
      </c>
      <c r="Z125" t="e">
        <f t="shared" si="36"/>
        <v>#N/A</v>
      </c>
    </row>
    <row r="126" spans="1:26">
      <c r="A126">
        <f>IF(ISNUMBER(SEARCH("rest_api",svc!R125)),1,0)</f>
        <v>0</v>
      </c>
      <c r="C126">
        <f>svc!D125</f>
        <v>0</v>
      </c>
      <c r="D126">
        <f>svc!$B125</f>
        <v>0</v>
      </c>
      <c r="E126">
        <f>svc!G125</f>
        <v>0</v>
      </c>
      <c r="F126" t="str">
        <f>CONCATENATE("ups-",svc!$B125,"-",svc!I125)</f>
        <v>ups--</v>
      </c>
      <c r="G126" t="str">
        <f>CONCATENATE("svc-",svc!$B125,"-",svc!I125)</f>
        <v>svc--</v>
      </c>
      <c r="H126" t="e">
        <f>CONCATENATE("route-",VLOOKUP($D126,kong_p1_var!$B$10:$D$16,2,FALSE),"-",svc!$B125,"-",svc!I125)</f>
        <v>#N/A</v>
      </c>
      <c r="I126" t="e">
        <f>CONCATENATE(VLOOKUP($D126,kong_p1_var!$B$20:$H$26,SUBSTITUTE(I$1,"target_","") + 1,FALSE),":",$E126)</f>
        <v>#N/A</v>
      </c>
      <c r="J126" t="e">
        <f>CONCATENATE(VLOOKUP($D126,kong_p1_var!$B$20:$H$26,SUBSTITUTE(J$1,"target_","") + 1,FALSE),":",$E126)</f>
        <v>#N/A</v>
      </c>
      <c r="K126" t="e">
        <f>CONCATENATE(VLOOKUP($D126,kong_p1_var!$B$20:$H$26,SUBSTITUTE(K$1,"target_","") + 1,FALSE),":",$E126)</f>
        <v>#N/A</v>
      </c>
      <c r="L126" t="e">
        <f>IF($C126="dmz","",CONCATENATE(VLOOKUP($D126,kong_p1_var!$B$20:$H$26,SUBSTITUTE(L$1,"target_","") + 1,FALSE),":",$E126))</f>
        <v>#N/A</v>
      </c>
      <c r="M126" t="e">
        <f>IF($C126="dmz","",CONCATENATE(VLOOKUP($D126,kong_p1_var!$B$20:$H$26,SUBSTITUTE(M$1,"target_","") + 1,FALSE),":",$E126))</f>
        <v>#N/A</v>
      </c>
      <c r="N126" t="e">
        <f>IF($C126="dmz","",CONCATENATE(VLOOKUP($D126,kong_p1_var!$B$20:$H$26,SUBSTITUTE(N$1,"target_","") + 1,FALSE),":",$E126))</f>
        <v>#N/A</v>
      </c>
      <c r="O126" t="e">
        <f>VLOOKUP($D126,kong_p1_var!$B$10:$D$16,3,FALSE)</f>
        <v>#N/A</v>
      </c>
      <c r="P126" t="str">
        <f>CONCATENATE("/",C126,MID(D126,2,15),"/",svc!$I125)</f>
        <v>/0/</v>
      </c>
      <c r="Q126" t="e">
        <f>VLOOKUP(C126,kong_p1_var!$B$6:$C$7,2,FALSE)</f>
        <v>#N/A</v>
      </c>
      <c r="R126" t="e">
        <f>SUBSTITUTE(SUBSTITUTE(kong_p1_var!$J$1,"&lt;upstream_name&gt;",$F126),"&lt;kong_api_url&gt;",$Q126)</f>
        <v>#N/A</v>
      </c>
      <c r="S126" t="e">
        <f>SUBSTITUTE(SUBSTITUTE(SUBSTITUTE(SUBSTITUTE(kong_p1_var!$J$2,"&lt;kong_api_url&gt;",$Q126),"&lt;upstream_name&gt;",$F126),"&lt;port&gt;",$E126),"&lt;service_name&gt;",$G126)</f>
        <v>#N/A</v>
      </c>
      <c r="T126" t="e">
        <f>SUBSTITUTE(SUBSTITUTE(SUBSTITUTE(SUBSTITUTE(SUBSTITUTE(kong_p1_var!$J$3,"&lt;kong_api_url&gt;",$Q126),"&lt;route_name&gt;",$H126),"&lt;service_name&gt;",$G126),"&lt;host&gt;",$O126),"&lt;path&gt;",$P126)</f>
        <v>#N/A</v>
      </c>
      <c r="U126" t="e">
        <f t="shared" si="31"/>
        <v>#N/A</v>
      </c>
      <c r="V126" t="e">
        <f t="shared" si="32"/>
        <v>#N/A</v>
      </c>
      <c r="W126" t="e">
        <f t="shared" si="33"/>
        <v>#N/A</v>
      </c>
      <c r="X126" t="e">
        <f t="shared" si="34"/>
        <v>#N/A</v>
      </c>
      <c r="Y126" t="e">
        <f t="shared" si="35"/>
        <v>#N/A</v>
      </c>
      <c r="Z126" t="e">
        <f t="shared" si="36"/>
        <v>#N/A</v>
      </c>
    </row>
    <row r="127" spans="1:26">
      <c r="A127">
        <f>IF(ISNUMBER(SEARCH("rest_api",svc!R126)),1,0)</f>
        <v>0</v>
      </c>
      <c r="C127">
        <f>svc!D126</f>
        <v>0</v>
      </c>
      <c r="D127">
        <f>svc!$B126</f>
        <v>0</v>
      </c>
      <c r="E127">
        <f>svc!G126</f>
        <v>0</v>
      </c>
      <c r="F127" t="str">
        <f>CONCATENATE("ups-",svc!$B126,"-",svc!I126)</f>
        <v>ups--</v>
      </c>
      <c r="G127" t="str">
        <f>CONCATENATE("svc-",svc!$B126,"-",svc!I126)</f>
        <v>svc--</v>
      </c>
      <c r="H127" t="e">
        <f>CONCATENATE("route-",VLOOKUP($D127,kong_p1_var!$B$10:$D$16,2,FALSE),"-",svc!$B126,"-",svc!I126)</f>
        <v>#N/A</v>
      </c>
      <c r="I127" t="e">
        <f>CONCATENATE(VLOOKUP($D127,kong_p1_var!$B$20:$H$26,SUBSTITUTE(I$1,"target_","") + 1,FALSE),":",$E127)</f>
        <v>#N/A</v>
      </c>
      <c r="J127" t="e">
        <f>CONCATENATE(VLOOKUP($D127,kong_p1_var!$B$20:$H$26,SUBSTITUTE(J$1,"target_","") + 1,FALSE),":",$E127)</f>
        <v>#N/A</v>
      </c>
      <c r="K127" t="e">
        <f>CONCATENATE(VLOOKUP($D127,kong_p1_var!$B$20:$H$26,SUBSTITUTE(K$1,"target_","") + 1,FALSE),":",$E127)</f>
        <v>#N/A</v>
      </c>
      <c r="L127" t="e">
        <f>IF($C127="dmz","",CONCATENATE(VLOOKUP($D127,kong_p1_var!$B$20:$H$26,SUBSTITUTE(L$1,"target_","") + 1,FALSE),":",$E127))</f>
        <v>#N/A</v>
      </c>
      <c r="M127" t="e">
        <f>IF($C127="dmz","",CONCATENATE(VLOOKUP($D127,kong_p1_var!$B$20:$H$26,SUBSTITUTE(M$1,"target_","") + 1,FALSE),":",$E127))</f>
        <v>#N/A</v>
      </c>
      <c r="N127" t="e">
        <f>IF($C127="dmz","",CONCATENATE(VLOOKUP($D127,kong_p1_var!$B$20:$H$26,SUBSTITUTE(N$1,"target_","") + 1,FALSE),":",$E127))</f>
        <v>#N/A</v>
      </c>
      <c r="O127" t="e">
        <f>VLOOKUP($D127,kong_p1_var!$B$10:$D$16,3,FALSE)</f>
        <v>#N/A</v>
      </c>
      <c r="P127" t="str">
        <f>CONCATENATE("/",C127,MID(D127,2,15),"/",svc!$I126)</f>
        <v>/0/</v>
      </c>
      <c r="Q127" t="e">
        <f>VLOOKUP(C127,kong_p1_var!$B$6:$C$7,2,FALSE)</f>
        <v>#N/A</v>
      </c>
      <c r="R127" t="e">
        <f>SUBSTITUTE(SUBSTITUTE(kong_p1_var!$J$1,"&lt;upstream_name&gt;",$F127),"&lt;kong_api_url&gt;",$Q127)</f>
        <v>#N/A</v>
      </c>
      <c r="S127" t="e">
        <f>SUBSTITUTE(SUBSTITUTE(SUBSTITUTE(SUBSTITUTE(kong_p1_var!$J$2,"&lt;kong_api_url&gt;",$Q127),"&lt;upstream_name&gt;",$F127),"&lt;port&gt;",$E127),"&lt;service_name&gt;",$G127)</f>
        <v>#N/A</v>
      </c>
      <c r="T127" t="e">
        <f>SUBSTITUTE(SUBSTITUTE(SUBSTITUTE(SUBSTITUTE(SUBSTITUTE(kong_p1_var!$J$3,"&lt;kong_api_url&gt;",$Q127),"&lt;route_name&gt;",$H127),"&lt;service_name&gt;",$G127),"&lt;host&gt;",$O127),"&lt;path&gt;",$P127)</f>
        <v>#N/A</v>
      </c>
      <c r="U127" t="e">
        <f t="shared" si="31"/>
        <v>#N/A</v>
      </c>
      <c r="V127" t="e">
        <f t="shared" si="32"/>
        <v>#N/A</v>
      </c>
      <c r="W127" t="e">
        <f t="shared" si="33"/>
        <v>#N/A</v>
      </c>
      <c r="X127" t="e">
        <f t="shared" si="34"/>
        <v>#N/A</v>
      </c>
      <c r="Y127" t="e">
        <f t="shared" si="35"/>
        <v>#N/A</v>
      </c>
      <c r="Z127" t="e">
        <f t="shared" si="36"/>
        <v>#N/A</v>
      </c>
    </row>
    <row r="128" spans="1:26">
      <c r="A128">
        <f>IF(ISNUMBER(SEARCH("rest_api",svc!R127)),1,0)</f>
        <v>0</v>
      </c>
      <c r="C128">
        <f>svc!D127</f>
        <v>0</v>
      </c>
      <c r="D128">
        <f>svc!$B127</f>
        <v>0</v>
      </c>
      <c r="E128">
        <f>svc!G127</f>
        <v>0</v>
      </c>
      <c r="F128" t="str">
        <f>CONCATENATE("ups-",svc!$B127,"-",svc!I127)</f>
        <v>ups--</v>
      </c>
      <c r="G128" t="str">
        <f>CONCATENATE("svc-",svc!$B127,"-",svc!I127)</f>
        <v>svc--</v>
      </c>
      <c r="H128" t="e">
        <f>CONCATENATE("route-",VLOOKUP($D128,kong_p1_var!$B$10:$D$16,2,FALSE),"-",svc!$B127,"-",svc!I127)</f>
        <v>#N/A</v>
      </c>
      <c r="I128" t="e">
        <f>CONCATENATE(VLOOKUP($D128,kong_p1_var!$B$20:$H$26,SUBSTITUTE(I$1,"target_","") + 1,FALSE),":",$E128)</f>
        <v>#N/A</v>
      </c>
      <c r="J128" t="e">
        <f>CONCATENATE(VLOOKUP($D128,kong_p1_var!$B$20:$H$26,SUBSTITUTE(J$1,"target_","") + 1,FALSE),":",$E128)</f>
        <v>#N/A</v>
      </c>
      <c r="K128" t="e">
        <f>CONCATENATE(VLOOKUP($D128,kong_p1_var!$B$20:$H$26,SUBSTITUTE(K$1,"target_","") + 1,FALSE),":",$E128)</f>
        <v>#N/A</v>
      </c>
      <c r="L128" t="e">
        <f>IF($C128="dmz","",CONCATENATE(VLOOKUP($D128,kong_p1_var!$B$20:$H$26,SUBSTITUTE(L$1,"target_","") + 1,FALSE),":",$E128))</f>
        <v>#N/A</v>
      </c>
      <c r="M128" t="e">
        <f>IF($C128="dmz","",CONCATENATE(VLOOKUP($D128,kong_p1_var!$B$20:$H$26,SUBSTITUTE(M$1,"target_","") + 1,FALSE),":",$E128))</f>
        <v>#N/A</v>
      </c>
      <c r="N128" t="e">
        <f>IF($C128="dmz","",CONCATENATE(VLOOKUP($D128,kong_p1_var!$B$20:$H$26,SUBSTITUTE(N$1,"target_","") + 1,FALSE),":",$E128))</f>
        <v>#N/A</v>
      </c>
      <c r="O128" t="e">
        <f>VLOOKUP($D128,kong_p1_var!$B$10:$D$16,3,FALSE)</f>
        <v>#N/A</v>
      </c>
      <c r="P128" t="str">
        <f>CONCATENATE("/",C128,MID(D128,2,15),"/",svc!$I127)</f>
        <v>/0/</v>
      </c>
      <c r="Q128" t="e">
        <f>VLOOKUP(C128,kong_p1_var!$B$6:$C$7,2,FALSE)</f>
        <v>#N/A</v>
      </c>
      <c r="R128" t="e">
        <f>SUBSTITUTE(SUBSTITUTE(kong_p1_var!$J$1,"&lt;upstream_name&gt;",$F128),"&lt;kong_api_url&gt;",$Q128)</f>
        <v>#N/A</v>
      </c>
      <c r="S128" t="e">
        <f>SUBSTITUTE(SUBSTITUTE(SUBSTITUTE(SUBSTITUTE(kong_p1_var!$J$2,"&lt;kong_api_url&gt;",$Q128),"&lt;upstream_name&gt;",$F128),"&lt;port&gt;",$E128),"&lt;service_name&gt;",$G128)</f>
        <v>#N/A</v>
      </c>
      <c r="T128" t="e">
        <f>SUBSTITUTE(SUBSTITUTE(SUBSTITUTE(SUBSTITUTE(SUBSTITUTE(kong_p1_var!$J$3,"&lt;kong_api_url&gt;",$Q128),"&lt;route_name&gt;",$H128),"&lt;service_name&gt;",$G128),"&lt;host&gt;",$O128),"&lt;path&gt;",$P128)</f>
        <v>#N/A</v>
      </c>
      <c r="U128" t="e">
        <f t="shared" si="31"/>
        <v>#N/A</v>
      </c>
      <c r="V128" t="e">
        <f t="shared" si="32"/>
        <v>#N/A</v>
      </c>
      <c r="W128" t="e">
        <f t="shared" si="33"/>
        <v>#N/A</v>
      </c>
      <c r="X128" t="e">
        <f t="shared" si="34"/>
        <v>#N/A</v>
      </c>
      <c r="Y128" t="e">
        <f t="shared" si="35"/>
        <v>#N/A</v>
      </c>
      <c r="Z128" t="e">
        <f t="shared" si="36"/>
        <v>#N/A</v>
      </c>
    </row>
    <row r="129" spans="1:26">
      <c r="A129">
        <f>IF(ISNUMBER(SEARCH("rest_api",svc!R128)),1,0)</f>
        <v>0</v>
      </c>
      <c r="C129">
        <f>svc!D128</f>
        <v>0</v>
      </c>
      <c r="D129">
        <f>svc!$B128</f>
        <v>0</v>
      </c>
      <c r="E129">
        <f>svc!G128</f>
        <v>0</v>
      </c>
      <c r="F129" t="str">
        <f>CONCATENATE("ups-",svc!$B128,"-",svc!I128)</f>
        <v>ups--</v>
      </c>
      <c r="G129" t="str">
        <f>CONCATENATE("svc-",svc!$B128,"-",svc!I128)</f>
        <v>svc--</v>
      </c>
      <c r="H129" t="e">
        <f>CONCATENATE("route-",VLOOKUP($D129,kong_p1_var!$B$10:$D$16,2,FALSE),"-",svc!$B128,"-",svc!I128)</f>
        <v>#N/A</v>
      </c>
      <c r="I129" t="e">
        <f>CONCATENATE(VLOOKUP($D129,kong_p1_var!$B$20:$H$26,SUBSTITUTE(I$1,"target_","") + 1,FALSE),":",$E129)</f>
        <v>#N/A</v>
      </c>
      <c r="J129" t="e">
        <f>CONCATENATE(VLOOKUP($D129,kong_p1_var!$B$20:$H$26,SUBSTITUTE(J$1,"target_","") + 1,FALSE),":",$E129)</f>
        <v>#N/A</v>
      </c>
      <c r="K129" t="e">
        <f>CONCATENATE(VLOOKUP($D129,kong_p1_var!$B$20:$H$26,SUBSTITUTE(K$1,"target_","") + 1,FALSE),":",$E129)</f>
        <v>#N/A</v>
      </c>
      <c r="L129" t="e">
        <f>IF($C129="dmz","",CONCATENATE(VLOOKUP($D129,kong_p1_var!$B$20:$H$26,SUBSTITUTE(L$1,"target_","") + 1,FALSE),":",$E129))</f>
        <v>#N/A</v>
      </c>
      <c r="M129" t="e">
        <f>IF($C129="dmz","",CONCATENATE(VLOOKUP($D129,kong_p1_var!$B$20:$H$26,SUBSTITUTE(M$1,"target_","") + 1,FALSE),":",$E129))</f>
        <v>#N/A</v>
      </c>
      <c r="N129" t="e">
        <f>IF($C129="dmz","",CONCATENATE(VLOOKUP($D129,kong_p1_var!$B$20:$H$26,SUBSTITUTE(N$1,"target_","") + 1,FALSE),":",$E129))</f>
        <v>#N/A</v>
      </c>
      <c r="O129" t="e">
        <f>VLOOKUP($D129,kong_p1_var!$B$10:$D$16,3,FALSE)</f>
        <v>#N/A</v>
      </c>
      <c r="P129" t="str">
        <f>CONCATENATE("/",C129,MID(D129,2,15),"/",svc!$I128)</f>
        <v>/0/</v>
      </c>
      <c r="Q129" t="e">
        <f>VLOOKUP(C129,kong_p1_var!$B$6:$C$7,2,FALSE)</f>
        <v>#N/A</v>
      </c>
      <c r="R129" t="e">
        <f>SUBSTITUTE(SUBSTITUTE(kong_p1_var!$J$1,"&lt;upstream_name&gt;",$F129),"&lt;kong_api_url&gt;",$Q129)</f>
        <v>#N/A</v>
      </c>
      <c r="S129" t="e">
        <f>SUBSTITUTE(SUBSTITUTE(SUBSTITUTE(SUBSTITUTE(kong_p1_var!$J$2,"&lt;kong_api_url&gt;",$Q129),"&lt;upstream_name&gt;",$F129),"&lt;port&gt;",$E129),"&lt;service_name&gt;",$G129)</f>
        <v>#N/A</v>
      </c>
      <c r="T129" t="e">
        <f>SUBSTITUTE(SUBSTITUTE(SUBSTITUTE(SUBSTITUTE(SUBSTITUTE(kong_p1_var!$J$3,"&lt;kong_api_url&gt;",$Q129),"&lt;route_name&gt;",$H129),"&lt;service_name&gt;",$G129),"&lt;host&gt;",$O129),"&lt;path&gt;",$P129)</f>
        <v>#N/A</v>
      </c>
      <c r="U129" t="e">
        <f t="shared" si="31"/>
        <v>#N/A</v>
      </c>
      <c r="V129" t="e">
        <f t="shared" si="32"/>
        <v>#N/A</v>
      </c>
      <c r="W129" t="e">
        <f t="shared" si="33"/>
        <v>#N/A</v>
      </c>
      <c r="X129" t="e">
        <f t="shared" si="34"/>
        <v>#N/A</v>
      </c>
      <c r="Y129" t="e">
        <f t="shared" si="35"/>
        <v>#N/A</v>
      </c>
      <c r="Z129" t="e">
        <f t="shared" si="36"/>
        <v>#N/A</v>
      </c>
    </row>
    <row r="130" spans="1:26">
      <c r="A130">
        <f>IF(ISNUMBER(SEARCH("rest_api",svc!R129)),1,0)</f>
        <v>0</v>
      </c>
      <c r="C130">
        <f>svc!D129</f>
        <v>0</v>
      </c>
      <c r="D130">
        <f>svc!$B129</f>
        <v>0</v>
      </c>
      <c r="E130">
        <f>svc!G129</f>
        <v>0</v>
      </c>
      <c r="F130" t="str">
        <f>CONCATENATE("ups-",svc!$B129,"-",svc!I129)</f>
        <v>ups--</v>
      </c>
      <c r="G130" t="str">
        <f>CONCATENATE("svc-",svc!$B129,"-",svc!I129)</f>
        <v>svc--</v>
      </c>
      <c r="H130" t="e">
        <f>CONCATENATE("route-",VLOOKUP($D130,kong_p1_var!$B$10:$D$16,2,FALSE),"-",svc!$B129,"-",svc!I129)</f>
        <v>#N/A</v>
      </c>
      <c r="I130" t="e">
        <f>CONCATENATE(VLOOKUP($D130,kong_p1_var!$B$20:$H$26,SUBSTITUTE(I$1,"target_","") + 1,FALSE),":",$E130)</f>
        <v>#N/A</v>
      </c>
      <c r="J130" t="e">
        <f>CONCATENATE(VLOOKUP($D130,kong_p1_var!$B$20:$H$26,SUBSTITUTE(J$1,"target_","") + 1,FALSE),":",$E130)</f>
        <v>#N/A</v>
      </c>
      <c r="K130" t="e">
        <f>CONCATENATE(VLOOKUP($D130,kong_p1_var!$B$20:$H$26,SUBSTITUTE(K$1,"target_","") + 1,FALSE),":",$E130)</f>
        <v>#N/A</v>
      </c>
      <c r="L130" t="e">
        <f>IF($C130="dmz","",CONCATENATE(VLOOKUP($D130,kong_p1_var!$B$20:$H$26,SUBSTITUTE(L$1,"target_","") + 1,FALSE),":",$E130))</f>
        <v>#N/A</v>
      </c>
      <c r="M130" t="e">
        <f>IF($C130="dmz","",CONCATENATE(VLOOKUP($D130,kong_p1_var!$B$20:$H$26,SUBSTITUTE(M$1,"target_","") + 1,FALSE),":",$E130))</f>
        <v>#N/A</v>
      </c>
      <c r="N130" t="e">
        <f>IF($C130="dmz","",CONCATENATE(VLOOKUP($D130,kong_p1_var!$B$20:$H$26,SUBSTITUTE(N$1,"target_","") + 1,FALSE),":",$E130))</f>
        <v>#N/A</v>
      </c>
      <c r="O130" t="e">
        <f>VLOOKUP($D130,kong_p1_var!$B$10:$D$16,3,FALSE)</f>
        <v>#N/A</v>
      </c>
      <c r="P130" t="str">
        <f>CONCATENATE("/",C130,MID(D130,2,15),"/",svc!$I129)</f>
        <v>/0/</v>
      </c>
      <c r="Q130" t="e">
        <f>VLOOKUP(C130,kong_p1_var!$B$6:$C$7,2,FALSE)</f>
        <v>#N/A</v>
      </c>
      <c r="R130" t="e">
        <f>SUBSTITUTE(SUBSTITUTE(kong_p1_var!$J$1,"&lt;upstream_name&gt;",$F130),"&lt;kong_api_url&gt;",$Q130)</f>
        <v>#N/A</v>
      </c>
      <c r="S130" t="e">
        <f>SUBSTITUTE(SUBSTITUTE(SUBSTITUTE(SUBSTITUTE(kong_p1_var!$J$2,"&lt;kong_api_url&gt;",$Q130),"&lt;upstream_name&gt;",$F130),"&lt;port&gt;",$E130),"&lt;service_name&gt;",$G130)</f>
        <v>#N/A</v>
      </c>
      <c r="T130" t="e">
        <f>SUBSTITUTE(SUBSTITUTE(SUBSTITUTE(SUBSTITUTE(SUBSTITUTE(kong_p1_var!$J$3,"&lt;kong_api_url&gt;",$Q130),"&lt;route_name&gt;",$H130),"&lt;service_name&gt;",$G130),"&lt;host&gt;",$O130),"&lt;path&gt;",$P130)</f>
        <v>#N/A</v>
      </c>
      <c r="U130" t="e">
        <f t="shared" si="31"/>
        <v>#N/A</v>
      </c>
      <c r="V130" t="e">
        <f t="shared" si="32"/>
        <v>#N/A</v>
      </c>
      <c r="W130" t="e">
        <f t="shared" si="33"/>
        <v>#N/A</v>
      </c>
      <c r="X130" t="e">
        <f t="shared" si="34"/>
        <v>#N/A</v>
      </c>
      <c r="Y130" t="e">
        <f t="shared" si="35"/>
        <v>#N/A</v>
      </c>
      <c r="Z130" t="e">
        <f t="shared" si="36"/>
        <v>#N/A</v>
      </c>
    </row>
    <row r="131" spans="1:26">
      <c r="A131">
        <f>IF(ISNUMBER(SEARCH("rest_api",svc!R130)),1,0)</f>
        <v>0</v>
      </c>
      <c r="C131">
        <f>svc!D130</f>
        <v>0</v>
      </c>
      <c r="D131">
        <f>svc!$B130</f>
        <v>0</v>
      </c>
      <c r="E131">
        <f>svc!G130</f>
        <v>0</v>
      </c>
      <c r="F131" t="str">
        <f>CONCATENATE("ups-",svc!$B130,"-",svc!I130)</f>
        <v>ups--</v>
      </c>
      <c r="G131" t="str">
        <f>CONCATENATE("svc-",svc!$B130,"-",svc!I130)</f>
        <v>svc--</v>
      </c>
      <c r="H131" t="e">
        <f>CONCATENATE("route-",VLOOKUP($D131,kong_p1_var!$B$10:$D$16,2,FALSE),"-",svc!$B130,"-",svc!I130)</f>
        <v>#N/A</v>
      </c>
      <c r="I131" t="e">
        <f>CONCATENATE(VLOOKUP($D131,kong_p1_var!$B$20:$H$26,SUBSTITUTE(I$1,"target_","") + 1,FALSE),":",$E131)</f>
        <v>#N/A</v>
      </c>
      <c r="J131" t="e">
        <f>CONCATENATE(VLOOKUP($D131,kong_p1_var!$B$20:$H$26,SUBSTITUTE(J$1,"target_","") + 1,FALSE),":",$E131)</f>
        <v>#N/A</v>
      </c>
      <c r="K131" t="e">
        <f>CONCATENATE(VLOOKUP($D131,kong_p1_var!$B$20:$H$26,SUBSTITUTE(K$1,"target_","") + 1,FALSE),":",$E131)</f>
        <v>#N/A</v>
      </c>
      <c r="L131" t="e">
        <f>IF($C131="dmz","",CONCATENATE(VLOOKUP($D131,kong_p1_var!$B$20:$H$26,SUBSTITUTE(L$1,"target_","") + 1,FALSE),":",$E131))</f>
        <v>#N/A</v>
      </c>
      <c r="M131" t="e">
        <f>IF($C131="dmz","",CONCATENATE(VLOOKUP($D131,kong_p1_var!$B$20:$H$26,SUBSTITUTE(M$1,"target_","") + 1,FALSE),":",$E131))</f>
        <v>#N/A</v>
      </c>
      <c r="N131" t="e">
        <f>IF($C131="dmz","",CONCATENATE(VLOOKUP($D131,kong_p1_var!$B$20:$H$26,SUBSTITUTE(N$1,"target_","") + 1,FALSE),":",$E131))</f>
        <v>#N/A</v>
      </c>
      <c r="O131" t="e">
        <f>VLOOKUP($D131,kong_p1_var!$B$10:$D$16,3,FALSE)</f>
        <v>#N/A</v>
      </c>
      <c r="P131" t="str">
        <f>CONCATENATE("/",C131,MID(D131,2,15),"/",svc!$I130)</f>
        <v>/0/</v>
      </c>
      <c r="Q131" t="e">
        <f>VLOOKUP(C131,kong_p1_var!$B$6:$C$7,2,FALSE)</f>
        <v>#N/A</v>
      </c>
      <c r="R131" t="e">
        <f>SUBSTITUTE(SUBSTITUTE(kong_p1_var!$J$1,"&lt;upstream_name&gt;",$F131),"&lt;kong_api_url&gt;",$Q131)</f>
        <v>#N/A</v>
      </c>
      <c r="S131" t="e">
        <f>SUBSTITUTE(SUBSTITUTE(SUBSTITUTE(SUBSTITUTE(kong_p1_var!$J$2,"&lt;kong_api_url&gt;",$Q131),"&lt;upstream_name&gt;",$F131),"&lt;port&gt;",$E131),"&lt;service_name&gt;",$G131)</f>
        <v>#N/A</v>
      </c>
      <c r="T131" t="e">
        <f>SUBSTITUTE(SUBSTITUTE(SUBSTITUTE(SUBSTITUTE(SUBSTITUTE(kong_p1_var!$J$3,"&lt;kong_api_url&gt;",$Q131),"&lt;route_name&gt;",$H131),"&lt;service_name&gt;",$G131),"&lt;host&gt;",$O131),"&lt;path&gt;",$P131)</f>
        <v>#N/A</v>
      </c>
      <c r="U131" t="e">
        <f t="shared" si="31"/>
        <v>#N/A</v>
      </c>
      <c r="V131" t="e">
        <f t="shared" si="32"/>
        <v>#N/A</v>
      </c>
      <c r="W131" t="e">
        <f t="shared" si="33"/>
        <v>#N/A</v>
      </c>
      <c r="X131" t="e">
        <f t="shared" si="34"/>
        <v>#N/A</v>
      </c>
      <c r="Y131" t="e">
        <f t="shared" si="35"/>
        <v>#N/A</v>
      </c>
      <c r="Z131" t="e">
        <f t="shared" si="36"/>
        <v>#N/A</v>
      </c>
    </row>
    <row r="132" spans="1:26">
      <c r="A132">
        <f>IF(ISNUMBER(SEARCH("rest_api",svc!R131)),1,0)</f>
        <v>0</v>
      </c>
      <c r="C132">
        <f>svc!D131</f>
        <v>0</v>
      </c>
      <c r="D132">
        <f>svc!$B131</f>
        <v>0</v>
      </c>
      <c r="E132">
        <f>svc!G131</f>
        <v>0</v>
      </c>
      <c r="F132" t="str">
        <f>CONCATENATE("ups-",svc!$B131,"-",svc!I131)</f>
        <v>ups--</v>
      </c>
      <c r="G132" t="str">
        <f>CONCATENATE("svc-",svc!$B131,"-",svc!I131)</f>
        <v>svc--</v>
      </c>
      <c r="H132" t="e">
        <f>CONCATENATE("route-",VLOOKUP($D132,kong_p1_var!$B$10:$D$16,2,FALSE),"-",svc!$B131,"-",svc!I131)</f>
        <v>#N/A</v>
      </c>
      <c r="I132" t="e">
        <f>CONCATENATE(VLOOKUP($D132,kong_p1_var!$B$20:$H$26,SUBSTITUTE(I$1,"target_","") + 1,FALSE),":",$E132)</f>
        <v>#N/A</v>
      </c>
      <c r="J132" t="e">
        <f>CONCATENATE(VLOOKUP($D132,kong_p1_var!$B$20:$H$26,SUBSTITUTE(J$1,"target_","") + 1,FALSE),":",$E132)</f>
        <v>#N/A</v>
      </c>
      <c r="K132" t="e">
        <f>CONCATENATE(VLOOKUP($D132,kong_p1_var!$B$20:$H$26,SUBSTITUTE(K$1,"target_","") + 1,FALSE),":",$E132)</f>
        <v>#N/A</v>
      </c>
      <c r="L132" t="e">
        <f>IF($C132="dmz","",CONCATENATE(VLOOKUP($D132,kong_p1_var!$B$20:$H$26,SUBSTITUTE(L$1,"target_","") + 1,FALSE),":",$E132))</f>
        <v>#N/A</v>
      </c>
      <c r="M132" t="e">
        <f>IF($C132="dmz","",CONCATENATE(VLOOKUP($D132,kong_p1_var!$B$20:$H$26,SUBSTITUTE(M$1,"target_","") + 1,FALSE),":",$E132))</f>
        <v>#N/A</v>
      </c>
      <c r="N132" t="e">
        <f>IF($C132="dmz","",CONCATENATE(VLOOKUP($D132,kong_p1_var!$B$20:$H$26,SUBSTITUTE(N$1,"target_","") + 1,FALSE),":",$E132))</f>
        <v>#N/A</v>
      </c>
      <c r="O132" t="e">
        <f>VLOOKUP($D132,kong_p1_var!$B$10:$D$16,3,FALSE)</f>
        <v>#N/A</v>
      </c>
      <c r="P132" t="str">
        <f>CONCATENATE("/",C132,MID(D132,2,15),"/",svc!$I131)</f>
        <v>/0/</v>
      </c>
      <c r="Q132" t="e">
        <f>VLOOKUP(C132,kong_p1_var!$B$6:$C$7,2,FALSE)</f>
        <v>#N/A</v>
      </c>
      <c r="R132" t="e">
        <f>SUBSTITUTE(SUBSTITUTE(kong_p1_var!$J$1,"&lt;upstream_name&gt;",$F132),"&lt;kong_api_url&gt;",$Q132)</f>
        <v>#N/A</v>
      </c>
      <c r="S132" t="e">
        <f>SUBSTITUTE(SUBSTITUTE(SUBSTITUTE(SUBSTITUTE(kong_p1_var!$J$2,"&lt;kong_api_url&gt;",$Q132),"&lt;upstream_name&gt;",$F132),"&lt;port&gt;",$E132),"&lt;service_name&gt;",$G132)</f>
        <v>#N/A</v>
      </c>
      <c r="T132" t="e">
        <f>SUBSTITUTE(SUBSTITUTE(SUBSTITUTE(SUBSTITUTE(SUBSTITUTE(kong_p1_var!$J$3,"&lt;kong_api_url&gt;",$Q132),"&lt;route_name&gt;",$H132),"&lt;service_name&gt;",$G132),"&lt;host&gt;",$O132),"&lt;path&gt;",$P132)</f>
        <v>#N/A</v>
      </c>
      <c r="U132" t="e">
        <f t="shared" si="31"/>
        <v>#N/A</v>
      </c>
      <c r="V132" t="e">
        <f t="shared" si="32"/>
        <v>#N/A</v>
      </c>
      <c r="W132" t="e">
        <f t="shared" si="33"/>
        <v>#N/A</v>
      </c>
      <c r="X132" t="e">
        <f t="shared" si="34"/>
        <v>#N/A</v>
      </c>
      <c r="Y132" t="e">
        <f t="shared" si="35"/>
        <v>#N/A</v>
      </c>
      <c r="Z132" t="e">
        <f t="shared" si="36"/>
        <v>#N/A</v>
      </c>
    </row>
    <row r="133" spans="1:26">
      <c r="A133">
        <f>IF(ISNUMBER(SEARCH("rest_api",svc!R132)),1,0)</f>
        <v>0</v>
      </c>
      <c r="C133">
        <f>svc!D132</f>
        <v>0</v>
      </c>
      <c r="D133">
        <f>svc!$B132</f>
        <v>0</v>
      </c>
      <c r="E133">
        <f>svc!G132</f>
        <v>0</v>
      </c>
      <c r="F133" t="str">
        <f>CONCATENATE("ups-",svc!$B132,"-",svc!I132)</f>
        <v>ups--</v>
      </c>
      <c r="G133" t="str">
        <f>CONCATENATE("svc-",svc!$B132,"-",svc!I132)</f>
        <v>svc--</v>
      </c>
      <c r="H133" t="e">
        <f>CONCATENATE("route-",VLOOKUP($D133,kong_p1_var!$B$10:$D$16,2,FALSE),"-",svc!$B132,"-",svc!I132)</f>
        <v>#N/A</v>
      </c>
      <c r="I133" t="e">
        <f>CONCATENATE(VLOOKUP($D133,kong_p1_var!$B$20:$H$26,SUBSTITUTE(I$1,"target_","") + 1,FALSE),":",$E133)</f>
        <v>#N/A</v>
      </c>
      <c r="J133" t="e">
        <f>CONCATENATE(VLOOKUP($D133,kong_p1_var!$B$20:$H$26,SUBSTITUTE(J$1,"target_","") + 1,FALSE),":",$E133)</f>
        <v>#N/A</v>
      </c>
      <c r="K133" t="e">
        <f>CONCATENATE(VLOOKUP($D133,kong_p1_var!$B$20:$H$26,SUBSTITUTE(K$1,"target_","") + 1,FALSE),":",$E133)</f>
        <v>#N/A</v>
      </c>
      <c r="L133" t="e">
        <f>IF($C133="dmz","",CONCATENATE(VLOOKUP($D133,kong_p1_var!$B$20:$H$26,SUBSTITUTE(L$1,"target_","") + 1,FALSE),":",$E133))</f>
        <v>#N/A</v>
      </c>
      <c r="M133" t="e">
        <f>IF($C133="dmz","",CONCATENATE(VLOOKUP($D133,kong_p1_var!$B$20:$H$26,SUBSTITUTE(M$1,"target_","") + 1,FALSE),":",$E133))</f>
        <v>#N/A</v>
      </c>
      <c r="N133" t="e">
        <f>IF($C133="dmz","",CONCATENATE(VLOOKUP($D133,kong_p1_var!$B$20:$H$26,SUBSTITUTE(N$1,"target_","") + 1,FALSE),":",$E133))</f>
        <v>#N/A</v>
      </c>
      <c r="O133" t="e">
        <f>VLOOKUP($D133,kong_p1_var!$B$10:$D$16,3,FALSE)</f>
        <v>#N/A</v>
      </c>
      <c r="P133" t="str">
        <f>CONCATENATE("/",C133,MID(D133,2,15),"/",svc!$I132)</f>
        <v>/0/</v>
      </c>
      <c r="Q133" t="e">
        <f>VLOOKUP(C133,kong_p1_var!$B$6:$C$7,2,FALSE)</f>
        <v>#N/A</v>
      </c>
      <c r="R133" t="e">
        <f>SUBSTITUTE(SUBSTITUTE(kong_p1_var!$J$1,"&lt;upstream_name&gt;",$F133),"&lt;kong_api_url&gt;",$Q133)</f>
        <v>#N/A</v>
      </c>
      <c r="S133" t="e">
        <f>SUBSTITUTE(SUBSTITUTE(SUBSTITUTE(SUBSTITUTE(kong_p1_var!$J$2,"&lt;kong_api_url&gt;",$Q133),"&lt;upstream_name&gt;",$F133),"&lt;port&gt;",$E133),"&lt;service_name&gt;",$G133)</f>
        <v>#N/A</v>
      </c>
      <c r="T133" t="e">
        <f>SUBSTITUTE(SUBSTITUTE(SUBSTITUTE(SUBSTITUTE(SUBSTITUTE(kong_p1_var!$J$3,"&lt;kong_api_url&gt;",$Q133),"&lt;route_name&gt;",$H133),"&lt;service_name&gt;",$G133),"&lt;host&gt;",$O133),"&lt;path&gt;",$P133)</f>
        <v>#N/A</v>
      </c>
      <c r="U133" t="e">
        <f t="shared" si="31"/>
        <v>#N/A</v>
      </c>
      <c r="V133" t="e">
        <f t="shared" si="32"/>
        <v>#N/A</v>
      </c>
      <c r="W133" t="e">
        <f t="shared" si="33"/>
        <v>#N/A</v>
      </c>
      <c r="X133" t="e">
        <f t="shared" si="34"/>
        <v>#N/A</v>
      </c>
      <c r="Y133" t="e">
        <f t="shared" si="35"/>
        <v>#N/A</v>
      </c>
      <c r="Z133" t="e">
        <f t="shared" si="36"/>
        <v>#N/A</v>
      </c>
    </row>
    <row r="134" spans="1:26">
      <c r="A134">
        <f>IF(ISNUMBER(SEARCH("rest_api",svc!R133)),1,0)</f>
        <v>0</v>
      </c>
      <c r="C134">
        <f>svc!D133</f>
        <v>0</v>
      </c>
      <c r="D134">
        <f>svc!$B133</f>
        <v>0</v>
      </c>
      <c r="E134">
        <f>svc!G133</f>
        <v>0</v>
      </c>
      <c r="F134" t="str">
        <f>CONCATENATE("ups-",svc!$B133,"-",svc!I133)</f>
        <v>ups--</v>
      </c>
      <c r="G134" t="str">
        <f>CONCATENATE("svc-",svc!$B133,"-",svc!I133)</f>
        <v>svc--</v>
      </c>
      <c r="H134" t="e">
        <f>CONCATENATE("route-",VLOOKUP($D134,kong_p1_var!$B$10:$D$16,2,FALSE),"-",svc!$B133,"-",svc!I133)</f>
        <v>#N/A</v>
      </c>
      <c r="I134" t="e">
        <f>CONCATENATE(VLOOKUP($D134,kong_p1_var!$B$20:$H$26,SUBSTITUTE(I$1,"target_","") + 1,FALSE),":",$E134)</f>
        <v>#N/A</v>
      </c>
      <c r="J134" t="e">
        <f>CONCATENATE(VLOOKUP($D134,kong_p1_var!$B$20:$H$26,SUBSTITUTE(J$1,"target_","") + 1,FALSE),":",$E134)</f>
        <v>#N/A</v>
      </c>
      <c r="K134" t="e">
        <f>CONCATENATE(VLOOKUP($D134,kong_p1_var!$B$20:$H$26,SUBSTITUTE(K$1,"target_","") + 1,FALSE),":",$E134)</f>
        <v>#N/A</v>
      </c>
      <c r="L134" t="e">
        <f>IF($C134="dmz","",CONCATENATE(VLOOKUP($D134,kong_p1_var!$B$20:$H$26,SUBSTITUTE(L$1,"target_","") + 1,FALSE),":",$E134))</f>
        <v>#N/A</v>
      </c>
      <c r="M134" t="e">
        <f>IF($C134="dmz","",CONCATENATE(VLOOKUP($D134,kong_p1_var!$B$20:$H$26,SUBSTITUTE(M$1,"target_","") + 1,FALSE),":",$E134))</f>
        <v>#N/A</v>
      </c>
      <c r="N134" t="e">
        <f>IF($C134="dmz","",CONCATENATE(VLOOKUP($D134,kong_p1_var!$B$20:$H$26,SUBSTITUTE(N$1,"target_","") + 1,FALSE),":",$E134))</f>
        <v>#N/A</v>
      </c>
      <c r="O134" t="e">
        <f>VLOOKUP($D134,kong_p1_var!$B$10:$D$16,3,FALSE)</f>
        <v>#N/A</v>
      </c>
      <c r="P134" t="str">
        <f>CONCATENATE("/",C134,MID(D134,2,15),"/",svc!$I133)</f>
        <v>/0/</v>
      </c>
      <c r="Q134" t="e">
        <f>VLOOKUP(C134,kong_p1_var!$B$6:$C$7,2,FALSE)</f>
        <v>#N/A</v>
      </c>
      <c r="R134" t="e">
        <f>SUBSTITUTE(SUBSTITUTE(kong_p1_var!$J$1,"&lt;upstream_name&gt;",$F134),"&lt;kong_api_url&gt;",$Q134)</f>
        <v>#N/A</v>
      </c>
      <c r="S134" t="e">
        <f>SUBSTITUTE(SUBSTITUTE(SUBSTITUTE(SUBSTITUTE(kong_p1_var!$J$2,"&lt;kong_api_url&gt;",$Q134),"&lt;upstream_name&gt;",$F134),"&lt;port&gt;",$E134),"&lt;service_name&gt;",$G134)</f>
        <v>#N/A</v>
      </c>
      <c r="T134" t="e">
        <f>SUBSTITUTE(SUBSTITUTE(SUBSTITUTE(SUBSTITUTE(SUBSTITUTE(kong_p1_var!$J$3,"&lt;kong_api_url&gt;",$Q134),"&lt;route_name&gt;",$H134),"&lt;service_name&gt;",$G134),"&lt;host&gt;",$O134),"&lt;path&gt;",$P134)</f>
        <v>#N/A</v>
      </c>
      <c r="U134" t="e">
        <f t="shared" si="31"/>
        <v>#N/A</v>
      </c>
      <c r="V134" t="e">
        <f t="shared" si="32"/>
        <v>#N/A</v>
      </c>
      <c r="W134" t="e">
        <f t="shared" si="33"/>
        <v>#N/A</v>
      </c>
      <c r="X134" t="e">
        <f t="shared" si="34"/>
        <v>#N/A</v>
      </c>
      <c r="Y134" t="e">
        <f t="shared" si="35"/>
        <v>#N/A</v>
      </c>
      <c r="Z134" t="e">
        <f t="shared" si="36"/>
        <v>#N/A</v>
      </c>
    </row>
    <row r="135" spans="1:26">
      <c r="A135">
        <f>IF(ISNUMBER(SEARCH("rest_api",svc!R134)),1,0)</f>
        <v>0</v>
      </c>
      <c r="C135">
        <f>svc!D134</f>
        <v>0</v>
      </c>
      <c r="D135">
        <f>svc!$B134</f>
        <v>0</v>
      </c>
      <c r="E135">
        <f>svc!G134</f>
        <v>0</v>
      </c>
      <c r="F135" t="str">
        <f>CONCATENATE("ups-",svc!$B134,"-",svc!I134)</f>
        <v>ups--</v>
      </c>
      <c r="G135" t="str">
        <f>CONCATENATE("svc-",svc!$B134,"-",svc!I134)</f>
        <v>svc--</v>
      </c>
      <c r="H135" t="e">
        <f>CONCATENATE("route-",VLOOKUP($D135,kong_p1_var!$B$10:$D$16,2,FALSE),"-",svc!$B134,"-",svc!I134)</f>
        <v>#N/A</v>
      </c>
      <c r="I135" t="e">
        <f>CONCATENATE(VLOOKUP($D135,kong_p1_var!$B$20:$H$26,SUBSTITUTE(I$1,"target_","") + 1,FALSE),":",$E135)</f>
        <v>#N/A</v>
      </c>
      <c r="J135" t="e">
        <f>CONCATENATE(VLOOKUP($D135,kong_p1_var!$B$20:$H$26,SUBSTITUTE(J$1,"target_","") + 1,FALSE),":",$E135)</f>
        <v>#N/A</v>
      </c>
      <c r="K135" t="e">
        <f>CONCATENATE(VLOOKUP($D135,kong_p1_var!$B$20:$H$26,SUBSTITUTE(K$1,"target_","") + 1,FALSE),":",$E135)</f>
        <v>#N/A</v>
      </c>
      <c r="L135" t="e">
        <f>IF($C135="dmz","",CONCATENATE(VLOOKUP($D135,kong_p1_var!$B$20:$H$26,SUBSTITUTE(L$1,"target_","") + 1,FALSE),":",$E135))</f>
        <v>#N/A</v>
      </c>
      <c r="M135" t="e">
        <f>IF($C135="dmz","",CONCATENATE(VLOOKUP($D135,kong_p1_var!$B$20:$H$26,SUBSTITUTE(M$1,"target_","") + 1,FALSE),":",$E135))</f>
        <v>#N/A</v>
      </c>
      <c r="N135" t="e">
        <f>IF($C135="dmz","",CONCATENATE(VLOOKUP($D135,kong_p1_var!$B$20:$H$26,SUBSTITUTE(N$1,"target_","") + 1,FALSE),":",$E135))</f>
        <v>#N/A</v>
      </c>
      <c r="O135" t="e">
        <f>VLOOKUP($D135,kong_p1_var!$B$10:$D$16,3,FALSE)</f>
        <v>#N/A</v>
      </c>
      <c r="P135" t="str">
        <f>CONCATENATE("/",C135,MID(D135,2,15),"/",svc!$I134)</f>
        <v>/0/</v>
      </c>
      <c r="Q135" t="e">
        <f>VLOOKUP(C135,kong_p1_var!$B$6:$C$7,2,FALSE)</f>
        <v>#N/A</v>
      </c>
      <c r="R135" t="e">
        <f>SUBSTITUTE(SUBSTITUTE(kong_p1_var!$J$1,"&lt;upstream_name&gt;",$F135),"&lt;kong_api_url&gt;",$Q135)</f>
        <v>#N/A</v>
      </c>
      <c r="S135" t="e">
        <f>SUBSTITUTE(SUBSTITUTE(SUBSTITUTE(SUBSTITUTE(kong_p1_var!$J$2,"&lt;kong_api_url&gt;",$Q135),"&lt;upstream_name&gt;",$F135),"&lt;port&gt;",$E135),"&lt;service_name&gt;",$G135)</f>
        <v>#N/A</v>
      </c>
      <c r="T135" t="e">
        <f>SUBSTITUTE(SUBSTITUTE(SUBSTITUTE(SUBSTITUTE(SUBSTITUTE(kong_p1_var!$J$3,"&lt;kong_api_url&gt;",$Q135),"&lt;route_name&gt;",$H135),"&lt;service_name&gt;",$G135),"&lt;host&gt;",$O135),"&lt;path&gt;",$P135)</f>
        <v>#N/A</v>
      </c>
      <c r="U135" t="e">
        <f t="shared" si="31"/>
        <v>#N/A</v>
      </c>
      <c r="V135" t="e">
        <f t="shared" si="32"/>
        <v>#N/A</v>
      </c>
      <c r="W135" t="e">
        <f t="shared" si="33"/>
        <v>#N/A</v>
      </c>
      <c r="X135" t="e">
        <f t="shared" si="34"/>
        <v>#N/A</v>
      </c>
      <c r="Y135" t="e">
        <f t="shared" si="35"/>
        <v>#N/A</v>
      </c>
      <c r="Z135" t="e">
        <f t="shared" si="36"/>
        <v>#N/A</v>
      </c>
    </row>
    <row r="136" spans="1:26">
      <c r="A136">
        <f>IF(ISNUMBER(SEARCH("rest_api",svc!R135)),1,0)</f>
        <v>0</v>
      </c>
      <c r="C136">
        <f>svc!D135</f>
        <v>0</v>
      </c>
      <c r="D136">
        <f>svc!$B135</f>
        <v>0</v>
      </c>
      <c r="E136">
        <f>svc!G135</f>
        <v>0</v>
      </c>
      <c r="F136" t="str">
        <f>CONCATENATE("ups-",svc!$B135,"-",svc!I135)</f>
        <v>ups--</v>
      </c>
      <c r="G136" t="str">
        <f>CONCATENATE("svc-",svc!$B135,"-",svc!I135)</f>
        <v>svc--</v>
      </c>
      <c r="H136" t="e">
        <f>CONCATENATE("route-",VLOOKUP($D136,kong_p1_var!$B$10:$D$16,2,FALSE),"-",svc!$B135,"-",svc!I135)</f>
        <v>#N/A</v>
      </c>
      <c r="I136" t="e">
        <f>CONCATENATE(VLOOKUP($D136,kong_p1_var!$B$20:$H$26,SUBSTITUTE(I$1,"target_","") + 1,FALSE),":",$E136)</f>
        <v>#N/A</v>
      </c>
      <c r="J136" t="e">
        <f>CONCATENATE(VLOOKUP($D136,kong_p1_var!$B$20:$H$26,SUBSTITUTE(J$1,"target_","") + 1,FALSE),":",$E136)</f>
        <v>#N/A</v>
      </c>
      <c r="K136" t="e">
        <f>CONCATENATE(VLOOKUP($D136,kong_p1_var!$B$20:$H$26,SUBSTITUTE(K$1,"target_","") + 1,FALSE),":",$E136)</f>
        <v>#N/A</v>
      </c>
      <c r="L136" t="e">
        <f>IF($C136="dmz","",CONCATENATE(VLOOKUP($D136,kong_p1_var!$B$20:$H$26,SUBSTITUTE(L$1,"target_","") + 1,FALSE),":",$E136))</f>
        <v>#N/A</v>
      </c>
      <c r="M136" t="e">
        <f>IF($C136="dmz","",CONCATENATE(VLOOKUP($D136,kong_p1_var!$B$20:$H$26,SUBSTITUTE(M$1,"target_","") + 1,FALSE),":",$E136))</f>
        <v>#N/A</v>
      </c>
      <c r="N136" t="e">
        <f>IF($C136="dmz","",CONCATENATE(VLOOKUP($D136,kong_p1_var!$B$20:$H$26,SUBSTITUTE(N$1,"target_","") + 1,FALSE),":",$E136))</f>
        <v>#N/A</v>
      </c>
      <c r="O136" t="e">
        <f>VLOOKUP($D136,kong_p1_var!$B$10:$D$16,3,FALSE)</f>
        <v>#N/A</v>
      </c>
      <c r="P136" t="str">
        <f>CONCATENATE("/",C136,MID(D136,2,15),"/",svc!$I135)</f>
        <v>/0/</v>
      </c>
      <c r="Q136" t="e">
        <f>VLOOKUP(C136,kong_p1_var!$B$6:$C$7,2,FALSE)</f>
        <v>#N/A</v>
      </c>
      <c r="R136" t="e">
        <f>SUBSTITUTE(SUBSTITUTE(kong_p1_var!$J$1,"&lt;upstream_name&gt;",$F136),"&lt;kong_api_url&gt;",$Q136)</f>
        <v>#N/A</v>
      </c>
      <c r="S136" t="e">
        <f>SUBSTITUTE(SUBSTITUTE(SUBSTITUTE(SUBSTITUTE(kong_p1_var!$J$2,"&lt;kong_api_url&gt;",$Q136),"&lt;upstream_name&gt;",$F136),"&lt;port&gt;",$E136),"&lt;service_name&gt;",$G136)</f>
        <v>#N/A</v>
      </c>
      <c r="T136" t="e">
        <f>SUBSTITUTE(SUBSTITUTE(SUBSTITUTE(SUBSTITUTE(SUBSTITUTE(kong_p1_var!$J$3,"&lt;kong_api_url&gt;",$Q136),"&lt;route_name&gt;",$H136),"&lt;service_name&gt;",$G136),"&lt;host&gt;",$O136),"&lt;path&gt;",$P136)</f>
        <v>#N/A</v>
      </c>
      <c r="U136" t="e">
        <f t="shared" si="31"/>
        <v>#N/A</v>
      </c>
      <c r="V136" t="e">
        <f t="shared" si="32"/>
        <v>#N/A</v>
      </c>
      <c r="W136" t="e">
        <f t="shared" si="33"/>
        <v>#N/A</v>
      </c>
      <c r="X136" t="e">
        <f t="shared" si="34"/>
        <v>#N/A</v>
      </c>
      <c r="Y136" t="e">
        <f t="shared" si="35"/>
        <v>#N/A</v>
      </c>
      <c r="Z136" t="e">
        <f t="shared" si="36"/>
        <v>#N/A</v>
      </c>
    </row>
    <row r="137" spans="1:26">
      <c r="A137">
        <f>IF(ISNUMBER(SEARCH("rest_api",svc!R136)),1,0)</f>
        <v>0</v>
      </c>
      <c r="C137">
        <f>svc!D136</f>
        <v>0</v>
      </c>
      <c r="D137">
        <f>svc!$B136</f>
        <v>0</v>
      </c>
      <c r="E137">
        <f>svc!G136</f>
        <v>0</v>
      </c>
      <c r="F137" t="str">
        <f>CONCATENATE("ups-",svc!$B136,"-",svc!I136)</f>
        <v>ups--</v>
      </c>
      <c r="G137" t="str">
        <f>CONCATENATE("svc-",svc!$B136,"-",svc!I136)</f>
        <v>svc--</v>
      </c>
      <c r="H137" t="e">
        <f>CONCATENATE("route-",VLOOKUP($D137,kong_p1_var!$B$10:$D$16,2,FALSE),"-",svc!$B136,"-",svc!I136)</f>
        <v>#N/A</v>
      </c>
      <c r="I137" t="e">
        <f>CONCATENATE(VLOOKUP($D137,kong_p1_var!$B$20:$H$26,SUBSTITUTE(I$1,"target_","") + 1,FALSE),":",$E137)</f>
        <v>#N/A</v>
      </c>
      <c r="J137" t="e">
        <f>CONCATENATE(VLOOKUP($D137,kong_p1_var!$B$20:$H$26,SUBSTITUTE(J$1,"target_","") + 1,FALSE),":",$E137)</f>
        <v>#N/A</v>
      </c>
      <c r="K137" t="e">
        <f>CONCATENATE(VLOOKUP($D137,kong_p1_var!$B$20:$H$26,SUBSTITUTE(K$1,"target_","") + 1,FALSE),":",$E137)</f>
        <v>#N/A</v>
      </c>
      <c r="L137" t="e">
        <f>IF($C137="dmz","",CONCATENATE(VLOOKUP($D137,kong_p1_var!$B$20:$H$26,SUBSTITUTE(L$1,"target_","") + 1,FALSE),":",$E137))</f>
        <v>#N/A</v>
      </c>
      <c r="M137" t="e">
        <f>IF($C137="dmz","",CONCATENATE(VLOOKUP($D137,kong_p1_var!$B$20:$H$26,SUBSTITUTE(M$1,"target_","") + 1,FALSE),":",$E137))</f>
        <v>#N/A</v>
      </c>
      <c r="N137" t="e">
        <f>IF($C137="dmz","",CONCATENATE(VLOOKUP($D137,kong_p1_var!$B$20:$H$26,SUBSTITUTE(N$1,"target_","") + 1,FALSE),":",$E137))</f>
        <v>#N/A</v>
      </c>
      <c r="O137" t="e">
        <f>VLOOKUP($D137,kong_p1_var!$B$10:$D$16,3,FALSE)</f>
        <v>#N/A</v>
      </c>
      <c r="P137" t="str">
        <f>CONCATENATE("/",C137,MID(D137,2,15),"/",svc!$I136)</f>
        <v>/0/</v>
      </c>
      <c r="Q137" t="e">
        <f>VLOOKUP(C137,kong_p1_var!$B$6:$C$7,2,FALSE)</f>
        <v>#N/A</v>
      </c>
      <c r="R137" t="e">
        <f>SUBSTITUTE(SUBSTITUTE(kong_p1_var!$J$1,"&lt;upstream_name&gt;",$F137),"&lt;kong_api_url&gt;",$Q137)</f>
        <v>#N/A</v>
      </c>
      <c r="S137" t="e">
        <f>SUBSTITUTE(SUBSTITUTE(SUBSTITUTE(SUBSTITUTE(kong_p1_var!$J$2,"&lt;kong_api_url&gt;",$Q137),"&lt;upstream_name&gt;",$F137),"&lt;port&gt;",$E137),"&lt;service_name&gt;",$G137)</f>
        <v>#N/A</v>
      </c>
      <c r="T137" t="e">
        <f>SUBSTITUTE(SUBSTITUTE(SUBSTITUTE(SUBSTITUTE(SUBSTITUTE(kong_p1_var!$J$3,"&lt;kong_api_url&gt;",$Q137),"&lt;route_name&gt;",$H137),"&lt;service_name&gt;",$G137),"&lt;host&gt;",$O137),"&lt;path&gt;",$P137)</f>
        <v>#N/A</v>
      </c>
      <c r="U137" t="e">
        <f t="shared" si="31"/>
        <v>#N/A</v>
      </c>
      <c r="V137" t="e">
        <f t="shared" si="32"/>
        <v>#N/A</v>
      </c>
      <c r="W137" t="e">
        <f t="shared" si="33"/>
        <v>#N/A</v>
      </c>
      <c r="X137" t="e">
        <f t="shared" si="34"/>
        <v>#N/A</v>
      </c>
      <c r="Y137" t="e">
        <f t="shared" si="35"/>
        <v>#N/A</v>
      </c>
      <c r="Z137" t="e">
        <f t="shared" si="36"/>
        <v>#N/A</v>
      </c>
    </row>
    <row r="138" spans="1:26">
      <c r="A138">
        <f>IF(ISNUMBER(SEARCH("rest_api",svc!R137)),1,0)</f>
        <v>0</v>
      </c>
      <c r="C138">
        <f>svc!D137</f>
        <v>0</v>
      </c>
      <c r="D138">
        <f>svc!$B137</f>
        <v>0</v>
      </c>
      <c r="E138">
        <f>svc!G137</f>
        <v>0</v>
      </c>
      <c r="F138" t="str">
        <f>CONCATENATE("ups-",svc!$B137,"-",svc!I137)</f>
        <v>ups--</v>
      </c>
      <c r="G138" t="str">
        <f>CONCATENATE("svc-",svc!$B137,"-",svc!I137)</f>
        <v>svc--</v>
      </c>
      <c r="H138" t="e">
        <f>CONCATENATE("route-",VLOOKUP($D138,kong_p1_var!$B$10:$D$16,2,FALSE),"-",svc!$B137,"-",svc!I137)</f>
        <v>#N/A</v>
      </c>
      <c r="I138" t="e">
        <f>CONCATENATE(VLOOKUP($D138,kong_p1_var!$B$20:$H$26,SUBSTITUTE(I$1,"target_","") + 1,FALSE),":",$E138)</f>
        <v>#N/A</v>
      </c>
      <c r="J138" t="e">
        <f>CONCATENATE(VLOOKUP($D138,kong_p1_var!$B$20:$H$26,SUBSTITUTE(J$1,"target_","") + 1,FALSE),":",$E138)</f>
        <v>#N/A</v>
      </c>
      <c r="K138" t="e">
        <f>CONCATENATE(VLOOKUP($D138,kong_p1_var!$B$20:$H$26,SUBSTITUTE(K$1,"target_","") + 1,FALSE),":",$E138)</f>
        <v>#N/A</v>
      </c>
      <c r="L138" t="e">
        <f>IF($C138="dmz","",CONCATENATE(VLOOKUP($D138,kong_p1_var!$B$20:$H$26,SUBSTITUTE(L$1,"target_","") + 1,FALSE),":",$E138))</f>
        <v>#N/A</v>
      </c>
      <c r="M138" t="e">
        <f>IF($C138="dmz","",CONCATENATE(VLOOKUP($D138,kong_p1_var!$B$20:$H$26,SUBSTITUTE(M$1,"target_","") + 1,FALSE),":",$E138))</f>
        <v>#N/A</v>
      </c>
      <c r="N138" t="e">
        <f>IF($C138="dmz","",CONCATENATE(VLOOKUP($D138,kong_p1_var!$B$20:$H$26,SUBSTITUTE(N$1,"target_","") + 1,FALSE),":",$E138))</f>
        <v>#N/A</v>
      </c>
      <c r="O138" t="e">
        <f>VLOOKUP($D138,kong_p1_var!$B$10:$D$16,3,FALSE)</f>
        <v>#N/A</v>
      </c>
      <c r="P138" t="str">
        <f>CONCATENATE("/",C138,MID(D138,2,15),"/",svc!$I137)</f>
        <v>/0/</v>
      </c>
      <c r="Q138" t="e">
        <f>VLOOKUP(C138,kong_p1_var!$B$6:$C$7,2,FALSE)</f>
        <v>#N/A</v>
      </c>
      <c r="R138" t="e">
        <f>SUBSTITUTE(SUBSTITUTE(kong_p1_var!$J$1,"&lt;upstream_name&gt;",$F138),"&lt;kong_api_url&gt;",$Q138)</f>
        <v>#N/A</v>
      </c>
      <c r="S138" t="e">
        <f>SUBSTITUTE(SUBSTITUTE(SUBSTITUTE(SUBSTITUTE(kong_p1_var!$J$2,"&lt;kong_api_url&gt;",$Q138),"&lt;upstream_name&gt;",$F138),"&lt;port&gt;",$E138),"&lt;service_name&gt;",$G138)</f>
        <v>#N/A</v>
      </c>
      <c r="T138" t="e">
        <f>SUBSTITUTE(SUBSTITUTE(SUBSTITUTE(SUBSTITUTE(SUBSTITUTE(kong_p1_var!$J$3,"&lt;kong_api_url&gt;",$Q138),"&lt;route_name&gt;",$H138),"&lt;service_name&gt;",$G138),"&lt;host&gt;",$O138),"&lt;path&gt;",$P138)</f>
        <v>#N/A</v>
      </c>
      <c r="U138" t="e">
        <f t="shared" si="31"/>
        <v>#N/A</v>
      </c>
      <c r="V138" t="e">
        <f t="shared" si="32"/>
        <v>#N/A</v>
      </c>
      <c r="W138" t="e">
        <f t="shared" si="33"/>
        <v>#N/A</v>
      </c>
      <c r="X138" t="e">
        <f t="shared" si="34"/>
        <v>#N/A</v>
      </c>
      <c r="Y138" t="e">
        <f t="shared" si="35"/>
        <v>#N/A</v>
      </c>
      <c r="Z138" t="e">
        <f t="shared" si="36"/>
        <v>#N/A</v>
      </c>
    </row>
  </sheetData>
  <autoFilter ref="A1:X110">
    <filterColumn colId="3">
      <filters>
        <filter val="v504"/>
        <filter val="v510"/>
        <filter val="v630"/>
        <filter val="v804"/>
        <filter val="v810"/>
        <filter val="v904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22" workbookViewId="0">
      <selection activeCell="C29" sqref="C29"/>
    </sheetView>
  </sheetViews>
  <sheetFormatPr defaultColWidth="8.85546875" defaultRowHeight="16.5"/>
  <cols>
    <col min="1" max="1" width="26.5703125" style="93" customWidth="1"/>
    <col min="2" max="2" width="16.28515625" style="93" customWidth="1"/>
    <col min="3" max="3" width="26.85546875" style="93" customWidth="1"/>
    <col min="4" max="4" width="25.42578125" style="93" bestFit="1" customWidth="1"/>
    <col min="5" max="5" width="46.5703125" style="93" bestFit="1" customWidth="1"/>
    <col min="6" max="16384" width="8.85546875" style="93"/>
  </cols>
  <sheetData>
    <row r="1" spans="1:5">
      <c r="A1" s="92" t="s">
        <v>199</v>
      </c>
      <c r="B1" s="92" t="s">
        <v>200</v>
      </c>
      <c r="C1" s="92" t="s">
        <v>201</v>
      </c>
      <c r="D1" s="92" t="s">
        <v>202</v>
      </c>
      <c r="E1" s="92" t="s">
        <v>203</v>
      </c>
    </row>
    <row r="2" spans="1:5">
      <c r="A2" s="93" t="s">
        <v>204</v>
      </c>
      <c r="B2" s="93" t="s">
        <v>205</v>
      </c>
      <c r="C2" s="93" t="s">
        <v>206</v>
      </c>
      <c r="D2" s="93" t="s">
        <v>207</v>
      </c>
    </row>
    <row r="3" spans="1:5">
      <c r="A3" s="93" t="s">
        <v>208</v>
      </c>
      <c r="B3" s="93" t="s">
        <v>209</v>
      </c>
      <c r="C3" s="93" t="s">
        <v>209</v>
      </c>
      <c r="D3" s="93" t="s">
        <v>207</v>
      </c>
      <c r="E3" s="93" t="s">
        <v>210</v>
      </c>
    </row>
    <row r="4" spans="1:5">
      <c r="A4" s="93" t="s">
        <v>211</v>
      </c>
      <c r="B4" s="93" t="s">
        <v>209</v>
      </c>
      <c r="C4" s="93" t="s">
        <v>209</v>
      </c>
      <c r="D4" s="93" t="s">
        <v>207</v>
      </c>
      <c r="E4" s="93" t="s">
        <v>210</v>
      </c>
    </row>
    <row r="5" spans="1:5">
      <c r="A5" s="93" t="s">
        <v>212</v>
      </c>
      <c r="B5" s="93" t="s">
        <v>213</v>
      </c>
      <c r="C5" s="93" t="s">
        <v>213</v>
      </c>
      <c r="D5" s="93" t="s">
        <v>207</v>
      </c>
    </row>
    <row r="6" spans="1:5">
      <c r="A6" s="93" t="s">
        <v>214</v>
      </c>
      <c r="B6" s="93" t="s">
        <v>213</v>
      </c>
      <c r="C6" s="93" t="s">
        <v>213</v>
      </c>
      <c r="D6" s="93" t="s">
        <v>207</v>
      </c>
    </row>
    <row r="7" spans="1:5">
      <c r="A7" s="93" t="s">
        <v>215</v>
      </c>
      <c r="B7" s="93" t="s">
        <v>205</v>
      </c>
      <c r="C7" s="93" t="s">
        <v>206</v>
      </c>
      <c r="D7" s="93" t="s">
        <v>207</v>
      </c>
    </row>
    <row r="8" spans="1:5">
      <c r="A8" s="93" t="s">
        <v>216</v>
      </c>
      <c r="B8" s="93" t="s">
        <v>205</v>
      </c>
      <c r="C8" s="93" t="s">
        <v>206</v>
      </c>
      <c r="D8" s="93" t="s">
        <v>207</v>
      </c>
    </row>
    <row r="9" spans="1:5">
      <c r="A9" s="93" t="s">
        <v>217</v>
      </c>
      <c r="B9" s="93" t="s">
        <v>213</v>
      </c>
      <c r="C9" s="93" t="s">
        <v>213</v>
      </c>
      <c r="D9" s="93" t="s">
        <v>207</v>
      </c>
    </row>
    <row r="10" spans="1:5">
      <c r="A10" s="93" t="s">
        <v>218</v>
      </c>
      <c r="B10" s="93" t="s">
        <v>213</v>
      </c>
      <c r="C10" s="93" t="s">
        <v>213</v>
      </c>
      <c r="D10" s="93" t="s">
        <v>207</v>
      </c>
    </row>
    <row r="11" spans="1:5">
      <c r="A11" s="93" t="s">
        <v>219</v>
      </c>
      <c r="B11" s="93" t="s">
        <v>213</v>
      </c>
      <c r="C11" s="93" t="s">
        <v>213</v>
      </c>
      <c r="D11" s="93" t="s">
        <v>207</v>
      </c>
    </row>
    <row r="12" spans="1:5">
      <c r="A12" s="93" t="s">
        <v>220</v>
      </c>
      <c r="B12" s="93" t="s">
        <v>213</v>
      </c>
      <c r="C12" s="93" t="s">
        <v>213</v>
      </c>
      <c r="D12" s="93" t="s">
        <v>207</v>
      </c>
    </row>
    <row r="13" spans="1:5">
      <c r="A13" s="93" t="s">
        <v>221</v>
      </c>
      <c r="B13" s="93" t="s">
        <v>209</v>
      </c>
      <c r="C13" s="93" t="s">
        <v>206</v>
      </c>
      <c r="D13" s="93" t="s">
        <v>207</v>
      </c>
    </row>
    <row r="14" spans="1:5">
      <c r="A14" s="93" t="s">
        <v>222</v>
      </c>
      <c r="B14" s="93" t="s">
        <v>209</v>
      </c>
      <c r="C14" s="93" t="s">
        <v>223</v>
      </c>
      <c r="D14" s="93" t="s">
        <v>207</v>
      </c>
    </row>
    <row r="15" spans="1:5">
      <c r="A15" s="93" t="s">
        <v>224</v>
      </c>
      <c r="B15" s="93" t="s">
        <v>225</v>
      </c>
      <c r="C15" s="93" t="s">
        <v>206</v>
      </c>
      <c r="D15" s="93" t="s">
        <v>207</v>
      </c>
    </row>
    <row r="16" spans="1:5">
      <c r="A16" s="93" t="s">
        <v>136</v>
      </c>
      <c r="B16" s="93" t="s">
        <v>226</v>
      </c>
      <c r="C16" s="93" t="s">
        <v>206</v>
      </c>
      <c r="D16" s="93" t="s">
        <v>207</v>
      </c>
    </row>
    <row r="17" spans="1:4">
      <c r="A17" s="93" t="s">
        <v>227</v>
      </c>
      <c r="B17" s="93" t="s">
        <v>213</v>
      </c>
      <c r="C17" s="93" t="s">
        <v>213</v>
      </c>
      <c r="D17" s="93" t="s">
        <v>207</v>
      </c>
    </row>
    <row r="18" spans="1:4">
      <c r="A18" s="93" t="s">
        <v>228</v>
      </c>
      <c r="B18" s="93" t="s">
        <v>213</v>
      </c>
      <c r="C18" s="93" t="s">
        <v>213</v>
      </c>
      <c r="D18" s="93" t="s">
        <v>207</v>
      </c>
    </row>
    <row r="19" spans="1:4">
      <c r="A19" s="93" t="s">
        <v>229</v>
      </c>
      <c r="B19" s="93" t="s">
        <v>209</v>
      </c>
      <c r="C19" s="93" t="s">
        <v>206</v>
      </c>
      <c r="D19" s="93" t="s">
        <v>207</v>
      </c>
    </row>
    <row r="20" spans="1:4">
      <c r="A20" s="93" t="s">
        <v>230</v>
      </c>
      <c r="B20" s="93" t="s">
        <v>209</v>
      </c>
      <c r="C20" s="93" t="s">
        <v>223</v>
      </c>
      <c r="D20" s="93" t="s">
        <v>207</v>
      </c>
    </row>
    <row r="24" spans="1:4">
      <c r="A24" s="94" t="s">
        <v>231</v>
      </c>
    </row>
    <row r="25" spans="1:4">
      <c r="A25" s="93" t="s">
        <v>232</v>
      </c>
      <c r="B25" s="93" t="s">
        <v>233</v>
      </c>
      <c r="C25" s="93" t="s">
        <v>234</v>
      </c>
    </row>
    <row r="26" spans="1:4">
      <c r="A26" s="93" t="s">
        <v>63</v>
      </c>
      <c r="B26" s="93" t="s">
        <v>235</v>
      </c>
      <c r="C26" s="93" t="s">
        <v>65</v>
      </c>
    </row>
    <row r="27" spans="1:4">
      <c r="A27" s="93" t="s">
        <v>236</v>
      </c>
      <c r="B27" s="93" t="s">
        <v>235</v>
      </c>
      <c r="C27" s="93" t="s">
        <v>82</v>
      </c>
    </row>
    <row r="28" spans="1:4">
      <c r="A28" s="93" t="s">
        <v>158</v>
      </c>
      <c r="B28" s="93" t="s">
        <v>235</v>
      </c>
      <c r="C28" s="93" t="s">
        <v>159</v>
      </c>
    </row>
    <row r="29" spans="1:4">
      <c r="A29" s="93" t="s">
        <v>8</v>
      </c>
      <c r="B29" s="93" t="s">
        <v>235</v>
      </c>
      <c r="C29" s="93" t="s">
        <v>237</v>
      </c>
    </row>
    <row r="30" spans="1:4">
      <c r="A30" s="93" t="s">
        <v>66</v>
      </c>
      <c r="B30" s="93" t="s">
        <v>238</v>
      </c>
      <c r="C30" s="93" t="s">
        <v>239</v>
      </c>
    </row>
    <row r="31" spans="1:4">
      <c r="A31" s="93" t="s">
        <v>71</v>
      </c>
      <c r="B31" s="93" t="s">
        <v>238</v>
      </c>
      <c r="C31" s="93" t="s">
        <v>70</v>
      </c>
    </row>
    <row r="32" spans="1:4">
      <c r="A32" s="93" t="s">
        <v>240</v>
      </c>
      <c r="B32" s="93" t="s">
        <v>238</v>
      </c>
      <c r="C32" s="93" t="s">
        <v>198</v>
      </c>
    </row>
    <row r="33" spans="1:3">
      <c r="A33" s="93" t="s">
        <v>241</v>
      </c>
      <c r="B33" s="93" t="s">
        <v>242</v>
      </c>
      <c r="C33" s="93" t="s">
        <v>243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>
      <selection activeCell="D8" sqref="D8"/>
    </sheetView>
  </sheetViews>
  <sheetFormatPr defaultColWidth="8.7109375" defaultRowHeight="15.75"/>
  <cols>
    <col min="1" max="1" width="20.7109375" bestFit="1" customWidth="1"/>
    <col min="2" max="2" width="15.42578125" customWidth="1"/>
    <col min="6" max="6" width="50.7109375" bestFit="1" customWidth="1"/>
  </cols>
  <sheetData>
    <row r="1" spans="1:6">
      <c r="A1" t="s">
        <v>84</v>
      </c>
      <c r="B1" s="18" t="s">
        <v>85</v>
      </c>
      <c r="D1" t="s">
        <v>349</v>
      </c>
      <c r="E1" t="s">
        <v>191</v>
      </c>
    </row>
    <row r="2" spans="1:6">
      <c r="A2" t="s">
        <v>86</v>
      </c>
      <c r="B2">
        <v>21</v>
      </c>
      <c r="D2">
        <f>E3-E2</f>
        <v>1</v>
      </c>
      <c r="E2" t="str">
        <f>MID(F2,1,5)</f>
        <v>32000</v>
      </c>
      <c r="F2" t="s">
        <v>298</v>
      </c>
    </row>
    <row r="3" spans="1:6">
      <c r="A3" t="s">
        <v>87</v>
      </c>
      <c r="B3" s="18" t="s">
        <v>83</v>
      </c>
      <c r="D3">
        <f t="shared" ref="D3:D60" si="0">E4-E3</f>
        <v>1</v>
      </c>
      <c r="E3" t="str">
        <f t="shared" ref="E3:E61" si="1">MID(F3,1,5)</f>
        <v>32001</v>
      </c>
      <c r="F3" t="s">
        <v>344</v>
      </c>
    </row>
    <row r="4" spans="1:6">
      <c r="D4">
        <f t="shared" si="0"/>
        <v>2</v>
      </c>
      <c r="E4" t="str">
        <f t="shared" si="1"/>
        <v>32002</v>
      </c>
      <c r="F4" t="s">
        <v>291</v>
      </c>
    </row>
    <row r="5" spans="1:6">
      <c r="D5">
        <f t="shared" si="0"/>
        <v>5</v>
      </c>
      <c r="E5" t="str">
        <f t="shared" si="1"/>
        <v>32004</v>
      </c>
      <c r="F5" t="s">
        <v>345</v>
      </c>
    </row>
    <row r="6" spans="1:6">
      <c r="D6">
        <f t="shared" si="0"/>
        <v>1</v>
      </c>
      <c r="E6" t="str">
        <f t="shared" si="1"/>
        <v>32009</v>
      </c>
      <c r="F6" t="s">
        <v>297</v>
      </c>
    </row>
    <row r="7" spans="1:6">
      <c r="D7">
        <f t="shared" si="0"/>
        <v>1</v>
      </c>
      <c r="E7" t="str">
        <f t="shared" si="1"/>
        <v>32010</v>
      </c>
      <c r="F7" t="s">
        <v>282</v>
      </c>
    </row>
    <row r="8" spans="1:6">
      <c r="D8">
        <f t="shared" si="0"/>
        <v>2</v>
      </c>
      <c r="E8" t="str">
        <f t="shared" si="1"/>
        <v>32011</v>
      </c>
      <c r="F8" t="s">
        <v>280</v>
      </c>
    </row>
    <row r="9" spans="1:6">
      <c r="D9">
        <f t="shared" si="0"/>
        <v>1</v>
      </c>
      <c r="E9" t="str">
        <f t="shared" si="1"/>
        <v>32013</v>
      </c>
      <c r="F9" t="s">
        <v>287</v>
      </c>
    </row>
    <row r="10" spans="1:6">
      <c r="D10">
        <f t="shared" si="0"/>
        <v>1</v>
      </c>
      <c r="E10" t="str">
        <f t="shared" si="1"/>
        <v>32014</v>
      </c>
      <c r="F10" t="s">
        <v>340</v>
      </c>
    </row>
    <row r="11" spans="1:6">
      <c r="D11">
        <f t="shared" si="0"/>
        <v>1</v>
      </c>
      <c r="E11" t="str">
        <f t="shared" si="1"/>
        <v>32015</v>
      </c>
      <c r="F11" t="s">
        <v>330</v>
      </c>
    </row>
    <row r="12" spans="1:6">
      <c r="D12">
        <f t="shared" si="0"/>
        <v>1</v>
      </c>
      <c r="E12" t="str">
        <f t="shared" si="1"/>
        <v>32016</v>
      </c>
      <c r="F12" t="s">
        <v>332</v>
      </c>
    </row>
    <row r="13" spans="1:6">
      <c r="D13">
        <f t="shared" si="0"/>
        <v>1</v>
      </c>
      <c r="E13" t="str">
        <f t="shared" si="1"/>
        <v>32017</v>
      </c>
      <c r="F13" t="s">
        <v>331</v>
      </c>
    </row>
    <row r="14" spans="1:6">
      <c r="D14">
        <f t="shared" si="0"/>
        <v>1</v>
      </c>
      <c r="E14" t="str">
        <f t="shared" si="1"/>
        <v>32018</v>
      </c>
      <c r="F14" t="s">
        <v>333</v>
      </c>
    </row>
    <row r="15" spans="1:6">
      <c r="D15">
        <f t="shared" si="0"/>
        <v>2</v>
      </c>
      <c r="E15" t="str">
        <f t="shared" si="1"/>
        <v>32019</v>
      </c>
      <c r="F15" t="s">
        <v>286</v>
      </c>
    </row>
    <row r="16" spans="1:6">
      <c r="D16">
        <f t="shared" si="0"/>
        <v>2</v>
      </c>
      <c r="E16" t="str">
        <f t="shared" si="1"/>
        <v>32021</v>
      </c>
      <c r="F16" t="s">
        <v>346</v>
      </c>
    </row>
    <row r="17" spans="4:6">
      <c r="D17">
        <f t="shared" si="0"/>
        <v>2</v>
      </c>
      <c r="E17" t="str">
        <f t="shared" si="1"/>
        <v>32023</v>
      </c>
      <c r="F17" t="s">
        <v>348</v>
      </c>
    </row>
    <row r="18" spans="4:6">
      <c r="D18">
        <f t="shared" si="0"/>
        <v>1</v>
      </c>
      <c r="E18" t="str">
        <f t="shared" si="1"/>
        <v>32025</v>
      </c>
      <c r="F18" t="s">
        <v>285</v>
      </c>
    </row>
    <row r="19" spans="4:6">
      <c r="D19">
        <f t="shared" si="0"/>
        <v>1</v>
      </c>
      <c r="E19" t="str">
        <f t="shared" si="1"/>
        <v>32026</v>
      </c>
      <c r="F19" t="s">
        <v>281</v>
      </c>
    </row>
    <row r="20" spans="4:6">
      <c r="D20">
        <f t="shared" si="0"/>
        <v>1</v>
      </c>
      <c r="E20" t="str">
        <f t="shared" si="1"/>
        <v>32027</v>
      </c>
      <c r="F20" t="s">
        <v>329</v>
      </c>
    </row>
    <row r="21" spans="4:6">
      <c r="D21">
        <f t="shared" si="0"/>
        <v>1</v>
      </c>
      <c r="E21" t="str">
        <f t="shared" si="1"/>
        <v>32028</v>
      </c>
      <c r="F21" t="s">
        <v>283</v>
      </c>
    </row>
    <row r="22" spans="4:6">
      <c r="D22">
        <f t="shared" si="0"/>
        <v>1</v>
      </c>
      <c r="E22" t="str">
        <f t="shared" si="1"/>
        <v>32029</v>
      </c>
      <c r="F22" t="s">
        <v>288</v>
      </c>
    </row>
    <row r="23" spans="4:6">
      <c r="D23">
        <f t="shared" si="0"/>
        <v>1</v>
      </c>
      <c r="E23" t="str">
        <f t="shared" si="1"/>
        <v>32030</v>
      </c>
      <c r="F23" t="s">
        <v>292</v>
      </c>
    </row>
    <row r="24" spans="4:6">
      <c r="D24">
        <f t="shared" si="0"/>
        <v>170</v>
      </c>
      <c r="E24" t="str">
        <f t="shared" si="1"/>
        <v>32031</v>
      </c>
      <c r="F24" t="s">
        <v>290</v>
      </c>
    </row>
    <row r="25" spans="4:6">
      <c r="D25">
        <f t="shared" si="0"/>
        <v>1</v>
      </c>
      <c r="E25" t="str">
        <f t="shared" si="1"/>
        <v>32201</v>
      </c>
      <c r="F25" t="s">
        <v>299</v>
      </c>
    </row>
    <row r="26" spans="4:6">
      <c r="D26">
        <f t="shared" si="0"/>
        <v>1</v>
      </c>
      <c r="E26" t="str">
        <f t="shared" si="1"/>
        <v>32202</v>
      </c>
      <c r="F26" t="s">
        <v>300</v>
      </c>
    </row>
    <row r="27" spans="4:6">
      <c r="D27">
        <f t="shared" si="0"/>
        <v>1</v>
      </c>
      <c r="E27" t="str">
        <f t="shared" si="1"/>
        <v>32203</v>
      </c>
      <c r="F27" t="s">
        <v>301</v>
      </c>
    </row>
    <row r="28" spans="4:6">
      <c r="D28">
        <f t="shared" si="0"/>
        <v>1</v>
      </c>
      <c r="E28" t="str">
        <f t="shared" si="1"/>
        <v>32204</v>
      </c>
      <c r="F28" t="s">
        <v>302</v>
      </c>
    </row>
    <row r="29" spans="4:6">
      <c r="D29">
        <f t="shared" si="0"/>
        <v>1</v>
      </c>
      <c r="E29" t="str">
        <f t="shared" si="1"/>
        <v>32205</v>
      </c>
      <c r="F29" t="s">
        <v>303</v>
      </c>
    </row>
    <row r="30" spans="4:6">
      <c r="D30">
        <f t="shared" si="0"/>
        <v>1</v>
      </c>
      <c r="E30" t="str">
        <f t="shared" si="1"/>
        <v>32206</v>
      </c>
      <c r="F30" t="s">
        <v>304</v>
      </c>
    </row>
    <row r="31" spans="4:6">
      <c r="D31">
        <f t="shared" si="0"/>
        <v>1</v>
      </c>
      <c r="E31" t="str">
        <f t="shared" si="1"/>
        <v>32207</v>
      </c>
      <c r="F31" t="s">
        <v>305</v>
      </c>
    </row>
    <row r="32" spans="4:6">
      <c r="D32">
        <f t="shared" si="0"/>
        <v>1</v>
      </c>
      <c r="E32" t="str">
        <f t="shared" si="1"/>
        <v>32208</v>
      </c>
      <c r="F32" t="s">
        <v>306</v>
      </c>
    </row>
    <row r="33" spans="4:6">
      <c r="D33">
        <f t="shared" si="0"/>
        <v>1</v>
      </c>
      <c r="E33" t="str">
        <f t="shared" si="1"/>
        <v>32209</v>
      </c>
      <c r="F33" t="s">
        <v>307</v>
      </c>
    </row>
    <row r="34" spans="4:6">
      <c r="D34">
        <f t="shared" si="0"/>
        <v>1</v>
      </c>
      <c r="E34" t="str">
        <f t="shared" si="1"/>
        <v>32210</v>
      </c>
      <c r="F34" t="s">
        <v>308</v>
      </c>
    </row>
    <row r="35" spans="4:6">
      <c r="D35">
        <f t="shared" si="0"/>
        <v>1</v>
      </c>
      <c r="E35" t="str">
        <f t="shared" si="1"/>
        <v>32211</v>
      </c>
      <c r="F35" t="s">
        <v>284</v>
      </c>
    </row>
    <row r="36" spans="4:6">
      <c r="D36">
        <f t="shared" si="0"/>
        <v>2</v>
      </c>
      <c r="E36" t="str">
        <f t="shared" si="1"/>
        <v>32212</v>
      </c>
      <c r="F36" t="s">
        <v>309</v>
      </c>
    </row>
    <row r="37" spans="4:6">
      <c r="D37">
        <f t="shared" si="0"/>
        <v>1</v>
      </c>
      <c r="E37" t="str">
        <f t="shared" si="1"/>
        <v>32214</v>
      </c>
      <c r="F37" t="s">
        <v>311</v>
      </c>
    </row>
    <row r="38" spans="4:6">
      <c r="D38">
        <f t="shared" si="0"/>
        <v>1</v>
      </c>
      <c r="E38" t="str">
        <f t="shared" si="1"/>
        <v>32215</v>
      </c>
      <c r="F38" t="s">
        <v>310</v>
      </c>
    </row>
    <row r="39" spans="4:6">
      <c r="D39">
        <f t="shared" si="0"/>
        <v>2</v>
      </c>
      <c r="E39" t="str">
        <f t="shared" si="1"/>
        <v>32216</v>
      </c>
      <c r="F39" t="s">
        <v>347</v>
      </c>
    </row>
    <row r="40" spans="4:6">
      <c r="D40">
        <f t="shared" si="0"/>
        <v>1</v>
      </c>
      <c r="E40" t="str">
        <f t="shared" si="1"/>
        <v>32218</v>
      </c>
      <c r="F40" t="s">
        <v>339</v>
      </c>
    </row>
    <row r="41" spans="4:6">
      <c r="D41">
        <f t="shared" si="0"/>
        <v>82</v>
      </c>
      <c r="E41" t="str">
        <f t="shared" si="1"/>
        <v>32219</v>
      </c>
      <c r="F41" t="s">
        <v>334</v>
      </c>
    </row>
    <row r="42" spans="4:6">
      <c r="D42">
        <f t="shared" si="0"/>
        <v>1</v>
      </c>
      <c r="E42" t="str">
        <f t="shared" si="1"/>
        <v>32301</v>
      </c>
      <c r="F42" t="s">
        <v>313</v>
      </c>
    </row>
    <row r="43" spans="4:6">
      <c r="D43">
        <f t="shared" si="0"/>
        <v>5</v>
      </c>
      <c r="E43" t="str">
        <f t="shared" si="1"/>
        <v>32302</v>
      </c>
      <c r="F43" t="s">
        <v>314</v>
      </c>
    </row>
    <row r="44" spans="4:6">
      <c r="D44">
        <f t="shared" si="0"/>
        <v>1</v>
      </c>
      <c r="E44" t="str">
        <f t="shared" si="1"/>
        <v>32307</v>
      </c>
      <c r="F44" t="s">
        <v>315</v>
      </c>
    </row>
    <row r="45" spans="4:6">
      <c r="D45">
        <f t="shared" si="0"/>
        <v>1</v>
      </c>
      <c r="E45" t="str">
        <f t="shared" si="1"/>
        <v>32308</v>
      </c>
      <c r="F45" t="s">
        <v>316</v>
      </c>
    </row>
    <row r="46" spans="4:6">
      <c r="D46">
        <f t="shared" si="0"/>
        <v>1</v>
      </c>
      <c r="E46" t="str">
        <f t="shared" si="1"/>
        <v>32309</v>
      </c>
      <c r="F46" t="s">
        <v>317</v>
      </c>
    </row>
    <row r="47" spans="4:6">
      <c r="D47">
        <f t="shared" si="0"/>
        <v>1</v>
      </c>
      <c r="E47" t="str">
        <f t="shared" si="1"/>
        <v>32310</v>
      </c>
      <c r="F47" t="s">
        <v>318</v>
      </c>
    </row>
    <row r="48" spans="4:6">
      <c r="D48">
        <f t="shared" si="0"/>
        <v>1</v>
      </c>
      <c r="E48" t="str">
        <f t="shared" si="1"/>
        <v>32311</v>
      </c>
      <c r="F48" t="s">
        <v>312</v>
      </c>
    </row>
    <row r="49" spans="4:6">
      <c r="D49">
        <f t="shared" si="0"/>
        <v>1</v>
      </c>
      <c r="E49" t="str">
        <f t="shared" si="1"/>
        <v>32312</v>
      </c>
      <c r="F49" t="s">
        <v>324</v>
      </c>
    </row>
    <row r="50" spans="4:6">
      <c r="D50">
        <f t="shared" si="0"/>
        <v>1</v>
      </c>
      <c r="E50" t="str">
        <f t="shared" si="1"/>
        <v>32313</v>
      </c>
      <c r="F50" t="s">
        <v>325</v>
      </c>
    </row>
    <row r="51" spans="4:6">
      <c r="D51">
        <f t="shared" si="0"/>
        <v>1</v>
      </c>
      <c r="E51" t="str">
        <f t="shared" si="1"/>
        <v>32314</v>
      </c>
      <c r="F51" t="s">
        <v>326</v>
      </c>
    </row>
    <row r="52" spans="4:6">
      <c r="D52">
        <f t="shared" si="0"/>
        <v>1</v>
      </c>
      <c r="E52" t="str">
        <f t="shared" si="1"/>
        <v>32315</v>
      </c>
      <c r="F52" t="s">
        <v>327</v>
      </c>
    </row>
    <row r="53" spans="4:6">
      <c r="D53">
        <f t="shared" si="0"/>
        <v>1</v>
      </c>
      <c r="E53" t="str">
        <f t="shared" si="1"/>
        <v>32316</v>
      </c>
      <c r="F53" t="s">
        <v>328</v>
      </c>
    </row>
    <row r="54" spans="4:6">
      <c r="D54">
        <f t="shared" si="0"/>
        <v>1</v>
      </c>
      <c r="E54" t="str">
        <f t="shared" si="1"/>
        <v>32317</v>
      </c>
      <c r="F54" t="s">
        <v>335</v>
      </c>
    </row>
    <row r="55" spans="4:6">
      <c r="D55">
        <f t="shared" si="0"/>
        <v>1</v>
      </c>
      <c r="E55" t="str">
        <f t="shared" si="1"/>
        <v>32318</v>
      </c>
      <c r="F55" t="s">
        <v>342</v>
      </c>
    </row>
    <row r="56" spans="4:6">
      <c r="D56">
        <f t="shared" si="0"/>
        <v>81</v>
      </c>
      <c r="E56" t="str">
        <f t="shared" si="1"/>
        <v>32319</v>
      </c>
      <c r="F56" t="s">
        <v>343</v>
      </c>
    </row>
    <row r="57" spans="4:6">
      <c r="D57">
        <f t="shared" si="0"/>
        <v>1</v>
      </c>
      <c r="E57" t="str">
        <f t="shared" si="1"/>
        <v>32400</v>
      </c>
      <c r="F57" t="s">
        <v>289</v>
      </c>
    </row>
    <row r="58" spans="4:6">
      <c r="D58">
        <f t="shared" si="0"/>
        <v>1</v>
      </c>
      <c r="E58" t="str">
        <f t="shared" si="1"/>
        <v>32401</v>
      </c>
      <c r="F58" t="s">
        <v>293</v>
      </c>
    </row>
    <row r="59" spans="4:6">
      <c r="D59">
        <f t="shared" si="0"/>
        <v>1</v>
      </c>
      <c r="E59" t="str">
        <f t="shared" si="1"/>
        <v>32402</v>
      </c>
      <c r="F59" t="s">
        <v>294</v>
      </c>
    </row>
    <row r="60" spans="4:6">
      <c r="D60">
        <f t="shared" si="0"/>
        <v>1</v>
      </c>
      <c r="E60" t="str">
        <f t="shared" si="1"/>
        <v>32403</v>
      </c>
      <c r="F60" t="s">
        <v>295</v>
      </c>
    </row>
    <row r="61" spans="4:6">
      <c r="E61" t="str">
        <f t="shared" si="1"/>
        <v>32404</v>
      </c>
      <c r="F61" t="s">
        <v>296</v>
      </c>
    </row>
    <row r="62" spans="4:6">
      <c r="F62" t="s">
        <v>319</v>
      </c>
    </row>
    <row r="63" spans="4:6">
      <c r="F63" t="s">
        <v>320</v>
      </c>
    </row>
    <row r="64" spans="4:6">
      <c r="F64" t="s">
        <v>321</v>
      </c>
    </row>
    <row r="65" spans="5:6">
      <c r="F65" t="s">
        <v>322</v>
      </c>
    </row>
    <row r="66" spans="5:6">
      <c r="F66" t="s">
        <v>323</v>
      </c>
    </row>
    <row r="67" spans="5:6">
      <c r="F67" t="s">
        <v>336</v>
      </c>
    </row>
    <row r="68" spans="5:6">
      <c r="F68" t="s">
        <v>337</v>
      </c>
    </row>
    <row r="69" spans="5:6">
      <c r="F69" t="s">
        <v>338</v>
      </c>
    </row>
    <row r="70" spans="5:6">
      <c r="F70" t="s">
        <v>341</v>
      </c>
    </row>
    <row r="71" spans="5:6">
      <c r="E71" t="str">
        <f t="shared" ref="E71:E76" si="2">MID(F71,1,5)</f>
        <v/>
      </c>
    </row>
    <row r="72" spans="5:6">
      <c r="E72" t="str">
        <f t="shared" si="2"/>
        <v/>
      </c>
    </row>
    <row r="73" spans="5:6">
      <c r="E73" t="str">
        <f t="shared" si="2"/>
        <v/>
      </c>
    </row>
    <row r="74" spans="5:6">
      <c r="E74" t="str">
        <f t="shared" si="2"/>
        <v/>
      </c>
    </row>
    <row r="75" spans="5:6">
      <c r="E75" t="str">
        <f t="shared" si="2"/>
        <v/>
      </c>
    </row>
    <row r="76" spans="5:6">
      <c r="E76" t="str">
        <f t="shared" si="2"/>
        <v/>
      </c>
    </row>
  </sheetData>
  <sortState ref="F2:F70">
    <sortCondition ref="F2"/>
  </sortState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F56" sqref="F56"/>
    </sheetView>
  </sheetViews>
  <sheetFormatPr defaultRowHeight="15.75"/>
  <cols>
    <col min="2" max="2" width="7" bestFit="1" customWidth="1"/>
    <col min="3" max="3" width="43.140625" bestFit="1" customWidth="1"/>
    <col min="4" max="4" width="5.140625" bestFit="1" customWidth="1"/>
    <col min="5" max="5" width="51.7109375" customWidth="1"/>
    <col min="6" max="6" width="44.7109375" bestFit="1" customWidth="1"/>
  </cols>
  <sheetData>
    <row r="1" spans="1:7">
      <c r="A1" t="s">
        <v>270</v>
      </c>
      <c r="B1">
        <v>31009</v>
      </c>
      <c r="C1" t="s">
        <v>11</v>
      </c>
      <c r="D1" t="s">
        <v>68</v>
      </c>
      <c r="E1" t="str">
        <f>VLOOKUP(C1,svc!I:I,1,FALSE)</f>
        <v>accmgt_api</v>
      </c>
      <c r="F1" t="str">
        <f>VLOOKUP(B1,svc!G:I,3,FALSE)</f>
        <v>accmgt_api</v>
      </c>
      <c r="G1" t="str">
        <f>IF(E1=F1,"","XXX")</f>
        <v/>
      </c>
    </row>
    <row r="2" spans="1:7">
      <c r="A2" t="s">
        <v>270</v>
      </c>
      <c r="B2">
        <v>31000</v>
      </c>
      <c r="C2" t="s">
        <v>10</v>
      </c>
      <c r="D2" t="s">
        <v>68</v>
      </c>
      <c r="E2" t="str">
        <f>VLOOKUP(C2,svc!I:I,1,FALSE)</f>
        <v>auth_api</v>
      </c>
      <c r="F2" t="str">
        <f>VLOOKUP(B2,svc!G:I,3,FALSE)</f>
        <v>auth_api</v>
      </c>
      <c r="G2" t="str">
        <f t="shared" ref="G2:G61" si="0">IF(E2=F2,"","XXX")</f>
        <v/>
      </c>
    </row>
    <row r="3" spans="1:7">
      <c r="A3" t="s">
        <v>270</v>
      </c>
      <c r="B3">
        <v>31201</v>
      </c>
      <c r="C3" t="s">
        <v>27</v>
      </c>
      <c r="D3" t="s">
        <v>68</v>
      </c>
      <c r="E3" t="str">
        <f>VLOOKUP(C3,svc!I:I,1,FALSE)</f>
        <v>bes_acc_im001_fft_account_registration</v>
      </c>
      <c r="F3" t="str">
        <f>VLOOKUP(B3,svc!G:I,3,FALSE)</f>
        <v>bes_acc_im001_fft_account_registration</v>
      </c>
      <c r="G3" t="str">
        <f t="shared" si="0"/>
        <v/>
      </c>
    </row>
    <row r="4" spans="1:7">
      <c r="A4" t="s">
        <v>270</v>
      </c>
      <c r="B4">
        <v>31202</v>
      </c>
      <c r="C4" t="s">
        <v>28</v>
      </c>
      <c r="D4" t="s">
        <v>68</v>
      </c>
      <c r="E4" t="str">
        <f>VLOOKUP(C4,svc!I:I,1,FALSE)</f>
        <v>bes_acc_im002_fft_vehicle_management</v>
      </c>
      <c r="F4" t="str">
        <f>VLOOKUP(B4,svc!G:I,3,FALSE)</f>
        <v>bes_acc_im002_fft_vehicle_management</v>
      </c>
      <c r="G4" t="str">
        <f t="shared" si="0"/>
        <v/>
      </c>
    </row>
    <row r="5" spans="1:7">
      <c r="A5" t="s">
        <v>270</v>
      </c>
      <c r="B5">
        <v>31203</v>
      </c>
      <c r="C5" t="s">
        <v>29</v>
      </c>
      <c r="D5" t="s">
        <v>68</v>
      </c>
      <c r="E5" t="str">
        <f>VLOOKUP(C5,svc!I:I,1,FALSE)</f>
        <v>bes_acc_im003_fft_vehicle_group_management</v>
      </c>
      <c r="F5" t="str">
        <f>VLOOKUP(B5,svc!G:I,3,FALSE)</f>
        <v>bes_acc_im003_fft_vehicle_group_management</v>
      </c>
      <c r="G5" t="str">
        <f t="shared" si="0"/>
        <v/>
      </c>
    </row>
    <row r="6" spans="1:7">
      <c r="A6" t="s">
        <v>270</v>
      </c>
      <c r="B6">
        <v>31204</v>
      </c>
      <c r="C6" t="s">
        <v>30</v>
      </c>
      <c r="D6" t="s">
        <v>68</v>
      </c>
      <c r="E6" t="str">
        <f>VLOOKUP(C6,svc!I:I,1,FALSE)</f>
        <v>bes_acc_im004_fft_account_search</v>
      </c>
      <c r="F6" t="str">
        <f>VLOOKUP(B6,svc!G:I,3,FALSE)</f>
        <v>bes_acc_im004_fft_account_search</v>
      </c>
      <c r="G6" t="str">
        <f t="shared" si="0"/>
        <v/>
      </c>
    </row>
    <row r="7" spans="1:7">
      <c r="A7" t="s">
        <v>270</v>
      </c>
      <c r="B7">
        <v>31205</v>
      </c>
      <c r="C7" t="s">
        <v>31</v>
      </c>
      <c r="D7" t="s">
        <v>68</v>
      </c>
      <c r="E7" t="str">
        <f>VLOOKUP(C7,svc!I:I,1,FALSE)</f>
        <v>bes_acc_im005_fft_driver_approval</v>
      </c>
      <c r="F7" t="str">
        <f>VLOOKUP(B7,svc!G:I,3,FALSE)</f>
        <v>bes_acc_im005_fft_driver_approval</v>
      </c>
      <c r="G7" t="str">
        <f t="shared" si="0"/>
        <v/>
      </c>
    </row>
    <row r="8" spans="1:7">
      <c r="A8" t="s">
        <v>270</v>
      </c>
      <c r="B8">
        <v>31206</v>
      </c>
      <c r="C8" t="s">
        <v>32</v>
      </c>
      <c r="D8" t="s">
        <v>68</v>
      </c>
      <c r="E8" t="str">
        <f>VLOOKUP(C8,svc!I:I,1,FALSE)</f>
        <v>bes_acc_im006_fft_account_management</v>
      </c>
      <c r="F8" t="str">
        <f>VLOOKUP(B8,svc!G:I,3,FALSE)</f>
        <v>bes_acc_im006_fft_account_management</v>
      </c>
      <c r="G8" t="str">
        <f t="shared" si="0"/>
        <v/>
      </c>
    </row>
    <row r="9" spans="1:7">
      <c r="A9" t="s">
        <v>270</v>
      </c>
      <c r="B9">
        <v>31207</v>
      </c>
      <c r="C9" t="s">
        <v>33</v>
      </c>
      <c r="D9" t="s">
        <v>68</v>
      </c>
      <c r="E9" t="str">
        <f>VLOOKUP(C9,svc!I:I,1,FALSE)</f>
        <v>bes_acc_im007_fft_vehicle_pairing</v>
      </c>
      <c r="F9" t="str">
        <f>VLOOKUP(B9,svc!G:I,3,FALSE)</f>
        <v>bes_acc_im007_fft_vehicle_pairing</v>
      </c>
      <c r="G9" t="str">
        <f t="shared" si="0"/>
        <v/>
      </c>
    </row>
    <row r="10" spans="1:7">
      <c r="A10" t="s">
        <v>270</v>
      </c>
      <c r="B10">
        <v>31208</v>
      </c>
      <c r="C10" t="s">
        <v>34</v>
      </c>
      <c r="D10" t="s">
        <v>68</v>
      </c>
      <c r="E10" t="str">
        <f>VLOOKUP(C10,svc!I:I,1,FALSE)</f>
        <v>bes_acc_im008_fft_tag_management</v>
      </c>
      <c r="F10" t="str">
        <f>VLOOKUP(B10,svc!G:I,3,FALSE)</f>
        <v>bes_acc_im008_fft_tag_management</v>
      </c>
      <c r="G10" t="str">
        <f t="shared" si="0"/>
        <v/>
      </c>
    </row>
    <row r="11" spans="1:7">
      <c r="A11" t="s">
        <v>270</v>
      </c>
      <c r="B11">
        <v>31209</v>
      </c>
      <c r="C11" t="s">
        <v>35</v>
      </c>
      <c r="D11" t="s">
        <v>68</v>
      </c>
      <c r="E11" t="str">
        <f>VLOOKUP(C11,svc!I:I,1,FALSE)</f>
        <v>bes_acc_im009_fft_payment_and_billing</v>
      </c>
      <c r="F11" t="str">
        <f>VLOOKUP(B11,svc!G:I,3,FALSE)</f>
        <v>bes_acc_im009_fft_payment_and_billing</v>
      </c>
      <c r="G11" t="str">
        <f t="shared" si="0"/>
        <v/>
      </c>
    </row>
    <row r="12" spans="1:7">
      <c r="A12" t="s">
        <v>270</v>
      </c>
      <c r="B12">
        <v>31210</v>
      </c>
      <c r="C12" t="s">
        <v>36</v>
      </c>
      <c r="D12" t="s">
        <v>68</v>
      </c>
      <c r="E12" t="str">
        <f>VLOOKUP(C12,svc!I:I,1,FALSE)</f>
        <v>bes_acc_im010_fft_transaction</v>
      </c>
      <c r="F12" t="str">
        <f>VLOOKUP(B12,svc!G:I,3,FALSE)</f>
        <v>bes_acc_im010_fft_transaction</v>
      </c>
      <c r="G12" t="str">
        <f t="shared" si="0"/>
        <v/>
      </c>
    </row>
    <row r="13" spans="1:7">
      <c r="A13" t="s">
        <v>270</v>
      </c>
      <c r="B13">
        <v>31212</v>
      </c>
      <c r="C13" t="s">
        <v>253</v>
      </c>
      <c r="D13" t="s">
        <v>68</v>
      </c>
      <c r="E13" t="str">
        <f>VLOOKUP(C13,svc!I:I,1,FALSE)</f>
        <v>bes_acc_im011_ffts_toll_and_surcharge</v>
      </c>
      <c r="F13" t="str">
        <f>VLOOKUP(B13,svc!G:I,3,FALSE)</f>
        <v>bes_acc_im011_ffts_toll_and_surcharge</v>
      </c>
      <c r="G13" t="str">
        <f t="shared" si="0"/>
        <v/>
      </c>
    </row>
    <row r="14" spans="1:7">
      <c r="A14" t="s">
        <v>270</v>
      </c>
      <c r="B14">
        <v>31215</v>
      </c>
      <c r="C14" t="s">
        <v>265</v>
      </c>
      <c r="D14" t="s">
        <v>68</v>
      </c>
      <c r="E14" t="str">
        <f>VLOOKUP(C14,svc!I:I,1,FALSE)</f>
        <v>bes_acc_im012_ffts_account_history</v>
      </c>
      <c r="F14" t="str">
        <f>VLOOKUP(B14,svc!G:I,3,FALSE)</f>
        <v>bes_acc_im012_ffts_account_history</v>
      </c>
      <c r="G14" t="str">
        <f t="shared" si="0"/>
        <v/>
      </c>
    </row>
    <row r="15" spans="1:7">
      <c r="A15" t="s">
        <v>270</v>
      </c>
      <c r="B15">
        <v>31214</v>
      </c>
      <c r="C15" t="s">
        <v>254</v>
      </c>
      <c r="D15" t="s">
        <v>68</v>
      </c>
      <c r="E15" t="str">
        <f>VLOOKUP(C15,svc!I:I,1,FALSE)</f>
        <v>bes_acc_im013_ffts_performance_monitoring</v>
      </c>
      <c r="F15" t="str">
        <f>VLOOKUP(B15,svc!G:I,3,FALSE)</f>
        <v>bes_acc_im013_ffts_performance_monitoring</v>
      </c>
      <c r="G15" t="str">
        <f t="shared" si="0"/>
        <v/>
      </c>
    </row>
    <row r="16" spans="1:7">
      <c r="A16" t="s">
        <v>270</v>
      </c>
      <c r="B16">
        <v>31301</v>
      </c>
      <c r="C16" t="s">
        <v>37</v>
      </c>
      <c r="D16" t="s">
        <v>68</v>
      </c>
      <c r="E16" t="str">
        <f>VLOOKUP(C16,svc!I:I,1,FALSE)</f>
        <v>bes_cre_im001_tokenization</v>
      </c>
      <c r="F16" t="str">
        <f>VLOOKUP(B16,svc!G:I,3,FALSE)</f>
        <v>bes_cre_im001_tokenization</v>
      </c>
      <c r="G16" t="str">
        <f t="shared" si="0"/>
        <v/>
      </c>
    </row>
    <row r="17" spans="1:7">
      <c r="A17" t="s">
        <v>270</v>
      </c>
      <c r="B17">
        <v>31302</v>
      </c>
      <c r="C17" t="s">
        <v>38</v>
      </c>
      <c r="D17" t="s">
        <v>68</v>
      </c>
      <c r="E17" t="str">
        <f>VLOOKUP(C17,svc!I:I,1,FALSE)</f>
        <v>bes_cre_im002_otp</v>
      </c>
      <c r="F17" t="str">
        <f>VLOOKUP(B17,svc!G:I,3,FALSE)</f>
        <v>bes_cre_im002_otp</v>
      </c>
      <c r="G17" t="str">
        <f t="shared" si="0"/>
        <v/>
      </c>
    </row>
    <row r="18" spans="1:7">
      <c r="A18" t="s">
        <v>270</v>
      </c>
      <c r="B18">
        <v>31307</v>
      </c>
      <c r="C18" t="s">
        <v>39</v>
      </c>
      <c r="D18" t="s">
        <v>68</v>
      </c>
      <c r="E18" t="str">
        <f>VLOOKUP(C18,svc!I:I,1,FALSE)</f>
        <v>bes_cre_im007_notification_template_management</v>
      </c>
      <c r="F18" t="str">
        <f>VLOOKUP(B18,svc!G:I,3,FALSE)</f>
        <v>bes_cre_im007_notification_template_management</v>
      </c>
      <c r="G18" t="str">
        <f t="shared" si="0"/>
        <v/>
      </c>
    </row>
    <row r="19" spans="1:7">
      <c r="A19" t="s">
        <v>270</v>
      </c>
      <c r="B19">
        <v>31308</v>
      </c>
      <c r="C19" t="s">
        <v>40</v>
      </c>
      <c r="D19" t="s">
        <v>68</v>
      </c>
      <c r="E19" t="str">
        <f>VLOOKUP(C19,svc!I:I,1,FALSE)</f>
        <v>bes_cre_im008_notification_message_management</v>
      </c>
      <c r="F19" t="str">
        <f>VLOOKUP(B19,svc!G:I,3,FALSE)</f>
        <v>bes_cre_im008_notification_message_management</v>
      </c>
      <c r="G19" t="str">
        <f t="shared" si="0"/>
        <v/>
      </c>
    </row>
    <row r="20" spans="1:7">
      <c r="A20" t="s">
        <v>270</v>
      </c>
      <c r="B20">
        <v>31309</v>
      </c>
      <c r="C20" t="s">
        <v>41</v>
      </c>
      <c r="D20" t="s">
        <v>68</v>
      </c>
      <c r="E20" t="str">
        <f>VLOOKUP(C20,svc!I:I,1,FALSE)</f>
        <v>bes_cre_im009_notification_processor</v>
      </c>
      <c r="F20" t="str">
        <f>VLOOKUP(B20,svc!G:I,3,FALSE)</f>
        <v>bes_cre_im009_notification_processor</v>
      </c>
      <c r="G20" t="str">
        <f t="shared" si="0"/>
        <v/>
      </c>
    </row>
    <row r="21" spans="1:7">
      <c r="A21" t="s">
        <v>270</v>
      </c>
      <c r="B21">
        <v>31310</v>
      </c>
      <c r="C21" t="s">
        <v>42</v>
      </c>
      <c r="D21" t="s">
        <v>68</v>
      </c>
      <c r="E21" t="str">
        <f>VLOOKUP(C21,svc!I:I,1,FALSE)</f>
        <v>bes_cre_im010_shortlink</v>
      </c>
      <c r="F21" t="str">
        <f>VLOOKUP(B21,svc!G:I,3,FALSE)</f>
        <v>bes_cre_im010_shortlink</v>
      </c>
      <c r="G21" t="str">
        <f t="shared" si="0"/>
        <v/>
      </c>
    </row>
    <row r="22" spans="1:7">
      <c r="A22" t="s">
        <v>270</v>
      </c>
      <c r="B22" s="103">
        <v>31400</v>
      </c>
      <c r="C22" t="s">
        <v>273</v>
      </c>
      <c r="D22" t="s">
        <v>67</v>
      </c>
      <c r="E22" t="str">
        <f>VLOOKUP(C22,svc!I:I,1,FALSE)</f>
        <v>notification_result</v>
      </c>
      <c r="F22" t="str">
        <f>VLOOKUP(B22,svc!G:I,3,FALSE)</f>
        <v>notification_result</v>
      </c>
      <c r="G22" t="str">
        <f t="shared" si="0"/>
        <v/>
      </c>
    </row>
    <row r="23" spans="1:7">
      <c r="A23" t="s">
        <v>270</v>
      </c>
      <c r="B23" t="s">
        <v>251</v>
      </c>
      <c r="C23" t="s">
        <v>255</v>
      </c>
      <c r="D23" t="s">
        <v>68</v>
      </c>
      <c r="E23" t="str">
        <f>VLOOKUP(C23,svc!I:I,1,FALSE)</f>
        <v>bes_notification_pulsar_consumer_services</v>
      </c>
      <c r="F23" t="e">
        <f>VLOOKUP(B23,svc!G:I,3,FALSE)</f>
        <v>#N/A</v>
      </c>
      <c r="G23" t="e">
        <f t="shared" si="0"/>
        <v>#N/A</v>
      </c>
    </row>
    <row r="24" spans="1:7">
      <c r="A24" t="s">
        <v>270</v>
      </c>
      <c r="B24" t="s">
        <v>251</v>
      </c>
      <c r="C24" t="s">
        <v>256</v>
      </c>
      <c r="D24" t="s">
        <v>68</v>
      </c>
      <c r="E24" t="str">
        <f>VLOOKUP(C24,svc!I:I,1,FALSE)</f>
        <v>bes_notification_push_app_services</v>
      </c>
      <c r="F24" t="e">
        <f>VLOOKUP(B24,svc!G:I,3,FALSE)</f>
        <v>#N/A</v>
      </c>
      <c r="G24" t="e">
        <f t="shared" si="0"/>
        <v>#N/A</v>
      </c>
    </row>
    <row r="25" spans="1:7">
      <c r="A25" t="s">
        <v>270</v>
      </c>
      <c r="B25" t="s">
        <v>251</v>
      </c>
      <c r="C25" t="s">
        <v>257</v>
      </c>
      <c r="D25" t="s">
        <v>68</v>
      </c>
      <c r="E25" t="str">
        <f>VLOOKUP(C25,svc!I:I,1,FALSE)</f>
        <v>bes_notification_push_email_services</v>
      </c>
      <c r="F25" t="e">
        <f>VLOOKUP(B25,svc!G:I,3,FALSE)</f>
        <v>#N/A</v>
      </c>
      <c r="G25" t="e">
        <f t="shared" si="0"/>
        <v>#N/A</v>
      </c>
    </row>
    <row r="26" spans="1:7">
      <c r="A26" t="s">
        <v>270</v>
      </c>
      <c r="B26" t="s">
        <v>251</v>
      </c>
      <c r="C26" t="s">
        <v>258</v>
      </c>
      <c r="D26" t="s">
        <v>68</v>
      </c>
      <c r="E26" t="str">
        <f>VLOOKUP(C26,svc!I:I,1,FALSE)</f>
        <v>bes_notification_push_sms_services</v>
      </c>
      <c r="F26" t="e">
        <f>VLOOKUP(B26,svc!G:I,3,FALSE)</f>
        <v>#N/A</v>
      </c>
      <c r="G26" t="e">
        <f t="shared" si="0"/>
        <v>#N/A</v>
      </c>
    </row>
    <row r="27" spans="1:7">
      <c r="A27" t="s">
        <v>270</v>
      </c>
      <c r="B27" t="s">
        <v>251</v>
      </c>
      <c r="C27" t="s">
        <v>259</v>
      </c>
      <c r="D27" t="s">
        <v>68</v>
      </c>
      <c r="E27" t="str">
        <f>VLOOKUP(C27,svc!I:I,1,FALSE)</f>
        <v>bes_send_schedule_notification_services</v>
      </c>
      <c r="F27" t="e">
        <f>VLOOKUP(B27,svc!G:I,3,FALSE)</f>
        <v>#N/A</v>
      </c>
      <c r="G27" t="e">
        <f t="shared" si="0"/>
        <v>#N/A</v>
      </c>
    </row>
    <row r="28" spans="1:7">
      <c r="A28" t="s">
        <v>270</v>
      </c>
      <c r="B28">
        <v>31011</v>
      </c>
      <c r="C28" t="s">
        <v>13</v>
      </c>
      <c r="D28" t="s">
        <v>68</v>
      </c>
      <c r="E28" t="str">
        <f>VLOOKUP(C28,svc!I:I,1,FALSE)</f>
        <v>bes_signalr_server</v>
      </c>
      <c r="F28" t="str">
        <f>VLOOKUP(B28,svc!G:I,3,FALSE)</f>
        <v>bes_signalr_server</v>
      </c>
      <c r="G28" t="str">
        <f t="shared" si="0"/>
        <v/>
      </c>
    </row>
    <row r="29" spans="1:7">
      <c r="A29" t="s">
        <v>270</v>
      </c>
      <c r="B29">
        <v>31027</v>
      </c>
      <c r="C29" t="s">
        <v>25</v>
      </c>
      <c r="D29" t="s">
        <v>68</v>
      </c>
      <c r="E29" t="str">
        <f>VLOOKUP(C29,svc!I:I,1,FALSE)</f>
        <v>ccms_api</v>
      </c>
      <c r="F29" t="str">
        <f>VLOOKUP(B29,svc!G:I,3,FALSE)</f>
        <v>ccms_api</v>
      </c>
      <c r="G29" t="str">
        <f t="shared" si="0"/>
        <v/>
      </c>
    </row>
    <row r="30" spans="1:7">
      <c r="A30" t="s">
        <v>270</v>
      </c>
      <c r="B30">
        <v>31015</v>
      </c>
      <c r="C30" t="s">
        <v>16</v>
      </c>
      <c r="D30" t="s">
        <v>68</v>
      </c>
      <c r="E30" t="str">
        <f>VLOOKUP(C30,svc!I:I,1,FALSE)</f>
        <v>central_db_services_accmgt</v>
      </c>
      <c r="F30" t="str">
        <f>VLOOKUP(B30,svc!G:I,3,FALSE)</f>
        <v>central_db_services_accmgt</v>
      </c>
      <c r="G30" t="str">
        <f t="shared" si="0"/>
        <v/>
      </c>
    </row>
    <row r="31" spans="1:7">
      <c r="A31" t="s">
        <v>270</v>
      </c>
      <c r="B31">
        <v>31017</v>
      </c>
      <c r="C31" t="s">
        <v>18</v>
      </c>
      <c r="D31" t="s">
        <v>68</v>
      </c>
      <c r="E31" t="str">
        <f>VLOOKUP(C31,svc!I:I,1,FALSE)</f>
        <v>central_db_services_ccms</v>
      </c>
      <c r="F31" t="str">
        <f>VLOOKUP(B31,svc!G:I,3,FALSE)</f>
        <v>central_db_services_ccms</v>
      </c>
      <c r="G31" t="str">
        <f t="shared" si="0"/>
        <v/>
      </c>
    </row>
    <row r="32" spans="1:7">
      <c r="A32" t="s">
        <v>270</v>
      </c>
      <c r="B32">
        <v>31016</v>
      </c>
      <c r="C32" t="s">
        <v>17</v>
      </c>
      <c r="D32" t="s">
        <v>68</v>
      </c>
      <c r="E32" t="str">
        <f>VLOOKUP(C32,svc!I:I,1,FALSE)</f>
        <v>central_db_services_core</v>
      </c>
      <c r="F32" t="str">
        <f>VLOOKUP(B32,svc!G:I,3,FALSE)</f>
        <v>central_db_services_core</v>
      </c>
      <c r="G32" t="str">
        <f t="shared" si="0"/>
        <v/>
      </c>
    </row>
    <row r="33" spans="1:7">
      <c r="A33" t="s">
        <v>270</v>
      </c>
      <c r="B33">
        <v>31018</v>
      </c>
      <c r="C33" t="s">
        <v>19</v>
      </c>
      <c r="D33" t="s">
        <v>68</v>
      </c>
      <c r="E33" t="str">
        <f>VLOOKUP(C33,svc!I:I,1,FALSE)</f>
        <v>central_db_services_ecms</v>
      </c>
      <c r="F33" t="str">
        <f>VLOOKUP(B33,svc!G:I,3,FALSE)</f>
        <v>central_db_services_ecms</v>
      </c>
      <c r="G33" t="str">
        <f t="shared" si="0"/>
        <v/>
      </c>
    </row>
    <row r="34" spans="1:7">
      <c r="A34" t="s">
        <v>270</v>
      </c>
      <c r="B34">
        <v>31219</v>
      </c>
      <c r="C34" s="103" t="s">
        <v>266</v>
      </c>
      <c r="D34" t="s">
        <v>68</v>
      </c>
      <c r="E34" t="str">
        <f>VLOOKUP(C34,svc!I:I,1,FALSE)</f>
        <v>central_db_services_das</v>
      </c>
      <c r="F34" t="str">
        <f>VLOOKUP(B34,svc!G:I,3,FALSE)</f>
        <v>central_db_services_das</v>
      </c>
      <c r="G34" t="str">
        <f t="shared" si="0"/>
        <v/>
      </c>
    </row>
    <row r="35" spans="1:7">
      <c r="A35" t="s">
        <v>270</v>
      </c>
      <c r="B35" t="s">
        <v>251</v>
      </c>
      <c r="C35" t="s">
        <v>58</v>
      </c>
      <c r="D35" t="s">
        <v>68</v>
      </c>
      <c r="E35" t="str">
        <f>VLOOKUP(C35,svc!I:I,1,FALSE)</f>
        <v>das_data_consumer</v>
      </c>
      <c r="F35" t="e">
        <f>VLOOKUP(B35,svc!G:I,3,FALSE)</f>
        <v>#N/A</v>
      </c>
      <c r="G35" t="e">
        <f t="shared" si="0"/>
        <v>#N/A</v>
      </c>
    </row>
    <row r="36" spans="1:7">
      <c r="A36" t="s">
        <v>270</v>
      </c>
      <c r="B36">
        <v>31218</v>
      </c>
      <c r="C36" t="s">
        <v>260</v>
      </c>
      <c r="D36" t="s">
        <v>68</v>
      </c>
      <c r="E36" t="str">
        <f>VLOOKUP(C36,svc!I:I,1,FALSE)</f>
        <v>das_evid_api</v>
      </c>
      <c r="F36" t="str">
        <f>VLOOKUP(B36,svc!G:I,3,FALSE)</f>
        <v>das_evid_api</v>
      </c>
      <c r="G36" t="str">
        <f t="shared" si="0"/>
        <v/>
      </c>
    </row>
    <row r="37" spans="1:7">
      <c r="A37" t="s">
        <v>270</v>
      </c>
      <c r="B37" t="s">
        <v>251</v>
      </c>
      <c r="C37" t="s">
        <v>60</v>
      </c>
      <c r="D37" t="s">
        <v>68</v>
      </c>
      <c r="E37" t="str">
        <f>VLOOKUP(C37,svc!I:I,1,FALSE)</f>
        <v>das_evidence_record_consumer</v>
      </c>
      <c r="F37" t="e">
        <f>VLOOKUP(B37,svc!G:I,3,FALSE)</f>
        <v>#N/A</v>
      </c>
      <c r="G37" t="e">
        <f t="shared" si="0"/>
        <v>#N/A</v>
      </c>
    </row>
    <row r="38" spans="1:7">
      <c r="A38" t="s">
        <v>271</v>
      </c>
      <c r="B38" t="s">
        <v>251</v>
      </c>
      <c r="C38" t="s">
        <v>261</v>
      </c>
      <c r="D38" t="s">
        <v>68</v>
      </c>
      <c r="E38" t="e">
        <f>VLOOKUP(C38,svc!I:I,1,FALSE)</f>
        <v>#N/A</v>
      </c>
      <c r="F38" t="e">
        <f>VLOOKUP(B38,svc!G:I,3,FALSE)</f>
        <v>#N/A</v>
      </c>
      <c r="G38" t="e">
        <f t="shared" si="0"/>
        <v>#N/A</v>
      </c>
    </row>
    <row r="39" spans="1:7">
      <c r="A39" t="s">
        <v>270</v>
      </c>
      <c r="B39" t="s">
        <v>251</v>
      </c>
      <c r="C39" t="s">
        <v>59</v>
      </c>
      <c r="D39" t="s">
        <v>68</v>
      </c>
      <c r="E39" t="str">
        <f>VLOOKUP(C39,svc!I:I,1,FALSE)</f>
        <v>das_transaction_record_consumer</v>
      </c>
      <c r="F39" t="e">
        <f>VLOOKUP(B39,svc!G:I,3,FALSE)</f>
        <v>#N/A</v>
      </c>
      <c r="G39" t="e">
        <f t="shared" si="0"/>
        <v>#N/A</v>
      </c>
    </row>
    <row r="40" spans="1:7">
      <c r="A40" t="s">
        <v>270</v>
      </c>
      <c r="B40">
        <v>31014</v>
      </c>
      <c r="C40" t="s">
        <v>15</v>
      </c>
      <c r="D40" t="s">
        <v>68</v>
      </c>
      <c r="E40" t="str">
        <f>VLOOKUP(C40,svc!I:I,1,FALSE)</f>
        <v>ecms_api</v>
      </c>
      <c r="F40" t="str">
        <f>VLOOKUP(B40,svc!G:I,3,FALSE)</f>
        <v>ecms_api</v>
      </c>
      <c r="G40" t="str">
        <f t="shared" si="0"/>
        <v/>
      </c>
    </row>
    <row r="41" spans="1:7">
      <c r="A41" t="s">
        <v>270</v>
      </c>
      <c r="B41">
        <v>31022</v>
      </c>
      <c r="C41" t="s">
        <v>22</v>
      </c>
      <c r="D41" t="s">
        <v>68</v>
      </c>
      <c r="E41" t="str">
        <f>VLOOKUP(C41,svc!I:I,1,FALSE)</f>
        <v>posted_tx_validation</v>
      </c>
      <c r="F41" t="str">
        <f>VLOOKUP(B41,svc!G:I,3,FALSE)</f>
        <v>posted_tx_validation</v>
      </c>
      <c r="G41" t="str">
        <f t="shared" si="0"/>
        <v/>
      </c>
    </row>
    <row r="42" spans="1:7">
      <c r="A42" t="s">
        <v>270</v>
      </c>
      <c r="B42">
        <v>31024</v>
      </c>
      <c r="C42" t="s">
        <v>24</v>
      </c>
      <c r="D42" t="s">
        <v>68</v>
      </c>
      <c r="E42" t="str">
        <f>VLOOKUP(C42,svc!I:I,1,FALSE)</f>
        <v>secondocr_webapi</v>
      </c>
      <c r="F42" t="str">
        <f>VLOOKUP(B42,svc!G:I,3,FALSE)</f>
        <v>secondocr_webapi</v>
      </c>
      <c r="G42" t="str">
        <f t="shared" si="0"/>
        <v/>
      </c>
    </row>
    <row r="43" spans="1:7">
      <c r="A43" t="s">
        <v>270</v>
      </c>
      <c r="B43">
        <v>31020</v>
      </c>
      <c r="C43" t="s">
        <v>20</v>
      </c>
      <c r="D43" t="s">
        <v>68</v>
      </c>
      <c r="E43" t="str">
        <f>VLOOKUP(C43,svc!I:I,1,FALSE)</f>
        <v>tag_validation</v>
      </c>
      <c r="F43" t="str">
        <f>VLOOKUP(B43,svc!G:I,3,FALSE)</f>
        <v>tag_validation</v>
      </c>
      <c r="G43" t="str">
        <f t="shared" si="0"/>
        <v/>
      </c>
    </row>
    <row r="44" spans="1:7">
      <c r="A44" t="s">
        <v>270</v>
      </c>
      <c r="B44">
        <v>31021</v>
      </c>
      <c r="C44" t="s">
        <v>21</v>
      </c>
      <c r="D44" t="s">
        <v>68</v>
      </c>
      <c r="E44" t="str">
        <f>VLOOKUP(C44,svc!I:I,1,FALSE)</f>
        <v>tx_validation</v>
      </c>
      <c r="F44" t="str">
        <f>VLOOKUP(B44,svc!G:I,3,FALSE)</f>
        <v>tx_validation</v>
      </c>
      <c r="G44" t="str">
        <f t="shared" si="0"/>
        <v/>
      </c>
    </row>
    <row r="45" spans="1:7">
      <c r="A45" t="s">
        <v>270</v>
      </c>
      <c r="B45">
        <v>31216</v>
      </c>
      <c r="C45" t="s">
        <v>262</v>
      </c>
      <c r="D45" t="s">
        <v>68</v>
      </c>
      <c r="E45" t="str">
        <f>VLOOKUP(C45,svc!I:I,1,FALSE)</f>
        <v>validv_api</v>
      </c>
      <c r="F45" t="str">
        <f>VLOOKUP(B45,svc!G:I,3,FALSE)</f>
        <v>validv_api</v>
      </c>
      <c r="G45" t="str">
        <f t="shared" si="0"/>
        <v/>
      </c>
    </row>
    <row r="46" spans="1:7">
      <c r="A46" t="s">
        <v>270</v>
      </c>
      <c r="B46">
        <v>31023</v>
      </c>
      <c r="C46" t="s">
        <v>23</v>
      </c>
      <c r="D46" t="s">
        <v>68</v>
      </c>
      <c r="E46" t="str">
        <f>VLOOKUP(C46,svc!I:I,1,FALSE)</f>
        <v>vrm_verification</v>
      </c>
      <c r="F46" t="str">
        <f>VLOOKUP(B46,svc!G:I,3,FALSE)</f>
        <v>vrm_verification</v>
      </c>
      <c r="G46" t="str">
        <f t="shared" si="0"/>
        <v/>
      </c>
    </row>
    <row r="47" spans="1:7">
      <c r="A47" t="s">
        <v>270</v>
      </c>
      <c r="B47" s="103">
        <v>31311</v>
      </c>
      <c r="C47" t="s">
        <v>4</v>
      </c>
      <c r="D47" t="s">
        <v>67</v>
      </c>
      <c r="E47" t="str">
        <f>VLOOKUP(C47,svc!I:I,1,FALSE)</f>
        <v>bes_ccs</v>
      </c>
      <c r="F47" t="str">
        <f>VLOOKUP(B47,svc!G:I,3,FALSE)</f>
        <v>bes_ccs</v>
      </c>
      <c r="G47" t="str">
        <f t="shared" si="0"/>
        <v/>
      </c>
    </row>
    <row r="48" spans="1:7">
      <c r="A48" t="s">
        <v>270</v>
      </c>
      <c r="B48">
        <v>31031</v>
      </c>
      <c r="C48" s="103" t="s">
        <v>146</v>
      </c>
      <c r="D48" t="s">
        <v>67</v>
      </c>
      <c r="E48" t="str">
        <f>VLOOKUP(C48,svc!I:I,1,FALSE)</f>
        <v>payment_middleware</v>
      </c>
      <c r="F48" t="str">
        <f>VLOOKUP(B48,svc!G:I,3,FALSE)</f>
        <v>payment_middleware</v>
      </c>
      <c r="G48" t="str">
        <f t="shared" si="0"/>
        <v/>
      </c>
    </row>
    <row r="49" spans="1:7">
      <c r="A49" t="s">
        <v>270</v>
      </c>
      <c r="B49">
        <v>31026</v>
      </c>
      <c r="C49" t="s">
        <v>5</v>
      </c>
      <c r="D49" t="s">
        <v>67</v>
      </c>
      <c r="E49" t="str">
        <f>VLOOKUP(C49,svc!I:I,1,FALSE)</f>
        <v>bes_wmm</v>
      </c>
      <c r="F49" t="str">
        <f>VLOOKUP(B49,svc!G:I,3,FALSE)</f>
        <v>bes_wmm</v>
      </c>
      <c r="G49" t="str">
        <f t="shared" si="0"/>
        <v/>
      </c>
    </row>
    <row r="50" spans="1:7">
      <c r="A50" t="s">
        <v>270</v>
      </c>
      <c r="B50">
        <v>31010</v>
      </c>
      <c r="C50" t="s">
        <v>12</v>
      </c>
      <c r="D50" t="s">
        <v>67</v>
      </c>
      <c r="E50" t="str">
        <f>VLOOKUP(C50,svc!I:I,1,FALSE)</f>
        <v>bescore_portal</v>
      </c>
      <c r="F50" t="str">
        <f>VLOOKUP(B50,svc!G:I,3,FALSE)</f>
        <v>bescore_portal</v>
      </c>
      <c r="G50" t="str">
        <f t="shared" si="0"/>
        <v/>
      </c>
    </row>
    <row r="51" spans="1:7">
      <c r="A51" t="s">
        <v>270</v>
      </c>
      <c r="B51">
        <v>31028</v>
      </c>
      <c r="C51" t="s">
        <v>26</v>
      </c>
      <c r="D51" t="s">
        <v>67</v>
      </c>
      <c r="E51" t="str">
        <f>VLOOKUP(C51,svc!I:I,1,FALSE)</f>
        <v>ccms_portal</v>
      </c>
      <c r="F51" t="str">
        <f>VLOOKUP(B51,svc!G:I,3,FALSE)</f>
        <v>ccms_portal</v>
      </c>
      <c r="G51" t="str">
        <f t="shared" si="0"/>
        <v/>
      </c>
    </row>
    <row r="52" spans="1:7">
      <c r="A52" t="s">
        <v>270</v>
      </c>
      <c r="B52" s="103">
        <v>31211</v>
      </c>
      <c r="C52" t="s">
        <v>145</v>
      </c>
      <c r="D52" t="s">
        <v>67</v>
      </c>
      <c r="E52" t="str">
        <f>VLOOKUP(C52,svc!I:I,1,FALSE)</f>
        <v>ccs_middleware</v>
      </c>
      <c r="F52" t="str">
        <f>VLOOKUP(B52,svc!G:I,3,FALSE)</f>
        <v>ccs_middleware</v>
      </c>
      <c r="G52" t="str">
        <f t="shared" si="0"/>
        <v/>
      </c>
    </row>
    <row r="53" spans="1:7">
      <c r="A53" t="s">
        <v>270</v>
      </c>
      <c r="B53">
        <v>31025</v>
      </c>
      <c r="C53" t="s">
        <v>9</v>
      </c>
      <c r="D53" t="s">
        <v>67</v>
      </c>
      <c r="E53" t="str">
        <f>VLOOKUP(C53,svc!I:I,1,FALSE)</f>
        <v>das_middleware</v>
      </c>
      <c r="F53" t="e">
        <f>VLOOKUP(B53,svc!G:I,3,FALSE)</f>
        <v>#N/A</v>
      </c>
      <c r="G53" t="e">
        <f t="shared" si="0"/>
        <v>#N/A</v>
      </c>
    </row>
    <row r="54" spans="1:7">
      <c r="A54" t="s">
        <v>270</v>
      </c>
      <c r="B54">
        <v>31013</v>
      </c>
      <c r="C54" t="s">
        <v>14</v>
      </c>
      <c r="D54" t="s">
        <v>67</v>
      </c>
      <c r="E54" t="str">
        <f>VLOOKUP(C54,svc!I:I,1,FALSE)</f>
        <v>ecms_portal</v>
      </c>
      <c r="F54" t="str">
        <f>VLOOKUP(B54,svc!G:I,3,FALSE)</f>
        <v>ecms_portal</v>
      </c>
      <c r="G54" t="str">
        <f t="shared" si="0"/>
        <v/>
      </c>
    </row>
    <row r="55" spans="1:7">
      <c r="A55" t="s">
        <v>270</v>
      </c>
      <c r="B55">
        <v>31029</v>
      </c>
      <c r="C55" t="s">
        <v>7</v>
      </c>
      <c r="D55" t="s">
        <v>67</v>
      </c>
      <c r="E55" t="str">
        <f>VLOOKUP(C55,svc!I:I,1,FALSE)</f>
        <v>ffts_web</v>
      </c>
      <c r="F55" t="str">
        <f>VLOOKUP(B55,svc!G:I,3,FALSE)</f>
        <v>ffts_web</v>
      </c>
      <c r="G55" t="str">
        <f t="shared" si="0"/>
        <v/>
      </c>
    </row>
    <row r="56" spans="1:7">
      <c r="A56" t="s">
        <v>270</v>
      </c>
      <c r="B56" s="103">
        <v>31002</v>
      </c>
      <c r="C56" t="s">
        <v>72</v>
      </c>
      <c r="D56" t="s">
        <v>67</v>
      </c>
      <c r="E56" t="str">
        <f>VLOOKUP(C56,svc!I:I,1,FALSE)</f>
        <v>toms_middleware</v>
      </c>
      <c r="F56" t="str">
        <f>VLOOKUP(B56,svc!G:I,3,FALSE)</f>
        <v>toms_middleware</v>
      </c>
      <c r="G56" t="str">
        <f t="shared" si="0"/>
        <v/>
      </c>
    </row>
    <row r="57" spans="1:7">
      <c r="A57" t="s">
        <v>270</v>
      </c>
      <c r="B57" s="103">
        <v>31403</v>
      </c>
      <c r="C57" t="s">
        <v>263</v>
      </c>
      <c r="D57" t="s">
        <v>67</v>
      </c>
      <c r="E57" t="str">
        <f>VLOOKUP(C57,svc!I:I,1,FALSE)</f>
        <v>validv_middleware</v>
      </c>
      <c r="F57" t="str">
        <f>VLOOKUP(B57,svc!G:I,3,FALSE)</f>
        <v>validv_middleware</v>
      </c>
      <c r="G57" t="str">
        <f t="shared" si="0"/>
        <v/>
      </c>
    </row>
    <row r="58" spans="1:7">
      <c r="A58" t="s">
        <v>271</v>
      </c>
      <c r="B58" t="s">
        <v>251</v>
      </c>
      <c r="C58" t="s">
        <v>264</v>
      </c>
      <c r="D58" t="s">
        <v>252</v>
      </c>
      <c r="E58" t="e">
        <f>VLOOKUP(C58,svc!I:I,1,FALSE)</f>
        <v>#N/A</v>
      </c>
      <c r="F58" t="e">
        <f>VLOOKUP(B58,svc!G:I,3,FALSE)</f>
        <v>#N/A</v>
      </c>
      <c r="G58" t="e">
        <f t="shared" si="0"/>
        <v>#N/A</v>
      </c>
    </row>
    <row r="59" spans="1:7">
      <c r="A59" t="s">
        <v>270</v>
      </c>
      <c r="B59">
        <v>31001</v>
      </c>
      <c r="C59" t="s">
        <v>73</v>
      </c>
      <c r="D59" t="s">
        <v>252</v>
      </c>
      <c r="E59" t="str">
        <f>VLOOKUP(C59,svc!I:I,1,FALSE)</f>
        <v>toms_api</v>
      </c>
      <c r="F59" t="str">
        <f>VLOOKUP(B59,svc!G:I,3,FALSE)</f>
        <v>toms_api</v>
      </c>
      <c r="G59" t="str">
        <f t="shared" si="0"/>
        <v/>
      </c>
    </row>
    <row r="60" spans="1:7">
      <c r="A60" t="s">
        <v>270</v>
      </c>
      <c r="B60">
        <v>31004</v>
      </c>
      <c r="C60" t="s">
        <v>75</v>
      </c>
      <c r="D60" t="s">
        <v>252</v>
      </c>
      <c r="E60" t="str">
        <f>VLOOKUP(C60,svc!I:I,1,FALSE)</f>
        <v>toms_auth_api</v>
      </c>
      <c r="F60" t="str">
        <f>VLOOKUP(B60,svc!G:I,3,FALSE)</f>
        <v>toms_auth_api</v>
      </c>
      <c r="G60" t="str">
        <f t="shared" si="0"/>
        <v/>
      </c>
    </row>
    <row r="61" spans="1:7">
      <c r="A61" t="s">
        <v>270</v>
      </c>
      <c r="B61" s="103">
        <v>31030</v>
      </c>
      <c r="C61" t="s">
        <v>74</v>
      </c>
      <c r="D61" t="s">
        <v>252</v>
      </c>
      <c r="E61" t="str">
        <f>VLOOKUP(C61,svc!I:I,1,FALSE)</f>
        <v>toms_portal</v>
      </c>
      <c r="F61" t="str">
        <f>VLOOKUP(B61,svc!G:I,3,FALSE)</f>
        <v>toms_portal</v>
      </c>
      <c r="G61" t="str">
        <f t="shared" si="0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06"/>
  <sheetViews>
    <sheetView topLeftCell="A44" workbookViewId="0">
      <selection activeCell="I75" sqref="I75"/>
    </sheetView>
  </sheetViews>
  <sheetFormatPr defaultColWidth="10" defaultRowHeight="15.75"/>
  <cols>
    <col min="1" max="1" width="12" bestFit="1" customWidth="1"/>
    <col min="2" max="2" width="12.42578125" bestFit="1" customWidth="1"/>
    <col min="3" max="3" width="11.85546875" bestFit="1" customWidth="1"/>
    <col min="5" max="5" width="47.28515625" bestFit="1" customWidth="1"/>
    <col min="6" max="6" width="73" bestFit="1" customWidth="1"/>
    <col min="7" max="7" width="17.42578125" hidden="1" customWidth="1"/>
    <col min="8" max="8" width="50.7109375" hidden="1" customWidth="1"/>
    <col min="9" max="9" width="177.42578125" bestFit="1" customWidth="1"/>
  </cols>
  <sheetData>
    <row r="1" spans="1:12">
      <c r="H1" s="125" t="s">
        <v>402</v>
      </c>
      <c r="I1" s="125"/>
      <c r="J1" s="125" t="s">
        <v>403</v>
      </c>
      <c r="K1" s="125"/>
      <c r="L1" s="125"/>
    </row>
    <row r="2" spans="1:12" s="126" customFormat="1" ht="16.5">
      <c r="A2" s="126" t="s">
        <v>44</v>
      </c>
      <c r="B2" s="126" t="s">
        <v>275</v>
      </c>
      <c r="C2" s="126" t="s">
        <v>76</v>
      </c>
      <c r="D2" s="127" t="s">
        <v>1</v>
      </c>
      <c r="E2" s="126" t="s">
        <v>3</v>
      </c>
      <c r="F2" s="126" t="s">
        <v>277</v>
      </c>
      <c r="G2" s="126" t="s">
        <v>400</v>
      </c>
      <c r="H2" s="126" t="s">
        <v>401</v>
      </c>
    </row>
    <row r="3" spans="1:12" hidden="1">
      <c r="A3">
        <f>svc!A2</f>
        <v>1</v>
      </c>
      <c r="B3" t="str">
        <f>svc!B2</f>
        <v>v504</v>
      </c>
      <c r="C3" t="str">
        <f>svc!D2</f>
        <v>dmz</v>
      </c>
      <c r="D3">
        <f>svc!G2</f>
        <v>31011</v>
      </c>
      <c r="E3" t="str">
        <f>svc!I2</f>
        <v>bes_signalr_server</v>
      </c>
      <c r="F3" t="str">
        <f>svc!S2</f>
        <v>http://ltm504:8000/dmz504/bes_signalr_server</v>
      </c>
    </row>
    <row r="4" spans="1:12" hidden="1">
      <c r="A4">
        <f>svc!A3</f>
        <v>2</v>
      </c>
      <c r="B4" t="str">
        <f>svc!B3</f>
        <v>v504</v>
      </c>
      <c r="C4" t="str">
        <f>svc!D3</f>
        <v>dmz</v>
      </c>
      <c r="D4">
        <f>svc!G3</f>
        <v>31026</v>
      </c>
      <c r="E4" t="str">
        <f>svc!I3</f>
        <v>bes_wmm</v>
      </c>
      <c r="F4" t="str">
        <f>svc!S3</f>
        <v>http://ltm504:8000/dmz504/bes_wmm</v>
      </c>
    </row>
    <row r="5" spans="1:12" hidden="1">
      <c r="A5">
        <f>svc!A4</f>
        <v>116</v>
      </c>
      <c r="B5" t="str">
        <f>svc!B4</f>
        <v>v804</v>
      </c>
      <c r="C5" t="str">
        <f>svc!D4</f>
        <v>dmz</v>
      </c>
      <c r="D5">
        <f>svc!G4</f>
        <v>31026</v>
      </c>
      <c r="E5" t="str">
        <f>svc!I4</f>
        <v>bes_wmm</v>
      </c>
      <c r="F5" t="str">
        <f>svc!S4</f>
        <v>http://ltm804:8000/dmz804/bes_wmm</v>
      </c>
    </row>
    <row r="6" spans="1:12" hidden="1">
      <c r="A6">
        <f>svc!A5</f>
        <v>3</v>
      </c>
      <c r="B6" t="str">
        <f>svc!B5</f>
        <v>v504</v>
      </c>
      <c r="C6" t="str">
        <f>svc!D5</f>
        <v>dmz</v>
      </c>
      <c r="D6">
        <f>svc!G5</f>
        <v>31010</v>
      </c>
      <c r="E6" t="str">
        <f>svc!I5</f>
        <v>bescore_portal</v>
      </c>
      <c r="F6" t="str">
        <f>svc!S5</f>
        <v/>
      </c>
    </row>
    <row r="7" spans="1:12" hidden="1">
      <c r="A7">
        <f>svc!A6</f>
        <v>117</v>
      </c>
      <c r="B7" t="str">
        <f>svc!B6</f>
        <v>v504</v>
      </c>
      <c r="C7" t="str">
        <f>svc!D6</f>
        <v>dmz</v>
      </c>
      <c r="D7">
        <f>svc!G6</f>
        <v>31010</v>
      </c>
      <c r="E7" t="str">
        <f>svc!I6</f>
        <v>bescore_portal</v>
      </c>
      <c r="F7" t="str">
        <f>svc!S6</f>
        <v/>
      </c>
    </row>
    <row r="8" spans="1:12" hidden="1">
      <c r="A8">
        <f>svc!A7</f>
        <v>4</v>
      </c>
      <c r="B8" t="str">
        <f>svc!B7</f>
        <v>v504</v>
      </c>
      <c r="C8" t="str">
        <f>svc!D7</f>
        <v>dmz</v>
      </c>
      <c r="D8">
        <f>svc!G7</f>
        <v>31028</v>
      </c>
      <c r="E8" t="str">
        <f>svc!I7</f>
        <v>ccms_portal</v>
      </c>
      <c r="F8" t="str">
        <f>svc!S7</f>
        <v/>
      </c>
    </row>
    <row r="9" spans="1:12" hidden="1">
      <c r="A9">
        <f>svc!A8</f>
        <v>118</v>
      </c>
      <c r="B9" t="str">
        <f>svc!B8</f>
        <v>v504</v>
      </c>
      <c r="C9" t="str">
        <f>svc!D8</f>
        <v>dmz</v>
      </c>
      <c r="D9">
        <f>svc!G8</f>
        <v>31028</v>
      </c>
      <c r="E9" t="str">
        <f>svc!I8</f>
        <v>ccms_portal</v>
      </c>
      <c r="F9" t="str">
        <f>svc!S8</f>
        <v/>
      </c>
    </row>
    <row r="10" spans="1:12" hidden="1">
      <c r="A10">
        <f>svc!A9</f>
        <v>5</v>
      </c>
      <c r="B10" t="str">
        <f>svc!B9</f>
        <v>v904</v>
      </c>
      <c r="C10" t="str">
        <f>svc!D9</f>
        <v>dmz</v>
      </c>
      <c r="D10">
        <f>svc!G9</f>
        <v>31211</v>
      </c>
      <c r="E10" t="str">
        <f>svc!I9</f>
        <v>ccs_middleware</v>
      </c>
      <c r="F10" t="str">
        <f>svc!S9</f>
        <v>http://ltm904:8000/dmz904/ccs_middleware</v>
      </c>
    </row>
    <row r="11" spans="1:12" hidden="1">
      <c r="A11">
        <f>svc!A10</f>
        <v>6</v>
      </c>
      <c r="B11" t="str">
        <f>svc!B10</f>
        <v>v630</v>
      </c>
      <c r="C11" t="str">
        <f>svc!D10</f>
        <v>dmz</v>
      </c>
      <c r="D11">
        <f>svc!G10</f>
        <v>31119</v>
      </c>
      <c r="E11" t="str">
        <f>svc!I10</f>
        <v>das_middleware</v>
      </c>
      <c r="F11" t="str">
        <f>svc!S10</f>
        <v>http://ltm630:8000/dmz630/das_middleware</v>
      </c>
    </row>
    <row r="12" spans="1:12" hidden="1">
      <c r="A12">
        <f>svc!A109</f>
        <v>143</v>
      </c>
      <c r="B12" t="str">
        <f>svc!B109</f>
        <v>v630</v>
      </c>
      <c r="C12" t="str">
        <f>svc!D109</f>
        <v>dmz</v>
      </c>
      <c r="D12">
        <f>svc!G109</f>
        <v>31129</v>
      </c>
      <c r="E12" t="str">
        <f>svc!I109</f>
        <v>das_middleware_video</v>
      </c>
      <c r="F12" t="str">
        <f>svc!S109</f>
        <v>http://ltm630:8000/dmz630/das_middleware_video</v>
      </c>
    </row>
    <row r="13" spans="1:12" hidden="1">
      <c r="A13">
        <f>svc!A11</f>
        <v>8</v>
      </c>
      <c r="B13" t="str">
        <f>svc!B11</f>
        <v>v504</v>
      </c>
      <c r="C13" t="str">
        <f>svc!D11</f>
        <v>dmz</v>
      </c>
      <c r="D13">
        <f>svc!G11</f>
        <v>31013</v>
      </c>
      <c r="E13" t="str">
        <f>svc!I11</f>
        <v>ecms_portal</v>
      </c>
      <c r="F13" t="str">
        <f>svc!S11</f>
        <v/>
      </c>
    </row>
    <row r="14" spans="1:12" hidden="1">
      <c r="A14">
        <f>svc!A12</f>
        <v>119</v>
      </c>
      <c r="B14" t="str">
        <f>svc!B12</f>
        <v>v504</v>
      </c>
      <c r="C14" t="str">
        <f>svc!D12</f>
        <v>dmz</v>
      </c>
      <c r="D14">
        <f>svc!G12</f>
        <v>31013</v>
      </c>
      <c r="E14" t="str">
        <f>svc!I12</f>
        <v>ecms_portal</v>
      </c>
      <c r="F14" t="str">
        <f>svc!S12</f>
        <v/>
      </c>
    </row>
    <row r="15" spans="1:12" hidden="1">
      <c r="A15">
        <f>svc!A13</f>
        <v>9</v>
      </c>
      <c r="B15" t="str">
        <f>svc!B13</f>
        <v>v804</v>
      </c>
      <c r="C15" t="str">
        <f>svc!D13</f>
        <v>dmz</v>
      </c>
      <c r="D15">
        <f>svc!G13</f>
        <v>31029</v>
      </c>
      <c r="E15" t="str">
        <f>svc!I13</f>
        <v>ffts_web</v>
      </c>
      <c r="F15" t="str">
        <f>svc!S13</f>
        <v/>
      </c>
    </row>
    <row r="16" spans="1:12" hidden="1">
      <c r="A16">
        <f>svc!A14</f>
        <v>10</v>
      </c>
      <c r="B16" t="str">
        <f>svc!B14</f>
        <v>v504</v>
      </c>
      <c r="C16" t="str">
        <f>svc!D14</f>
        <v>dmz</v>
      </c>
      <c r="D16">
        <f>svc!G14</f>
        <v>31400</v>
      </c>
      <c r="E16" t="str">
        <f>svc!I14</f>
        <v>notification_result</v>
      </c>
      <c r="F16" t="str">
        <f>svc!S14</f>
        <v>http://ltm504:8000/dmz504/notification_result</v>
      </c>
    </row>
    <row r="17" spans="1:10" hidden="1">
      <c r="A17">
        <f>svc!A15</f>
        <v>11</v>
      </c>
      <c r="B17" t="str">
        <f>svc!B15</f>
        <v>v504</v>
      </c>
      <c r="C17" t="str">
        <f>svc!D15</f>
        <v>dmz</v>
      </c>
      <c r="D17">
        <f>svc!G15</f>
        <v>31031</v>
      </c>
      <c r="E17" t="str">
        <f>svc!I15</f>
        <v>payment_middleware</v>
      </c>
      <c r="F17" t="str">
        <f>svc!S15</f>
        <v>http://ltm504:8000/dmz504/payment_middleware</v>
      </c>
    </row>
    <row r="18" spans="1:10" hidden="1">
      <c r="A18">
        <f>svc!A16</f>
        <v>12</v>
      </c>
      <c r="B18" t="str">
        <f>svc!B16</f>
        <v>v630_itoms2</v>
      </c>
      <c r="C18" t="str">
        <f>svc!D16</f>
        <v>dmz</v>
      </c>
      <c r="D18">
        <f>svc!G16</f>
        <v>31002</v>
      </c>
      <c r="E18" t="str">
        <f>svc!I16</f>
        <v>toms_middleware</v>
      </c>
      <c r="F18" t="str">
        <f>svc!S16</f>
        <v>http://ltm630_itoms2:8000/dmz630_itoms2/toms_middleware</v>
      </c>
    </row>
    <row r="19" spans="1:10" hidden="1">
      <c r="A19">
        <f>svc!A17</f>
        <v>13</v>
      </c>
      <c r="B19" t="str">
        <f>svc!B17</f>
        <v>v504_itoms1</v>
      </c>
      <c r="C19" t="str">
        <f>svc!D17</f>
        <v>dmz</v>
      </c>
      <c r="D19">
        <f>svc!G17</f>
        <v>31030</v>
      </c>
      <c r="E19" t="str">
        <f>svc!I17</f>
        <v>toms_portal</v>
      </c>
      <c r="F19" t="str">
        <f>svc!S17</f>
        <v/>
      </c>
    </row>
    <row r="20" spans="1:10" hidden="1">
      <c r="A20">
        <f>svc!A18</f>
        <v>14</v>
      </c>
      <c r="B20" t="str">
        <f>svc!B18</f>
        <v>v504</v>
      </c>
      <c r="C20" t="str">
        <f>svc!D18</f>
        <v>dmz</v>
      </c>
      <c r="D20">
        <f>svc!G18</f>
        <v>31401</v>
      </c>
      <c r="E20" t="str">
        <f>svc!I18</f>
        <v>tsp_middleware</v>
      </c>
      <c r="F20" t="str">
        <f>svc!S18</f>
        <v>http://ltm504:8000/dmz504/tsp_middleware</v>
      </c>
    </row>
    <row r="21" spans="1:10" hidden="1">
      <c r="A21">
        <f>svc!A19</f>
        <v>15</v>
      </c>
      <c r="B21" t="str">
        <f>svc!B19</f>
        <v>v504</v>
      </c>
      <c r="C21" t="str">
        <f>svc!D19</f>
        <v>dmz</v>
      </c>
      <c r="D21">
        <f>svc!G19</f>
        <v>31402</v>
      </c>
      <c r="E21" t="str">
        <f>svc!I19</f>
        <v>ttis_middleware</v>
      </c>
      <c r="F21" t="str">
        <f>svc!S19</f>
        <v>http://ltm504:8000/dmz504/ttis_middleware</v>
      </c>
    </row>
    <row r="22" spans="1:10" hidden="1">
      <c r="A22">
        <f>svc!A20</f>
        <v>16</v>
      </c>
      <c r="B22" t="str">
        <f>svc!B20</f>
        <v>v904</v>
      </c>
      <c r="C22" t="str">
        <f>svc!D20</f>
        <v>dmz</v>
      </c>
      <c r="D22">
        <f>svc!G20</f>
        <v>31403</v>
      </c>
      <c r="E22" t="str">
        <f>svc!I20</f>
        <v>validv_middleware</v>
      </c>
      <c r="F22" t="str">
        <f>svc!S20</f>
        <v>http://ltm904:8000/dmz904/validv_middleware</v>
      </c>
    </row>
    <row r="23" spans="1:10" hidden="1">
      <c r="A23">
        <f>svc!A21</f>
        <v>17</v>
      </c>
      <c r="B23" t="str">
        <f>svc!B21</f>
        <v>v904</v>
      </c>
      <c r="C23" t="str">
        <f>svc!D21</f>
        <v>dmz</v>
      </c>
      <c r="D23">
        <f>svc!G21</f>
        <v>31404</v>
      </c>
      <c r="E23" t="str">
        <f>svc!I21</f>
        <v>vssd_middleware</v>
      </c>
      <c r="F23" t="str">
        <f>svc!S21</f>
        <v>http://ltm904:8000/dmz904/vssd_middleware</v>
      </c>
    </row>
    <row r="24" spans="1:10">
      <c r="A24">
        <f>svc!A22</f>
        <v>18</v>
      </c>
      <c r="B24" t="str">
        <f>svc!B22</f>
        <v>v510</v>
      </c>
      <c r="C24" t="str">
        <f>svc!D22</f>
        <v>trust</v>
      </c>
      <c r="D24">
        <f>svc!G22</f>
        <v>31009</v>
      </c>
      <c r="E24" t="str">
        <f>svc!I22</f>
        <v>accmgt_api</v>
      </c>
      <c r="F24" t="str">
        <f>SUBSTITUTE(svc!S22,"http://","")</f>
        <v>ltm510:8000/trust510/accmgt_api</v>
      </c>
      <c r="G24" t="str">
        <f>CONCATENATE("10.14.0.50:",D24,"/")</f>
        <v>10.14.0.50:31009/</v>
      </c>
      <c r="H24" s="124" t="str">
        <f>CONCATENATE(SUBSTITUTE(F24,"ltm510","172.24.149.183"),"/")</f>
        <v>172.24.149.183:8000/trust510/accmgt_api/</v>
      </c>
      <c r="I24" t="str">
        <f>CONCATENATE(",",SUBSTITUTE(SUBSTITUTE(SUBSTITUTE($H$1,"&lt;app_name&gt;",E24),"&lt;stg_url&gt;",G24),"&lt;nonprod_url&gt;",H24))</f>
        <v>,{"accmgt_api": { "stg_url": "10.14.0.50:31009/", "nonprod_url":"172.24.149.183:8000/trust510/accmgt_api/" }}</v>
      </c>
      <c r="J24" t="str">
        <f>SUBSTITUTE(SUBSTITUTE($J$1,"&lt;node_port&gt;",D24),"&lt;app_name&gt;",E24)</f>
        <v>"accmgt_api":"31009",</v>
      </c>
    </row>
    <row r="25" spans="1:10">
      <c r="A25">
        <f>svc!A23</f>
        <v>19</v>
      </c>
      <c r="B25" t="str">
        <f>svc!B23</f>
        <v>v510</v>
      </c>
      <c r="C25" t="str">
        <f>svc!D23</f>
        <v>trust</v>
      </c>
      <c r="D25">
        <f>svc!G23</f>
        <v>31000</v>
      </c>
      <c r="E25" t="str">
        <f>svc!I23</f>
        <v>auth_api</v>
      </c>
      <c r="F25" t="str">
        <f>SUBSTITUTE(svc!S23,"http://","")</f>
        <v>ltm510:8000/trust510/auth_api</v>
      </c>
      <c r="G25" t="str">
        <f t="shared" ref="G25:G26" si="0">CONCATENATE("10.14.0.50:",D25,"/")</f>
        <v>10.14.0.50:31000/</v>
      </c>
      <c r="H25" s="124" t="str">
        <f>CONCATENATE(SUBSTITUTE(F25,"ltm510","172.24.149.183"),"/")</f>
        <v>172.24.149.183:8000/trust510/auth_api/</v>
      </c>
      <c r="I25" t="str">
        <f t="shared" ref="I25:I26" si="1">CONCATENATE(",",SUBSTITUTE(SUBSTITUTE(SUBSTITUTE($H$1,"&lt;app_name&gt;",E25),"&lt;stg_url&gt;",G25),"&lt;nonprod_url&gt;",H25))</f>
        <v>,{"auth_api": { "stg_url": "10.14.0.50:31000/", "nonprod_url":"172.24.149.183:8000/trust510/auth_api/" }}</v>
      </c>
      <c r="J25" t="str">
        <f t="shared" ref="J25:J26" si="2">SUBSTITUTE(SUBSTITUTE($J$1,"&lt;node_port&gt;",D25),"&lt;app_name&gt;",E25)</f>
        <v>"auth_api":"31000",</v>
      </c>
    </row>
    <row r="26" spans="1:10">
      <c r="A26">
        <f>svc!A24</f>
        <v>20</v>
      </c>
      <c r="B26" t="str">
        <f>svc!B24</f>
        <v>v510</v>
      </c>
      <c r="C26" t="str">
        <f>svc!D24</f>
        <v>trust</v>
      </c>
      <c r="D26">
        <f>svc!G24</f>
        <v>31201</v>
      </c>
      <c r="E26" t="str">
        <f>svc!I24</f>
        <v>bes_acc_im001_fft_account_registration</v>
      </c>
      <c r="F26" t="str">
        <f>SUBSTITUTE(svc!S24,"http://","")</f>
        <v>ltm510:8000/trust510/bes_acc_im001_fft_account_registration</v>
      </c>
      <c r="G26" t="str">
        <f t="shared" si="0"/>
        <v>10.14.0.50:31201/</v>
      </c>
      <c r="H26" s="124" t="str">
        <f>CONCATENATE(SUBSTITUTE(F26,"ltm510","172.24.149.183"),"/")</f>
        <v>172.24.149.183:8000/trust510/bes_acc_im001_fft_account_registration/</v>
      </c>
      <c r="I26" t="str">
        <f t="shared" si="1"/>
        <v>,{"bes_acc_im001_fft_account_registration": { "stg_url": "10.14.0.50:31201/", "nonprod_url":"172.24.149.183:8000/trust510/bes_acc_im001_fft_account_registration/" }}</v>
      </c>
      <c r="J26" t="str">
        <f t="shared" si="2"/>
        <v>"bes_acc_im001_fft_account_registration":"31201",</v>
      </c>
    </row>
    <row r="27" spans="1:10" hidden="1">
      <c r="A27">
        <f>svc!A25</f>
        <v>21</v>
      </c>
      <c r="B27" t="str">
        <f>svc!B25</f>
        <v>v810</v>
      </c>
      <c r="C27" t="str">
        <f>svc!D25</f>
        <v>trust</v>
      </c>
      <c r="D27">
        <f>svc!G25</f>
        <v>31201</v>
      </c>
      <c r="E27" t="str">
        <f>svc!I25</f>
        <v>bes_acc_im001_fft_account_registration</v>
      </c>
      <c r="F27" t="str">
        <f>svc!S25</f>
        <v>http://ltm810:8000/trust810/bes_acc_im001_fft_account_registration</v>
      </c>
    </row>
    <row r="28" spans="1:10">
      <c r="A28">
        <f>svc!A26</f>
        <v>22</v>
      </c>
      <c r="B28" t="str">
        <f>svc!B26</f>
        <v>v510</v>
      </c>
      <c r="C28" t="str">
        <f>svc!D26</f>
        <v>trust</v>
      </c>
      <c r="D28">
        <f>svc!G26</f>
        <v>31202</v>
      </c>
      <c r="E28" t="str">
        <f>svc!I26</f>
        <v>bes_acc_im002_fft_vehicle_management</v>
      </c>
      <c r="F28" t="str">
        <f>SUBSTITUTE(svc!S26,"http://","")</f>
        <v>ltm510:8000/trust510/bes_acc_im002_fft_vehicle_management</v>
      </c>
      <c r="G28" t="str">
        <f>CONCATENATE("10.14.0.50:",D28,"/")</f>
        <v>10.14.0.50:31202/</v>
      </c>
      <c r="H28" s="124" t="str">
        <f>CONCATENATE(SUBSTITUTE(F28,"ltm510","172.24.149.183"),"/")</f>
        <v>172.24.149.183:8000/trust510/bes_acc_im002_fft_vehicle_management/</v>
      </c>
      <c r="I28" t="str">
        <f>CONCATENATE(",",SUBSTITUTE(SUBSTITUTE(SUBSTITUTE($H$1,"&lt;app_name&gt;",E28),"&lt;stg_url&gt;",G28),"&lt;nonprod_url&gt;",H28))</f>
        <v>,{"bes_acc_im002_fft_vehicle_management": { "stg_url": "10.14.0.50:31202/", "nonprod_url":"172.24.149.183:8000/trust510/bes_acc_im002_fft_vehicle_management/" }}</v>
      </c>
      <c r="J28" t="str">
        <f>SUBSTITUTE(SUBSTITUTE($J$1,"&lt;node_port&gt;",D28),"&lt;app_name&gt;",E28)</f>
        <v>"bes_acc_im002_fft_vehicle_management":"31202",</v>
      </c>
    </row>
    <row r="29" spans="1:10" hidden="1">
      <c r="A29">
        <f>svc!A27</f>
        <v>23</v>
      </c>
      <c r="B29" t="str">
        <f>svc!B27</f>
        <v>v810</v>
      </c>
      <c r="C29" t="str">
        <f>svc!D27</f>
        <v>trust</v>
      </c>
      <c r="D29">
        <f>svc!G27</f>
        <v>31202</v>
      </c>
      <c r="E29" t="str">
        <f>svc!I27</f>
        <v>bes_acc_im002_fft_vehicle_management</v>
      </c>
      <c r="F29" t="str">
        <f>svc!S27</f>
        <v>http://ltm810:8000/trust810/bes_acc_im002_fft_vehicle_management</v>
      </c>
    </row>
    <row r="30" spans="1:10">
      <c r="A30">
        <f>svc!A28</f>
        <v>24</v>
      </c>
      <c r="B30" t="str">
        <f>svc!B28</f>
        <v>v510</v>
      </c>
      <c r="C30" t="str">
        <f>svc!D28</f>
        <v>trust</v>
      </c>
      <c r="D30">
        <f>svc!G28</f>
        <v>31203</v>
      </c>
      <c r="E30" t="str">
        <f>svc!I28</f>
        <v>bes_acc_im003_fft_vehicle_group_management</v>
      </c>
      <c r="F30" t="str">
        <f>SUBSTITUTE(svc!S28,"http://","")</f>
        <v>ltm510:8000/trust510/bes_acc_im003_fft_vehicle_group_management</v>
      </c>
      <c r="G30" t="str">
        <f>CONCATENATE("10.14.0.50:",D30,"/")</f>
        <v>10.14.0.50:31203/</v>
      </c>
      <c r="H30" s="124" t="str">
        <f>CONCATENATE(SUBSTITUTE(F30,"ltm510","172.24.149.183"),"/")</f>
        <v>172.24.149.183:8000/trust510/bes_acc_im003_fft_vehicle_group_management/</v>
      </c>
      <c r="I30" t="str">
        <f>CONCATENATE(",",SUBSTITUTE(SUBSTITUTE(SUBSTITUTE($H$1,"&lt;app_name&gt;",E30),"&lt;stg_url&gt;",G30),"&lt;nonprod_url&gt;",H30))</f>
        <v>,{"bes_acc_im003_fft_vehicle_group_management": { "stg_url": "10.14.0.50:31203/", "nonprod_url":"172.24.149.183:8000/trust510/bes_acc_im003_fft_vehicle_group_management/" }}</v>
      </c>
      <c r="J30" t="str">
        <f>SUBSTITUTE(SUBSTITUTE($J$1,"&lt;node_port&gt;",D30),"&lt;app_name&gt;",E30)</f>
        <v>"bes_acc_im003_fft_vehicle_group_management":"31203",</v>
      </c>
    </row>
    <row r="31" spans="1:10" hidden="1">
      <c r="A31">
        <f>svc!A29</f>
        <v>25</v>
      </c>
      <c r="B31" t="str">
        <f>svc!B29</f>
        <v>v810</v>
      </c>
      <c r="C31" t="str">
        <f>svc!D29</f>
        <v>trust</v>
      </c>
      <c r="D31">
        <f>svc!G29</f>
        <v>31203</v>
      </c>
      <c r="E31" t="str">
        <f>svc!I29</f>
        <v>bes_acc_im003_fft_vehicle_group_management</v>
      </c>
      <c r="F31" t="str">
        <f>svc!S29</f>
        <v>http://ltm810:8000/trust810/bes_acc_im003_fft_vehicle_group_management</v>
      </c>
    </row>
    <row r="32" spans="1:10">
      <c r="A32">
        <f>svc!A30</f>
        <v>26</v>
      </c>
      <c r="B32" t="str">
        <f>svc!B30</f>
        <v>v510</v>
      </c>
      <c r="C32" t="str">
        <f>svc!D30</f>
        <v>trust</v>
      </c>
      <c r="D32">
        <f>svc!G30</f>
        <v>31204</v>
      </c>
      <c r="E32" t="str">
        <f>svc!I30</f>
        <v>bes_acc_im004_fft_account_search</v>
      </c>
      <c r="F32" t="str">
        <f>SUBSTITUTE(svc!S30,"http://","")</f>
        <v>ltm510:8000/trust510/bes_acc_im004_fft_account_search</v>
      </c>
      <c r="G32" t="str">
        <f>CONCATENATE("10.14.0.50:",D32,"/")</f>
        <v>10.14.0.50:31204/</v>
      </c>
      <c r="H32" s="124" t="str">
        <f>CONCATENATE(SUBSTITUTE(F32,"ltm510","172.24.149.183"),"/")</f>
        <v>172.24.149.183:8000/trust510/bes_acc_im004_fft_account_search/</v>
      </c>
      <c r="I32" t="str">
        <f>CONCATENATE(",",SUBSTITUTE(SUBSTITUTE(SUBSTITUTE($H$1,"&lt;app_name&gt;",E32),"&lt;stg_url&gt;",G32),"&lt;nonprod_url&gt;",H32))</f>
        <v>,{"bes_acc_im004_fft_account_search": { "stg_url": "10.14.0.50:31204/", "nonprod_url":"172.24.149.183:8000/trust510/bes_acc_im004_fft_account_search/" }}</v>
      </c>
      <c r="J32" t="str">
        <f>SUBSTITUTE(SUBSTITUTE($J$1,"&lt;node_port&gt;",D32),"&lt;app_name&gt;",E32)</f>
        <v>"bes_acc_im004_fft_account_search":"31204",</v>
      </c>
    </row>
    <row r="33" spans="1:10" hidden="1">
      <c r="A33">
        <f>svc!A31</f>
        <v>27</v>
      </c>
      <c r="B33" t="str">
        <f>svc!B31</f>
        <v>v810</v>
      </c>
      <c r="C33" t="str">
        <f>svc!D31</f>
        <v>trust</v>
      </c>
      <c r="D33">
        <f>svc!G31</f>
        <v>31204</v>
      </c>
      <c r="E33" t="str">
        <f>svc!I31</f>
        <v>bes_acc_im004_fft_account_search</v>
      </c>
      <c r="F33" t="str">
        <f>svc!S31</f>
        <v>http://ltm810:8000/trust810/bes_acc_im004_fft_account_search</v>
      </c>
    </row>
    <row r="34" spans="1:10">
      <c r="A34">
        <f>svc!A32</f>
        <v>28</v>
      </c>
      <c r="B34" t="str">
        <f>svc!B32</f>
        <v>v510</v>
      </c>
      <c r="C34" t="str">
        <f>svc!D32</f>
        <v>trust</v>
      </c>
      <c r="D34">
        <f>svc!G32</f>
        <v>31205</v>
      </c>
      <c r="E34" t="str">
        <f>svc!I32</f>
        <v>bes_acc_im005_fft_driver_approval</v>
      </c>
      <c r="F34" t="str">
        <f>SUBSTITUTE(svc!S32,"http://","")</f>
        <v>ltm510:8000/trust510/bes_acc_im005_fft_driver_approval</v>
      </c>
      <c r="G34" t="str">
        <f>CONCATENATE("10.14.0.50:",D34,"/")</f>
        <v>10.14.0.50:31205/</v>
      </c>
      <c r="H34" s="124" t="str">
        <f>CONCATENATE(SUBSTITUTE(F34,"ltm510","172.24.149.183"),"/")</f>
        <v>172.24.149.183:8000/trust510/bes_acc_im005_fft_driver_approval/</v>
      </c>
      <c r="I34" t="str">
        <f>CONCATENATE(",",SUBSTITUTE(SUBSTITUTE(SUBSTITUTE($H$1,"&lt;app_name&gt;",E34),"&lt;stg_url&gt;",G34),"&lt;nonprod_url&gt;",H34))</f>
        <v>,{"bes_acc_im005_fft_driver_approval": { "stg_url": "10.14.0.50:31205/", "nonprod_url":"172.24.149.183:8000/trust510/bes_acc_im005_fft_driver_approval/" }}</v>
      </c>
      <c r="J34" t="str">
        <f>SUBSTITUTE(SUBSTITUTE($J$1,"&lt;node_port&gt;",D34),"&lt;app_name&gt;",E34)</f>
        <v>"bes_acc_im005_fft_driver_approval":"31205",</v>
      </c>
    </row>
    <row r="35" spans="1:10" hidden="1">
      <c r="A35">
        <f>svc!A33</f>
        <v>29</v>
      </c>
      <c r="B35" t="str">
        <f>svc!B33</f>
        <v>v810</v>
      </c>
      <c r="C35" t="str">
        <f>svc!D33</f>
        <v>trust</v>
      </c>
      <c r="D35">
        <f>svc!G33</f>
        <v>31205</v>
      </c>
      <c r="E35" t="str">
        <f>svc!I33</f>
        <v>bes_acc_im005_fft_driver_approval</v>
      </c>
      <c r="F35" t="str">
        <f>svc!S33</f>
        <v>http://ltm810:8000/trust810/bes_acc_im005_fft_driver_approval</v>
      </c>
    </row>
    <row r="36" spans="1:10">
      <c r="A36">
        <f>svc!A34</f>
        <v>30</v>
      </c>
      <c r="B36" t="str">
        <f>svc!B34</f>
        <v>v510</v>
      </c>
      <c r="C36" t="str">
        <f>svc!D34</f>
        <v>trust</v>
      </c>
      <c r="D36">
        <f>svc!G34</f>
        <v>31206</v>
      </c>
      <c r="E36" t="str">
        <f>svc!I34</f>
        <v>bes_acc_im006_fft_account_management</v>
      </c>
      <c r="F36" t="str">
        <f>SUBSTITUTE(svc!S34,"http://","")</f>
        <v>ltm510:8000/trust510/bes_acc_im006_fft_account_management</v>
      </c>
      <c r="G36" t="str">
        <f>CONCATENATE("10.14.0.50:",D36,"/")</f>
        <v>10.14.0.50:31206/</v>
      </c>
      <c r="H36" s="124" t="str">
        <f>CONCATENATE(SUBSTITUTE(F36,"ltm510","172.24.149.183"),"/")</f>
        <v>172.24.149.183:8000/trust510/bes_acc_im006_fft_account_management/</v>
      </c>
      <c r="I36" t="str">
        <f>CONCATENATE(",",SUBSTITUTE(SUBSTITUTE(SUBSTITUTE($H$1,"&lt;app_name&gt;",E36),"&lt;stg_url&gt;",G36),"&lt;nonprod_url&gt;",H36))</f>
        <v>,{"bes_acc_im006_fft_account_management": { "stg_url": "10.14.0.50:31206/", "nonprod_url":"172.24.149.183:8000/trust510/bes_acc_im006_fft_account_management/" }}</v>
      </c>
      <c r="J36" t="str">
        <f>SUBSTITUTE(SUBSTITUTE($J$1,"&lt;node_port&gt;",D36),"&lt;app_name&gt;",E36)</f>
        <v>"bes_acc_im006_fft_account_management":"31206",</v>
      </c>
    </row>
    <row r="37" spans="1:10" hidden="1">
      <c r="A37">
        <f>svc!A35</f>
        <v>31</v>
      </c>
      <c r="B37" t="str">
        <f>svc!B35</f>
        <v>v810</v>
      </c>
      <c r="C37" t="str">
        <f>svc!D35</f>
        <v>trust</v>
      </c>
      <c r="D37">
        <f>svc!G35</f>
        <v>31206</v>
      </c>
      <c r="E37" t="str">
        <f>svc!I35</f>
        <v>bes_acc_im006_fft_account_management</v>
      </c>
      <c r="F37" t="str">
        <f>svc!S35</f>
        <v>http://ltm810:8000/trust810/bes_acc_im006_fft_account_management</v>
      </c>
    </row>
    <row r="38" spans="1:10">
      <c r="A38">
        <f>svc!A36</f>
        <v>32</v>
      </c>
      <c r="B38" t="str">
        <f>svc!B36</f>
        <v>v510</v>
      </c>
      <c r="C38" t="str">
        <f>svc!D36</f>
        <v>trust</v>
      </c>
      <c r="D38">
        <f>svc!G36</f>
        <v>31207</v>
      </c>
      <c r="E38" t="str">
        <f>svc!I36</f>
        <v>bes_acc_im007_fft_vehicle_pairing</v>
      </c>
      <c r="F38" t="str">
        <f>SUBSTITUTE(svc!S36,"http://","")</f>
        <v>ltm510:8000/trust510/bes_acc_im007_fft_vehicle_pairing</v>
      </c>
      <c r="G38" t="str">
        <f>CONCATENATE("10.14.0.50:",D38,"/")</f>
        <v>10.14.0.50:31207/</v>
      </c>
      <c r="H38" s="124" t="str">
        <f>CONCATENATE(SUBSTITUTE(F38,"ltm510","172.24.149.183"),"/")</f>
        <v>172.24.149.183:8000/trust510/bes_acc_im007_fft_vehicle_pairing/</v>
      </c>
      <c r="I38" t="str">
        <f>CONCATENATE(",",SUBSTITUTE(SUBSTITUTE(SUBSTITUTE($H$1,"&lt;app_name&gt;",E38),"&lt;stg_url&gt;",G38),"&lt;nonprod_url&gt;",H38))</f>
        <v>,{"bes_acc_im007_fft_vehicle_pairing": { "stg_url": "10.14.0.50:31207/", "nonprod_url":"172.24.149.183:8000/trust510/bes_acc_im007_fft_vehicle_pairing/" }}</v>
      </c>
      <c r="J38" t="str">
        <f>SUBSTITUTE(SUBSTITUTE($J$1,"&lt;node_port&gt;",D38),"&lt;app_name&gt;",E38)</f>
        <v>"bes_acc_im007_fft_vehicle_pairing":"31207",</v>
      </c>
    </row>
    <row r="39" spans="1:10" hidden="1">
      <c r="A39">
        <f>svc!A37</f>
        <v>33</v>
      </c>
      <c r="B39" t="str">
        <f>svc!B37</f>
        <v>v810</v>
      </c>
      <c r="C39" t="str">
        <f>svc!D37</f>
        <v>trust</v>
      </c>
      <c r="D39">
        <f>svc!G37</f>
        <v>31207</v>
      </c>
      <c r="E39" t="str">
        <f>svc!I37</f>
        <v>bes_acc_im007_fft_vehicle_pairing</v>
      </c>
      <c r="F39" t="str">
        <f>svc!S37</f>
        <v>http://ltm810:8000/trust810/bes_acc_im007_fft_vehicle_pairing</v>
      </c>
    </row>
    <row r="40" spans="1:10">
      <c r="A40">
        <f>svc!A38</f>
        <v>34</v>
      </c>
      <c r="B40" t="str">
        <f>svc!B38</f>
        <v>v510</v>
      </c>
      <c r="C40" t="str">
        <f>svc!D38</f>
        <v>trust</v>
      </c>
      <c r="D40">
        <f>svc!G38</f>
        <v>31208</v>
      </c>
      <c r="E40" t="str">
        <f>svc!I38</f>
        <v>bes_acc_im008_fft_tag_management</v>
      </c>
      <c r="F40" t="str">
        <f>SUBSTITUTE(svc!S38,"http://","")</f>
        <v>ltm510:8000/trust510/bes_acc_im008_fft_tag_management</v>
      </c>
      <c r="G40" t="str">
        <f>CONCATENATE("10.14.0.50:",D40,"/")</f>
        <v>10.14.0.50:31208/</v>
      </c>
      <c r="H40" s="124" t="str">
        <f>CONCATENATE(SUBSTITUTE(F40,"ltm510","172.24.149.183"),"/")</f>
        <v>172.24.149.183:8000/trust510/bes_acc_im008_fft_tag_management/</v>
      </c>
      <c r="I40" t="str">
        <f>CONCATENATE(",",SUBSTITUTE(SUBSTITUTE(SUBSTITUTE($H$1,"&lt;app_name&gt;",E40),"&lt;stg_url&gt;",G40),"&lt;nonprod_url&gt;",H40))</f>
        <v>,{"bes_acc_im008_fft_tag_management": { "stg_url": "10.14.0.50:31208/", "nonprod_url":"172.24.149.183:8000/trust510/bes_acc_im008_fft_tag_management/" }}</v>
      </c>
      <c r="J40" t="str">
        <f>SUBSTITUTE(SUBSTITUTE($J$1,"&lt;node_port&gt;",D40),"&lt;app_name&gt;",E40)</f>
        <v>"bes_acc_im008_fft_tag_management":"31208",</v>
      </c>
    </row>
    <row r="41" spans="1:10" hidden="1">
      <c r="A41">
        <f>svc!A39</f>
        <v>35</v>
      </c>
      <c r="B41" t="str">
        <f>svc!B39</f>
        <v>v810</v>
      </c>
      <c r="C41" t="str">
        <f>svc!D39</f>
        <v>trust</v>
      </c>
      <c r="D41">
        <f>svc!G39</f>
        <v>31208</v>
      </c>
      <c r="E41" t="str">
        <f>svc!I39</f>
        <v>bes_acc_im008_fft_tag_management</v>
      </c>
      <c r="F41" t="str">
        <f>svc!S39</f>
        <v>http://ltm810:8000/trust810/bes_acc_im008_fft_tag_management</v>
      </c>
    </row>
    <row r="42" spans="1:10">
      <c r="A42">
        <f>svc!A40</f>
        <v>36</v>
      </c>
      <c r="B42" t="str">
        <f>svc!B40</f>
        <v>v510</v>
      </c>
      <c r="C42" t="str">
        <f>svc!D40</f>
        <v>trust</v>
      </c>
      <c r="D42">
        <f>svc!G40</f>
        <v>31209</v>
      </c>
      <c r="E42" t="str">
        <f>svc!I40</f>
        <v>bes_acc_im009_fft_payment_and_billing</v>
      </c>
      <c r="F42" t="str">
        <f>SUBSTITUTE(svc!S40,"http://","")</f>
        <v>ltm510:8000/trust510/bes_acc_im009_fft_payment_and_billing</v>
      </c>
      <c r="G42" t="str">
        <f>CONCATENATE("10.14.0.50:",D42,"/")</f>
        <v>10.14.0.50:31209/</v>
      </c>
      <c r="H42" s="124" t="str">
        <f>CONCATENATE(SUBSTITUTE(F42,"ltm510","172.24.149.183"),"/")</f>
        <v>172.24.149.183:8000/trust510/bes_acc_im009_fft_payment_and_billing/</v>
      </c>
      <c r="I42" t="str">
        <f>CONCATENATE(",",SUBSTITUTE(SUBSTITUTE(SUBSTITUTE($H$1,"&lt;app_name&gt;",E42),"&lt;stg_url&gt;",G42),"&lt;nonprod_url&gt;",H42))</f>
        <v>,{"bes_acc_im009_fft_payment_and_billing": { "stg_url": "10.14.0.50:31209/", "nonprod_url":"172.24.149.183:8000/trust510/bes_acc_im009_fft_payment_and_billing/" }}</v>
      </c>
      <c r="J42" t="str">
        <f>SUBSTITUTE(SUBSTITUTE($J$1,"&lt;node_port&gt;",D42),"&lt;app_name&gt;",E42)</f>
        <v>"bes_acc_im009_fft_payment_and_billing":"31209",</v>
      </c>
    </row>
    <row r="43" spans="1:10" hidden="1">
      <c r="A43">
        <f>svc!A41</f>
        <v>37</v>
      </c>
      <c r="B43" t="str">
        <f>svc!B41</f>
        <v>v810</v>
      </c>
      <c r="C43" t="str">
        <f>svc!D41</f>
        <v>trust</v>
      </c>
      <c r="D43">
        <f>svc!G41</f>
        <v>31209</v>
      </c>
      <c r="E43" t="str">
        <f>svc!I41</f>
        <v>bes_acc_im009_fft_payment_and_billing</v>
      </c>
      <c r="F43" t="str">
        <f>svc!S41</f>
        <v>http://ltm810:8000/trust810/bes_acc_im009_fft_payment_and_billing</v>
      </c>
    </row>
    <row r="44" spans="1:10">
      <c r="A44">
        <f>svc!A42</f>
        <v>38</v>
      </c>
      <c r="B44" t="str">
        <f>svc!B42</f>
        <v>v510</v>
      </c>
      <c r="C44" t="str">
        <f>svc!D42</f>
        <v>trust</v>
      </c>
      <c r="D44">
        <f>svc!G42</f>
        <v>31210</v>
      </c>
      <c r="E44" t="str">
        <f>svc!I42</f>
        <v>bes_acc_im010_fft_transaction</v>
      </c>
      <c r="F44" t="str">
        <f>SUBSTITUTE(svc!S42,"http://","")</f>
        <v>ltm510:8000/trust510/bes_acc_im010_fft_transaction</v>
      </c>
      <c r="G44" t="str">
        <f>CONCATENATE("10.14.0.50:",D44,"/")</f>
        <v>10.14.0.50:31210/</v>
      </c>
      <c r="H44" s="124" t="str">
        <f>CONCATENATE(SUBSTITUTE(F44,"ltm510","172.24.149.183"),"/")</f>
        <v>172.24.149.183:8000/trust510/bes_acc_im010_fft_transaction/</v>
      </c>
      <c r="I44" t="str">
        <f>CONCATENATE(",",SUBSTITUTE(SUBSTITUTE(SUBSTITUTE($H$1,"&lt;app_name&gt;",E44),"&lt;stg_url&gt;",G44),"&lt;nonprod_url&gt;",H44))</f>
        <v>,{"bes_acc_im010_fft_transaction": { "stg_url": "10.14.0.50:31210/", "nonprod_url":"172.24.149.183:8000/trust510/bes_acc_im010_fft_transaction/" }}</v>
      </c>
      <c r="J44" t="str">
        <f>SUBSTITUTE(SUBSTITUTE($J$1,"&lt;node_port&gt;",D44),"&lt;app_name&gt;",E44)</f>
        <v>"bes_acc_im010_fft_transaction":"31210",</v>
      </c>
    </row>
    <row r="45" spans="1:10" hidden="1">
      <c r="A45">
        <f>svc!A43</f>
        <v>39</v>
      </c>
      <c r="B45" t="str">
        <f>svc!B43</f>
        <v>v810</v>
      </c>
      <c r="C45" t="str">
        <f>svc!D43</f>
        <v>trust</v>
      </c>
      <c r="D45">
        <f>svc!G43</f>
        <v>31210</v>
      </c>
      <c r="E45" t="str">
        <f>svc!I43</f>
        <v>bes_acc_im010_fft_transaction</v>
      </c>
      <c r="F45" t="str">
        <f>svc!S43</f>
        <v>http://ltm810:8000/trust810/bes_acc_im010_fft_transaction</v>
      </c>
    </row>
    <row r="46" spans="1:10">
      <c r="A46">
        <f>svc!A44</f>
        <v>101</v>
      </c>
      <c r="B46" t="str">
        <f>svc!B44</f>
        <v>v510</v>
      </c>
      <c r="C46" t="str">
        <f>svc!D44</f>
        <v>trust</v>
      </c>
      <c r="D46">
        <f>svc!G44</f>
        <v>31212</v>
      </c>
      <c r="E46" t="str">
        <f>svc!I44</f>
        <v>bes_acc_im011_ffts_toll_and_surcharge</v>
      </c>
      <c r="F46" t="str">
        <f>SUBSTITUTE(svc!S44,"http://","")</f>
        <v>ltm510:8000/trust510/bes_acc_im011_ffts_toll_and_surcharge</v>
      </c>
      <c r="G46" t="str">
        <f>CONCATENATE("10.14.0.50:",D46,"/")</f>
        <v>10.14.0.50:31212/</v>
      </c>
      <c r="H46" s="124" t="str">
        <f>CONCATENATE(SUBSTITUTE(F46,"ltm510","172.24.149.183"),"/")</f>
        <v>172.24.149.183:8000/trust510/bes_acc_im011_ffts_toll_and_surcharge/</v>
      </c>
      <c r="I46" t="str">
        <f>CONCATENATE(",",SUBSTITUTE(SUBSTITUTE(SUBSTITUTE($H$1,"&lt;app_name&gt;",E46),"&lt;stg_url&gt;",G46),"&lt;nonprod_url&gt;",H46))</f>
        <v>,{"bes_acc_im011_ffts_toll_and_surcharge": { "stg_url": "10.14.0.50:31212/", "nonprod_url":"172.24.149.183:8000/trust510/bes_acc_im011_ffts_toll_and_surcharge/" }}</v>
      </c>
      <c r="J46" t="str">
        <f>SUBSTITUTE(SUBSTITUTE($J$1,"&lt;node_port&gt;",D46),"&lt;app_name&gt;",E46)</f>
        <v>"bes_acc_im011_ffts_toll_and_surcharge":"31212",</v>
      </c>
    </row>
    <row r="47" spans="1:10" hidden="1">
      <c r="A47">
        <f>svc!A45</f>
        <v>102</v>
      </c>
      <c r="B47" t="str">
        <f>svc!B45</f>
        <v>v810</v>
      </c>
      <c r="C47" t="str">
        <f>svc!D45</f>
        <v>trust</v>
      </c>
      <c r="D47">
        <f>svc!G45</f>
        <v>31212</v>
      </c>
      <c r="E47" t="str">
        <f>svc!I45</f>
        <v>bes_acc_im011_ffts_toll_and_surcharge</v>
      </c>
      <c r="F47" t="str">
        <f>svc!S45</f>
        <v>http://ltm810:8000/trust810/bes_acc_im011_ffts_toll_and_surcharge</v>
      </c>
    </row>
    <row r="48" spans="1:10">
      <c r="A48">
        <f>svc!A46</f>
        <v>103</v>
      </c>
      <c r="B48" t="str">
        <f>svc!B46</f>
        <v>v510</v>
      </c>
      <c r="C48" t="str">
        <f>svc!D46</f>
        <v>trust</v>
      </c>
      <c r="D48">
        <f>svc!G46</f>
        <v>31215</v>
      </c>
      <c r="E48" t="str">
        <f>svc!I46</f>
        <v>bes_acc_im012_ffts_account_history</v>
      </c>
      <c r="F48" t="str">
        <f>SUBSTITUTE(svc!S46,"http://","")</f>
        <v>ltm510:8000/trust510/bes_acc_im012_ffts_account_history</v>
      </c>
      <c r="G48" t="str">
        <f>CONCATENATE("10.14.0.50:",D48,"/")</f>
        <v>10.14.0.50:31215/</v>
      </c>
      <c r="H48" s="124" t="str">
        <f>CONCATENATE(SUBSTITUTE(F48,"ltm510","172.24.149.183"),"/")</f>
        <v>172.24.149.183:8000/trust510/bes_acc_im012_ffts_account_history/</v>
      </c>
      <c r="I48" t="str">
        <f>CONCATENATE(",",SUBSTITUTE(SUBSTITUTE(SUBSTITUTE($H$1,"&lt;app_name&gt;",E48),"&lt;stg_url&gt;",G48),"&lt;nonprod_url&gt;",H48))</f>
        <v>,{"bes_acc_im012_ffts_account_history": { "stg_url": "10.14.0.50:31215/", "nonprod_url":"172.24.149.183:8000/trust510/bes_acc_im012_ffts_account_history/" }}</v>
      </c>
      <c r="J48" t="str">
        <f>SUBSTITUTE(SUBSTITUTE($J$1,"&lt;node_port&gt;",D48),"&lt;app_name&gt;",E48)</f>
        <v>"bes_acc_im012_ffts_account_history":"31215",</v>
      </c>
    </row>
    <row r="49" spans="1:10" hidden="1">
      <c r="A49">
        <f>svc!A47</f>
        <v>104</v>
      </c>
      <c r="B49" t="str">
        <f>svc!B47</f>
        <v>v810</v>
      </c>
      <c r="C49" t="str">
        <f>svc!D47</f>
        <v>trust</v>
      </c>
      <c r="D49">
        <f>svc!G47</f>
        <v>31215</v>
      </c>
      <c r="E49" t="str">
        <f>svc!I47</f>
        <v>bes_acc_im012_ffts_account_history</v>
      </c>
      <c r="F49" t="str">
        <f>svc!S47</f>
        <v>http://ltm810:8000/trust810/bes_acc_im012_ffts_account_history</v>
      </c>
    </row>
    <row r="50" spans="1:10">
      <c r="A50">
        <f>svc!A48</f>
        <v>105</v>
      </c>
      <c r="B50" t="str">
        <f>svc!B48</f>
        <v>v510</v>
      </c>
      <c r="C50" t="str">
        <f>svc!D48</f>
        <v>trust</v>
      </c>
      <c r="D50">
        <f>svc!G48</f>
        <v>31214</v>
      </c>
      <c r="E50" t="str">
        <f>svc!I48</f>
        <v>bes_acc_im013_ffts_performance_monitoring</v>
      </c>
      <c r="F50" t="str">
        <f>SUBSTITUTE(svc!S48,"http://","")</f>
        <v>ltm510:8000/trust510/bes_acc_im013_ffts_performance_monitoring</v>
      </c>
      <c r="G50" t="str">
        <f>CONCATENATE("10.14.0.50:",D50,"/")</f>
        <v>10.14.0.50:31214/</v>
      </c>
      <c r="H50" s="124" t="str">
        <f>CONCATENATE(SUBSTITUTE(F50,"ltm510","172.24.149.183"),"/")</f>
        <v>172.24.149.183:8000/trust510/bes_acc_im013_ffts_performance_monitoring/</v>
      </c>
      <c r="I50" t="str">
        <f>CONCATENATE(",",SUBSTITUTE(SUBSTITUTE(SUBSTITUTE($H$1,"&lt;app_name&gt;",E50),"&lt;stg_url&gt;",G50),"&lt;nonprod_url&gt;",H50))</f>
        <v>,{"bes_acc_im013_ffts_performance_monitoring": { "stg_url": "10.14.0.50:31214/", "nonprod_url":"172.24.149.183:8000/trust510/bes_acc_im013_ffts_performance_monitoring/" }}</v>
      </c>
      <c r="J50" t="str">
        <f>SUBSTITUTE(SUBSTITUTE($J$1,"&lt;node_port&gt;",D50),"&lt;app_name&gt;",E50)</f>
        <v>"bes_acc_im013_ffts_performance_monitoring":"31214",</v>
      </c>
    </row>
    <row r="51" spans="1:10" hidden="1">
      <c r="A51">
        <f>svc!A49</f>
        <v>106</v>
      </c>
      <c r="B51" t="str">
        <f>svc!B49</f>
        <v>v810</v>
      </c>
      <c r="C51" t="str">
        <f>svc!D49</f>
        <v>trust</v>
      </c>
      <c r="D51">
        <f>svc!G49</f>
        <v>31214</v>
      </c>
      <c r="E51" t="str">
        <f>svc!I49</f>
        <v>bes_acc_im013_ffts_performance_monitoring</v>
      </c>
      <c r="F51" t="str">
        <f>svc!S49</f>
        <v>http://ltm810:8000/trust810/bes_acc_im013_ffts_performance_monitoring</v>
      </c>
    </row>
    <row r="52" spans="1:10">
      <c r="A52">
        <f>svc!A50</f>
        <v>40</v>
      </c>
      <c r="B52" t="str">
        <f>svc!B50</f>
        <v>v510</v>
      </c>
      <c r="C52" t="str">
        <f>svc!D50</f>
        <v>trust</v>
      </c>
      <c r="D52">
        <f>svc!G50</f>
        <v>31311</v>
      </c>
      <c r="E52" t="str">
        <f>svc!I50</f>
        <v>bes_ccs</v>
      </c>
      <c r="F52" t="str">
        <f>SUBSTITUTE(svc!S50,"http://","")</f>
        <v>ltm510:8000/trust510/bes_ccs</v>
      </c>
      <c r="G52" t="str">
        <f t="shared" ref="G52:G53" si="3">CONCATENATE("10.14.0.50:",D52,"/")</f>
        <v>10.14.0.50:31311/</v>
      </c>
      <c r="H52" s="124" t="str">
        <f>CONCATENATE(SUBSTITUTE(F52,"ltm510","172.24.149.183"),"/")</f>
        <v>172.24.149.183:8000/trust510/bes_ccs/</v>
      </c>
      <c r="I52" t="str">
        <f t="shared" ref="I52:I53" si="4">CONCATENATE(",",SUBSTITUTE(SUBSTITUTE(SUBSTITUTE($H$1,"&lt;app_name&gt;",E52),"&lt;stg_url&gt;",G52),"&lt;nonprod_url&gt;",H52))</f>
        <v>,{"bes_ccs": { "stg_url": "10.14.0.50:31311/", "nonprod_url":"172.24.149.183:8000/trust510/bes_ccs/" }}</v>
      </c>
      <c r="J52" t="str">
        <f t="shared" ref="J52:J53" si="5">SUBSTITUTE(SUBSTITUTE($J$1,"&lt;node_port&gt;",D52),"&lt;app_name&gt;",E52)</f>
        <v>"bes_ccs":"31311",</v>
      </c>
    </row>
    <row r="53" spans="1:10">
      <c r="A53">
        <f>svc!A51</f>
        <v>41</v>
      </c>
      <c r="B53" t="str">
        <f>svc!B51</f>
        <v>v510</v>
      </c>
      <c r="C53" t="str">
        <f>svc!D51</f>
        <v>trust</v>
      </c>
      <c r="D53">
        <f>svc!G51</f>
        <v>31301</v>
      </c>
      <c r="E53" t="str">
        <f>svc!I51</f>
        <v>bes_cre_im001_tokenization</v>
      </c>
      <c r="F53" t="str">
        <f>SUBSTITUTE(svc!S51,"http://","")</f>
        <v>ltm510:8000/trust510/bes_cre_im001_tokenization</v>
      </c>
      <c r="G53" t="str">
        <f t="shared" si="3"/>
        <v>10.14.0.50:31301/</v>
      </c>
      <c r="H53" s="124" t="str">
        <f>CONCATENATE(SUBSTITUTE(F53,"ltm510","172.24.149.183"),"/")</f>
        <v>172.24.149.183:8000/trust510/bes_cre_im001_tokenization/</v>
      </c>
      <c r="I53" t="str">
        <f t="shared" si="4"/>
        <v>,{"bes_cre_im001_tokenization": { "stg_url": "10.14.0.50:31301/", "nonprod_url":"172.24.149.183:8000/trust510/bes_cre_im001_tokenization/" }}</v>
      </c>
      <c r="J53" t="str">
        <f t="shared" si="5"/>
        <v>"bes_cre_im001_tokenization":"31301",</v>
      </c>
    </row>
    <row r="54" spans="1:10" hidden="1">
      <c r="A54">
        <f>svc!A52</f>
        <v>42</v>
      </c>
      <c r="B54" t="str">
        <f>svc!B52</f>
        <v>v810</v>
      </c>
      <c r="C54" t="str">
        <f>svc!D52</f>
        <v>trust</v>
      </c>
      <c r="D54">
        <f>svc!G52</f>
        <v>31301</v>
      </c>
      <c r="E54" t="str">
        <f>svc!I52</f>
        <v>bes_cre_im001_tokenization</v>
      </c>
      <c r="F54" t="str">
        <f>svc!S52</f>
        <v>http://ltm810:8000/trust810/bes_cre_im001_tokenization</v>
      </c>
    </row>
    <row r="55" spans="1:10">
      <c r="A55">
        <f>svc!A53</f>
        <v>43</v>
      </c>
      <c r="B55" t="str">
        <f>svc!B53</f>
        <v>v510</v>
      </c>
      <c r="C55" t="str">
        <f>svc!D53</f>
        <v>trust</v>
      </c>
      <c r="D55">
        <f>svc!G53</f>
        <v>31302</v>
      </c>
      <c r="E55" t="str">
        <f>svc!I53</f>
        <v>bes_cre_im002_otp</v>
      </c>
      <c r="F55" t="str">
        <f>SUBSTITUTE(svc!S53,"http://","")</f>
        <v>ltm510:8000/trust510/bes_cre_im002_otp</v>
      </c>
      <c r="G55" t="str">
        <f>CONCATENATE("10.14.0.50:",D55,"/")</f>
        <v>10.14.0.50:31302/</v>
      </c>
      <c r="H55" s="124" t="str">
        <f>CONCATENATE(SUBSTITUTE(F55,"ltm510","172.24.149.183"),"/")</f>
        <v>172.24.149.183:8000/trust510/bes_cre_im002_otp/</v>
      </c>
      <c r="I55" t="str">
        <f>CONCATENATE(",",SUBSTITUTE(SUBSTITUTE(SUBSTITUTE($H$1,"&lt;app_name&gt;",E55),"&lt;stg_url&gt;",G55),"&lt;nonprod_url&gt;",H55))</f>
        <v>,{"bes_cre_im002_otp": { "stg_url": "10.14.0.50:31302/", "nonprod_url":"172.24.149.183:8000/trust510/bes_cre_im002_otp/" }}</v>
      </c>
      <c r="J55" t="str">
        <f>SUBSTITUTE(SUBSTITUTE($J$1,"&lt;node_port&gt;",D55),"&lt;app_name&gt;",E55)</f>
        <v>"bes_cre_im002_otp":"31302",</v>
      </c>
    </row>
    <row r="56" spans="1:10" hidden="1">
      <c r="A56">
        <f>svc!A54</f>
        <v>44</v>
      </c>
      <c r="B56" t="str">
        <f>svc!B54</f>
        <v>v810</v>
      </c>
      <c r="C56" t="str">
        <f>svc!D54</f>
        <v>trust</v>
      </c>
      <c r="D56">
        <f>svc!G54</f>
        <v>31302</v>
      </c>
      <c r="E56" t="str">
        <f>svc!I54</f>
        <v>bes_cre_im002_otp</v>
      </c>
      <c r="F56" t="str">
        <f>svc!S54</f>
        <v>http://ltm810:8000/trust810/bes_cre_im002_otp</v>
      </c>
    </row>
    <row r="57" spans="1:10">
      <c r="A57">
        <f>svc!A55</f>
        <v>45</v>
      </c>
      <c r="B57" t="str">
        <f>svc!B55</f>
        <v>v510</v>
      </c>
      <c r="C57" t="str">
        <f>svc!D55</f>
        <v>trust</v>
      </c>
      <c r="D57">
        <f>svc!G55</f>
        <v>31307</v>
      </c>
      <c r="E57" t="str">
        <f>svc!I55</f>
        <v>bes_cre_im007_notification_template_management</v>
      </c>
      <c r="F57" t="str">
        <f>SUBSTITUTE(svc!S55,"http://","")</f>
        <v>ltm510:8000/trust510/bes_cre_im007_notification_template_management</v>
      </c>
      <c r="G57" t="str">
        <f>CONCATENATE("10.14.0.50:",D57,"/")</f>
        <v>10.14.0.50:31307/</v>
      </c>
      <c r="H57" s="124" t="str">
        <f>CONCATENATE(SUBSTITUTE(F57,"ltm510","172.24.149.183"),"/")</f>
        <v>172.24.149.183:8000/trust510/bes_cre_im007_notification_template_management/</v>
      </c>
      <c r="I57" t="str">
        <f>CONCATENATE(",",SUBSTITUTE(SUBSTITUTE(SUBSTITUTE($H$1,"&lt;app_name&gt;",E57),"&lt;stg_url&gt;",G57),"&lt;nonprod_url&gt;",H57))</f>
        <v>,{"bes_cre_im007_notification_template_management": { "stg_url": "10.14.0.50:31307/", "nonprod_url":"172.24.149.183:8000/trust510/bes_cre_im007_notification_template_management/" }}</v>
      </c>
      <c r="J57" t="str">
        <f>SUBSTITUTE(SUBSTITUTE($J$1,"&lt;node_port&gt;",D57),"&lt;app_name&gt;",E57)</f>
        <v>"bes_cre_im007_notification_template_management":"31307",</v>
      </c>
    </row>
    <row r="58" spans="1:10" hidden="1">
      <c r="A58">
        <f>svc!A56</f>
        <v>46</v>
      </c>
      <c r="B58" t="str">
        <f>svc!B56</f>
        <v>v810</v>
      </c>
      <c r="C58" t="str">
        <f>svc!D56</f>
        <v>trust</v>
      </c>
      <c r="D58">
        <f>svc!G56</f>
        <v>31307</v>
      </c>
      <c r="E58" t="str">
        <f>svc!I56</f>
        <v>bes_cre_im007_notification_template_management</v>
      </c>
      <c r="F58" t="str">
        <f>svc!S56</f>
        <v>http://ltm810:8000/trust810/bes_cre_im007_notification_template_management</v>
      </c>
    </row>
    <row r="59" spans="1:10">
      <c r="A59">
        <f>svc!A57</f>
        <v>47</v>
      </c>
      <c r="B59" t="str">
        <f>svc!B57</f>
        <v>v510</v>
      </c>
      <c r="C59" t="str">
        <f>svc!D57</f>
        <v>trust</v>
      </c>
      <c r="D59">
        <f>svc!G57</f>
        <v>31308</v>
      </c>
      <c r="E59" t="str">
        <f>svc!I57</f>
        <v>bes_cre_im008_notification_message_management</v>
      </c>
      <c r="F59" t="str">
        <f>SUBSTITUTE(svc!S57,"http://","")</f>
        <v>ltm510:8000/trust510/bes_cre_im008_notification_message_management</v>
      </c>
      <c r="G59" t="str">
        <f>CONCATENATE("10.14.0.50:",D59,"/")</f>
        <v>10.14.0.50:31308/</v>
      </c>
      <c r="H59" s="124" t="str">
        <f>CONCATENATE(SUBSTITUTE(F59,"ltm510","172.24.149.183"),"/")</f>
        <v>172.24.149.183:8000/trust510/bes_cre_im008_notification_message_management/</v>
      </c>
      <c r="I59" t="str">
        <f>CONCATENATE(",",SUBSTITUTE(SUBSTITUTE(SUBSTITUTE($H$1,"&lt;app_name&gt;",E59),"&lt;stg_url&gt;",G59),"&lt;nonprod_url&gt;",H59))</f>
        <v>,{"bes_cre_im008_notification_message_management": { "stg_url": "10.14.0.50:31308/", "nonprod_url":"172.24.149.183:8000/trust510/bes_cre_im008_notification_message_management/" }}</v>
      </c>
      <c r="J59" t="str">
        <f>SUBSTITUTE(SUBSTITUTE($J$1,"&lt;node_port&gt;",D59),"&lt;app_name&gt;",E59)</f>
        <v>"bes_cre_im008_notification_message_management":"31308",</v>
      </c>
    </row>
    <row r="60" spans="1:10" hidden="1">
      <c r="A60">
        <f>svc!A58</f>
        <v>48</v>
      </c>
      <c r="B60" t="str">
        <f>svc!B58</f>
        <v>v810</v>
      </c>
      <c r="C60" t="str">
        <f>svc!D58</f>
        <v>trust</v>
      </c>
      <c r="D60">
        <f>svc!G58</f>
        <v>31308</v>
      </c>
      <c r="E60" t="str">
        <f>svc!I58</f>
        <v>bes_cre_im008_notification_message_management</v>
      </c>
      <c r="F60" t="str">
        <f>svc!S58</f>
        <v>http://ltm810:8000/trust810/bes_cre_im008_notification_message_management</v>
      </c>
    </row>
    <row r="61" spans="1:10">
      <c r="A61">
        <f>svc!A59</f>
        <v>49</v>
      </c>
      <c r="B61" t="str">
        <f>svc!B59</f>
        <v>v510</v>
      </c>
      <c r="C61" t="str">
        <f>svc!D59</f>
        <v>trust</v>
      </c>
      <c r="D61">
        <f>svc!G59</f>
        <v>31309</v>
      </c>
      <c r="E61" t="str">
        <f>svc!I59</f>
        <v>bes_cre_im009_notification_processor</v>
      </c>
      <c r="F61" t="str">
        <f>SUBSTITUTE(svc!S59,"http://","")</f>
        <v>ltm510:8000/trust510/bes_cre_im009_notification_processor</v>
      </c>
      <c r="G61" t="str">
        <f>CONCATENATE("10.14.0.50:",D61,"/")</f>
        <v>10.14.0.50:31309/</v>
      </c>
      <c r="H61" s="124" t="str">
        <f>CONCATENATE(SUBSTITUTE(F61,"ltm510","172.24.149.183"),"/")</f>
        <v>172.24.149.183:8000/trust510/bes_cre_im009_notification_processor/</v>
      </c>
      <c r="I61" t="str">
        <f>CONCATENATE(",",SUBSTITUTE(SUBSTITUTE(SUBSTITUTE($H$1,"&lt;app_name&gt;",E61),"&lt;stg_url&gt;",G61),"&lt;nonprod_url&gt;",H61))</f>
        <v>,{"bes_cre_im009_notification_processor": { "stg_url": "10.14.0.50:31309/", "nonprod_url":"172.24.149.183:8000/trust510/bes_cre_im009_notification_processor/" }}</v>
      </c>
      <c r="J61" t="str">
        <f>SUBSTITUTE(SUBSTITUTE($J$1,"&lt;node_port&gt;",D61),"&lt;app_name&gt;",E61)</f>
        <v>"bes_cre_im009_notification_processor":"31309",</v>
      </c>
    </row>
    <row r="62" spans="1:10" hidden="1">
      <c r="A62">
        <f>svc!A60</f>
        <v>50</v>
      </c>
      <c r="B62" t="str">
        <f>svc!B60</f>
        <v>v810</v>
      </c>
      <c r="C62" t="str">
        <f>svc!D60</f>
        <v>trust</v>
      </c>
      <c r="D62">
        <f>svc!G60</f>
        <v>31309</v>
      </c>
      <c r="E62" t="str">
        <f>svc!I60</f>
        <v>bes_cre_im009_notification_processor</v>
      </c>
      <c r="F62" t="str">
        <f>svc!S60</f>
        <v>http://ltm810:8000/trust810/bes_cre_im009_notification_processor</v>
      </c>
    </row>
    <row r="63" spans="1:10">
      <c r="A63">
        <f>svc!A61</f>
        <v>51</v>
      </c>
      <c r="B63" t="str">
        <f>svc!B61</f>
        <v>v510</v>
      </c>
      <c r="C63" t="str">
        <f>svc!D61</f>
        <v>trust</v>
      </c>
      <c r="D63">
        <f>svc!G61</f>
        <v>31310</v>
      </c>
      <c r="E63" t="str">
        <f>svc!I61</f>
        <v>bes_cre_im010_shortlink</v>
      </c>
      <c r="F63" t="str">
        <f>SUBSTITUTE(svc!S61,"http://","")</f>
        <v>ltm510:8000/trust510/bes_cre_im010_shortlink</v>
      </c>
      <c r="G63" t="str">
        <f>CONCATENATE("10.14.0.50:",D63,"/")</f>
        <v>10.14.0.50:31310/</v>
      </c>
      <c r="H63" s="124" t="str">
        <f>CONCATENATE(SUBSTITUTE(F63,"ltm510","172.24.149.183"),"/")</f>
        <v>172.24.149.183:8000/trust510/bes_cre_im010_shortlink/</v>
      </c>
      <c r="I63" t="str">
        <f>CONCATENATE(",",SUBSTITUTE(SUBSTITUTE(SUBSTITUTE($H$1,"&lt;app_name&gt;",E63),"&lt;stg_url&gt;",G63),"&lt;nonprod_url&gt;",H63))</f>
        <v>,{"bes_cre_im010_shortlink": { "stg_url": "10.14.0.50:31310/", "nonprod_url":"172.24.149.183:8000/trust510/bes_cre_im010_shortlink/" }}</v>
      </c>
      <c r="J63" t="str">
        <f>SUBSTITUTE(SUBSTITUTE($J$1,"&lt;node_port&gt;",D63),"&lt;app_name&gt;",E63)</f>
        <v>"bes_cre_im010_shortlink":"31310",</v>
      </c>
    </row>
    <row r="64" spans="1:10" hidden="1">
      <c r="A64">
        <f>svc!A62</f>
        <v>52</v>
      </c>
      <c r="B64" t="str">
        <f>svc!B62</f>
        <v>v810</v>
      </c>
      <c r="C64" t="str">
        <f>svc!D62</f>
        <v>trust</v>
      </c>
      <c r="D64">
        <f>svc!G62</f>
        <v>31310</v>
      </c>
      <c r="E64" t="str">
        <f>svc!I62</f>
        <v>bes_cre_im010_shortlink</v>
      </c>
      <c r="F64" t="str">
        <f>svc!S62</f>
        <v>http://ltm810:8000/trust810/bes_cre_im010_shortlink</v>
      </c>
    </row>
    <row r="65" spans="1:10" hidden="1">
      <c r="A65">
        <f>svc!A63</f>
        <v>111</v>
      </c>
      <c r="B65" t="str">
        <f>svc!B63</f>
        <v>v510</v>
      </c>
      <c r="C65" t="str">
        <f>svc!D63</f>
        <v>trust</v>
      </c>
      <c r="D65" t="str">
        <f>svc!G63</f>
        <v>N/A</v>
      </c>
      <c r="E65" t="str">
        <f>svc!I63</f>
        <v>bes_notification_pulsar_consumer_services</v>
      </c>
      <c r="F65" t="str">
        <f>svc!S63</f>
        <v/>
      </c>
    </row>
    <row r="66" spans="1:10" hidden="1">
      <c r="A66">
        <f>svc!A64</f>
        <v>112</v>
      </c>
      <c r="B66" t="str">
        <f>svc!B64</f>
        <v>v510</v>
      </c>
      <c r="C66" t="str">
        <f>svc!D64</f>
        <v>trust</v>
      </c>
      <c r="D66" t="str">
        <f>svc!G64</f>
        <v>N/A</v>
      </c>
      <c r="E66" t="str">
        <f>svc!I64</f>
        <v>bes_notification_push_app_services</v>
      </c>
      <c r="F66" t="str">
        <f>svc!S64</f>
        <v/>
      </c>
    </row>
    <row r="67" spans="1:10" hidden="1">
      <c r="A67">
        <f>svc!A65</f>
        <v>113</v>
      </c>
      <c r="B67" t="str">
        <f>svc!B65</f>
        <v>v510</v>
      </c>
      <c r="C67" t="str">
        <f>svc!D65</f>
        <v>trust</v>
      </c>
      <c r="D67" t="str">
        <f>svc!G65</f>
        <v>N/A</v>
      </c>
      <c r="E67" t="str">
        <f>svc!I65</f>
        <v>bes_notification_push_email_services</v>
      </c>
      <c r="F67" t="str">
        <f>svc!S65</f>
        <v/>
      </c>
    </row>
    <row r="68" spans="1:10" hidden="1">
      <c r="A68">
        <f>svc!A66</f>
        <v>114</v>
      </c>
      <c r="B68" t="str">
        <f>svc!B66</f>
        <v>v510</v>
      </c>
      <c r="C68" t="str">
        <f>svc!D66</f>
        <v>trust</v>
      </c>
      <c r="D68" t="str">
        <f>svc!G66</f>
        <v>N/A</v>
      </c>
      <c r="E68" t="str">
        <f>svc!I66</f>
        <v>bes_notification_push_sms_services</v>
      </c>
      <c r="F68" t="str">
        <f>svc!S66</f>
        <v/>
      </c>
    </row>
    <row r="69" spans="1:10" hidden="1">
      <c r="A69">
        <f>svc!A67</f>
        <v>115</v>
      </c>
      <c r="B69" t="str">
        <f>svc!B67</f>
        <v>v510</v>
      </c>
      <c r="C69" t="str">
        <f>svc!D67</f>
        <v>trust</v>
      </c>
      <c r="D69" t="str">
        <f>svc!G67</f>
        <v>N/A</v>
      </c>
      <c r="E69" t="str">
        <f>svc!I67</f>
        <v>bes_send_schedule_notification_services</v>
      </c>
      <c r="F69" t="str">
        <f>svc!S67</f>
        <v/>
      </c>
    </row>
    <row r="70" spans="1:10">
      <c r="A70">
        <f>svc!A68</f>
        <v>53</v>
      </c>
      <c r="B70" t="str">
        <f>svc!B68</f>
        <v>v510</v>
      </c>
      <c r="C70" t="str">
        <f>svc!D68</f>
        <v>trust</v>
      </c>
      <c r="D70">
        <f>svc!G68</f>
        <v>31312</v>
      </c>
      <c r="E70" t="str">
        <f>svc!I68</f>
        <v>bes_das_im001_general</v>
      </c>
      <c r="F70" t="str">
        <f>SUBSTITUTE(svc!S68,"http://","")</f>
        <v>ltm510:8000/trust510/bes_das_im001_general</v>
      </c>
      <c r="G70" t="str">
        <f t="shared" ref="G70:G78" si="6">CONCATENATE("10.14.0.50:",D70,"/")</f>
        <v>10.14.0.50:31312/</v>
      </c>
      <c r="H70" s="124" t="str">
        <f t="shared" ref="H70:H78" si="7">CONCATENATE(SUBSTITUTE(F70,"ltm510","172.24.149.183"),"/")</f>
        <v>172.24.149.183:8000/trust510/bes_das_im001_general/</v>
      </c>
      <c r="I70" t="str">
        <f t="shared" ref="I70:I78" si="8">CONCATENATE(",",SUBSTITUTE(SUBSTITUTE(SUBSTITUTE($H$1,"&lt;app_name&gt;",E70),"&lt;stg_url&gt;",G70),"&lt;nonprod_url&gt;",H70))</f>
        <v>,{"bes_das_im001_general": { "stg_url": "10.14.0.50:31312/", "nonprod_url":"172.24.149.183:8000/trust510/bes_das_im001_general/" }}</v>
      </c>
      <c r="J70" t="str">
        <f t="shared" ref="J70:J78" si="9">SUBSTITUTE(SUBSTITUTE($J$1,"&lt;node_port&gt;",D70),"&lt;app_name&gt;",E70)</f>
        <v>"bes_das_im001_general":"31312",</v>
      </c>
    </row>
    <row r="71" spans="1:10">
      <c r="A71">
        <f>svc!A69</f>
        <v>54</v>
      </c>
      <c r="B71" t="str">
        <f>svc!B69</f>
        <v>v510</v>
      </c>
      <c r="C71" t="str">
        <f>svc!D69</f>
        <v>trust</v>
      </c>
      <c r="D71">
        <f>svc!G69</f>
        <v>31313</v>
      </c>
      <c r="E71" t="str">
        <f>svc!I69</f>
        <v>bes_tsp_misc</v>
      </c>
      <c r="F71" t="str">
        <f>SUBSTITUTE(svc!S69,"http://","")</f>
        <v>ltm510:8000/trust510/bes_tsp_misc</v>
      </c>
      <c r="G71" t="str">
        <f t="shared" si="6"/>
        <v>10.14.0.50:31313/</v>
      </c>
      <c r="H71" s="124" t="str">
        <f t="shared" si="7"/>
        <v>172.24.149.183:8000/trust510/bes_tsp_misc/</v>
      </c>
      <c r="I71" t="str">
        <f t="shared" si="8"/>
        <v>,{"bes_tsp_misc": { "stg_url": "10.14.0.50:31313/", "nonprod_url":"172.24.149.183:8000/trust510/bes_tsp_misc/" }}</v>
      </c>
      <c r="J71" t="str">
        <f t="shared" si="9"/>
        <v>"bes_tsp_misc":"31313",</v>
      </c>
    </row>
    <row r="72" spans="1:10">
      <c r="A72" t="e">
        <f>svc!#REF!</f>
        <v>#REF!</v>
      </c>
      <c r="B72" t="e">
        <f>svc!#REF!</f>
        <v>#REF!</v>
      </c>
      <c r="C72" t="e">
        <f>svc!#REF!</f>
        <v>#REF!</v>
      </c>
      <c r="D72" t="e">
        <f>svc!#REF!</f>
        <v>#REF!</v>
      </c>
      <c r="E72" t="e">
        <f>svc!#REF!</f>
        <v>#REF!</v>
      </c>
      <c r="F72" t="e">
        <f>SUBSTITUTE(svc!#REF!,"http://","")</f>
        <v>#REF!</v>
      </c>
      <c r="G72" t="e">
        <f t="shared" si="6"/>
        <v>#REF!</v>
      </c>
      <c r="H72" s="124" t="e">
        <f t="shared" si="7"/>
        <v>#REF!</v>
      </c>
      <c r="I72" t="e">
        <f t="shared" si="8"/>
        <v>#REF!</v>
      </c>
      <c r="J72" t="e">
        <f t="shared" si="9"/>
        <v>#REF!</v>
      </c>
    </row>
    <row r="73" spans="1:10">
      <c r="A73">
        <f>svc!A70</f>
        <v>56</v>
      </c>
      <c r="B73" t="str">
        <f>svc!B70</f>
        <v>v510</v>
      </c>
      <c r="C73" t="str">
        <f>svc!D70</f>
        <v>trust</v>
      </c>
      <c r="D73">
        <f>svc!G70</f>
        <v>31315</v>
      </c>
      <c r="E73" t="str">
        <f>svc!I70</f>
        <v>bes_validv</v>
      </c>
      <c r="F73" t="str">
        <f>SUBSTITUTE(svc!S70,"http://","")</f>
        <v>ltm510:8000/trust510/bes_validv</v>
      </c>
      <c r="G73" t="str">
        <f t="shared" si="6"/>
        <v>10.14.0.50:31315/</v>
      </c>
      <c r="H73" s="124" t="str">
        <f t="shared" si="7"/>
        <v>172.24.149.183:8000/trust510/bes_validv/</v>
      </c>
      <c r="I73" t="str">
        <f t="shared" si="8"/>
        <v>,{"bes_validv": { "stg_url": "10.14.0.50:31315/", "nonprod_url":"172.24.149.183:8000/trust510/bes_validv/" }}</v>
      </c>
      <c r="J73" t="str">
        <f t="shared" si="9"/>
        <v>"bes_validv":"31315",</v>
      </c>
    </row>
    <row r="74" spans="1:10">
      <c r="A74">
        <f>svc!A71</f>
        <v>57</v>
      </c>
      <c r="B74" t="str">
        <f>svc!B71</f>
        <v>v510</v>
      </c>
      <c r="C74" t="str">
        <f>svc!D71</f>
        <v>trust</v>
      </c>
      <c r="D74">
        <f>svc!G71</f>
        <v>31316</v>
      </c>
      <c r="E74" t="str">
        <f>svc!I71</f>
        <v>bes_vssd</v>
      </c>
      <c r="F74" t="str">
        <f>SUBSTITUTE(svc!S71,"http://","")</f>
        <v>ltm510:8000/trust510/bes_vssd</v>
      </c>
      <c r="G74" t="str">
        <f t="shared" si="6"/>
        <v>10.14.0.50:31316/</v>
      </c>
      <c r="H74" s="124" t="str">
        <f t="shared" si="7"/>
        <v>172.24.149.183:8000/trust510/bes_vssd/</v>
      </c>
      <c r="I74" t="str">
        <f t="shared" si="8"/>
        <v>,{"bes_vssd": { "stg_url": "10.14.0.50:31316/", "nonprod_url":"172.24.149.183:8000/trust510/bes_vssd/" }}</v>
      </c>
      <c r="J74" t="str">
        <f t="shared" si="9"/>
        <v>"bes_vssd":"31316",</v>
      </c>
    </row>
    <row r="75" spans="1:10">
      <c r="A75">
        <f>svc!A72</f>
        <v>58</v>
      </c>
      <c r="B75" t="str">
        <f>svc!B72</f>
        <v>v510</v>
      </c>
      <c r="C75" t="str">
        <f>svc!D72</f>
        <v>trust</v>
      </c>
      <c r="D75">
        <f>svc!G72</f>
        <v>31027</v>
      </c>
      <c r="E75" t="str">
        <f>svc!I72</f>
        <v>ccms_api</v>
      </c>
      <c r="F75" t="str">
        <f>SUBSTITUTE(svc!S72,"http://","")</f>
        <v>ltm510:8000/trust510/ccms_api</v>
      </c>
      <c r="G75" t="str">
        <f t="shared" si="6"/>
        <v>10.14.0.50:31027/</v>
      </c>
      <c r="H75" s="124" t="str">
        <f t="shared" si="7"/>
        <v>172.24.149.183:8000/trust510/ccms_api/</v>
      </c>
      <c r="I75" t="str">
        <f t="shared" si="8"/>
        <v>,{"ccms_api": { "stg_url": "10.14.0.50:31027/", "nonprod_url":"172.24.149.183:8000/trust510/ccms_api/" }}</v>
      </c>
      <c r="J75" t="str">
        <f t="shared" si="9"/>
        <v>"ccms_api":"31027",</v>
      </c>
    </row>
    <row r="76" spans="1:10">
      <c r="A76">
        <f>svc!A73</f>
        <v>59</v>
      </c>
      <c r="B76" t="str">
        <f>svc!B73</f>
        <v>v510</v>
      </c>
      <c r="C76" t="str">
        <f>svc!D73</f>
        <v>trust</v>
      </c>
      <c r="D76">
        <f>svc!G73</f>
        <v>31015</v>
      </c>
      <c r="E76" t="str">
        <f>svc!I73</f>
        <v>central_db_services_accmgt</v>
      </c>
      <c r="F76" t="str">
        <f>SUBSTITUTE(svc!S73,"http://","")</f>
        <v>ltm510:8000/trust510/central_db_services_accmgt</v>
      </c>
      <c r="G76" t="str">
        <f t="shared" si="6"/>
        <v>10.14.0.50:31015/</v>
      </c>
      <c r="H76" s="124" t="str">
        <f t="shared" si="7"/>
        <v>172.24.149.183:8000/trust510/central_db_services_accmgt/</v>
      </c>
      <c r="I76" t="str">
        <f t="shared" si="8"/>
        <v>,{"central_db_services_accmgt": { "stg_url": "10.14.0.50:31015/", "nonprod_url":"172.24.149.183:8000/trust510/central_db_services_accmgt/" }}</v>
      </c>
      <c r="J76" t="str">
        <f t="shared" si="9"/>
        <v>"central_db_services_accmgt":"31015",</v>
      </c>
    </row>
    <row r="77" spans="1:10">
      <c r="A77">
        <f>svc!A74</f>
        <v>60</v>
      </c>
      <c r="B77" t="str">
        <f>svc!B74</f>
        <v>v510</v>
      </c>
      <c r="C77" t="str">
        <f>svc!D74</f>
        <v>trust</v>
      </c>
      <c r="D77">
        <f>svc!G74</f>
        <v>31017</v>
      </c>
      <c r="E77" t="str">
        <f>svc!I74</f>
        <v>central_db_services_ccms</v>
      </c>
      <c r="F77" t="str">
        <f>SUBSTITUTE(svc!S74,"http://","")</f>
        <v>ltm510:8000/trust510/central_db_services_ccms</v>
      </c>
      <c r="G77" t="str">
        <f t="shared" si="6"/>
        <v>10.14.0.50:31017/</v>
      </c>
      <c r="H77" s="124" t="str">
        <f t="shared" si="7"/>
        <v>172.24.149.183:8000/trust510/central_db_services_ccms/</v>
      </c>
      <c r="I77" t="str">
        <f t="shared" si="8"/>
        <v>,{"central_db_services_ccms": { "stg_url": "10.14.0.50:31017/", "nonprod_url":"172.24.149.183:8000/trust510/central_db_services_ccms/" }}</v>
      </c>
      <c r="J77" t="str">
        <f t="shared" si="9"/>
        <v>"central_db_services_ccms":"31017",</v>
      </c>
    </row>
    <row r="78" spans="1:10">
      <c r="A78">
        <f>svc!A75</f>
        <v>61</v>
      </c>
      <c r="B78" t="str">
        <f>svc!B75</f>
        <v>v510</v>
      </c>
      <c r="C78" t="str">
        <f>svc!D75</f>
        <v>trust</v>
      </c>
      <c r="D78">
        <f>svc!G75</f>
        <v>31016</v>
      </c>
      <c r="E78" t="str">
        <f>svc!I75</f>
        <v>central_db_services_core</v>
      </c>
      <c r="F78" t="str">
        <f>SUBSTITUTE(svc!S75,"http://","")</f>
        <v>ltm510:8000/trust510/central_db_services_core</v>
      </c>
      <c r="G78" t="str">
        <f t="shared" si="6"/>
        <v>10.14.0.50:31016/</v>
      </c>
      <c r="H78" s="124" t="str">
        <f t="shared" si="7"/>
        <v>172.24.149.183:8000/trust510/central_db_services_core/</v>
      </c>
      <c r="I78" t="str">
        <f t="shared" si="8"/>
        <v>,{"central_db_services_core": { "stg_url": "10.14.0.50:31016/", "nonprod_url":"172.24.149.183:8000/trust510/central_db_services_core/" }}</v>
      </c>
      <c r="J78" t="str">
        <f t="shared" si="9"/>
        <v>"central_db_services_core":"31016",</v>
      </c>
    </row>
    <row r="79" spans="1:10" hidden="1">
      <c r="A79">
        <f>svc!A76</f>
        <v>62</v>
      </c>
      <c r="B79" t="str">
        <f>svc!B76</f>
        <v>v810</v>
      </c>
      <c r="C79" t="str">
        <f>svc!D76</f>
        <v>trust</v>
      </c>
      <c r="D79">
        <f>svc!G76</f>
        <v>31016</v>
      </c>
      <c r="E79" t="str">
        <f>svc!I76</f>
        <v>central_db_services_core</v>
      </c>
      <c r="F79" t="str">
        <f>svc!S76</f>
        <v>http://ltm810:8000/trust810/central_db_services_core</v>
      </c>
    </row>
    <row r="80" spans="1:10">
      <c r="A80">
        <f>svc!A77</f>
        <v>63</v>
      </c>
      <c r="B80" t="str">
        <f>svc!B77</f>
        <v>v510</v>
      </c>
      <c r="C80" t="str">
        <f>svc!D77</f>
        <v>trust</v>
      </c>
      <c r="D80">
        <f>svc!G77</f>
        <v>31018</v>
      </c>
      <c r="E80" t="str">
        <f>svc!I77</f>
        <v>central_db_services_ecms</v>
      </c>
      <c r="F80" t="str">
        <f>SUBSTITUTE(svc!S77,"http://","")</f>
        <v>ltm510:8000/trust510/central_db_services_ecms</v>
      </c>
      <c r="G80" t="str">
        <f t="shared" ref="G80:G82" si="10">CONCATENATE("10.14.0.50:",D80,"/")</f>
        <v>10.14.0.50:31018/</v>
      </c>
      <c r="H80" s="124" t="str">
        <f>CONCATENATE(SUBSTITUTE(F80,"ltm510","172.24.149.183"),"/")</f>
        <v>172.24.149.183:8000/trust510/central_db_services_ecms/</v>
      </c>
      <c r="I80" t="str">
        <f t="shared" ref="I80:I82" si="11">CONCATENATE(",",SUBSTITUTE(SUBSTITUTE(SUBSTITUTE($H$1,"&lt;app_name&gt;",E80),"&lt;stg_url&gt;",G80),"&lt;nonprod_url&gt;",H80))</f>
        <v>,{"central_db_services_ecms": { "stg_url": "10.14.0.50:31018/", "nonprod_url":"172.24.149.183:8000/trust510/central_db_services_ecms/" }}</v>
      </c>
      <c r="J80" t="str">
        <f t="shared" ref="J80:J82" si="12">SUBSTITUTE(SUBSTITUTE($J$1,"&lt;node_port&gt;",D80),"&lt;app_name&gt;",E80)</f>
        <v>"central_db_services_ecms":"31018",</v>
      </c>
    </row>
    <row r="81" spans="1:10">
      <c r="A81">
        <f>svc!A78</f>
        <v>107</v>
      </c>
      <c r="B81" t="str">
        <f>svc!B78</f>
        <v>v510</v>
      </c>
      <c r="C81" t="str">
        <f>svc!D78</f>
        <v>trust</v>
      </c>
      <c r="D81">
        <f>svc!G78</f>
        <v>31219</v>
      </c>
      <c r="E81" t="str">
        <f>svc!I78</f>
        <v>central_db_services_das</v>
      </c>
      <c r="F81" t="str">
        <f>SUBSTITUTE(svc!S78,"http://","")</f>
        <v>ltm510:8000/trust510/central_db_services_das</v>
      </c>
      <c r="G81" t="str">
        <f t="shared" si="10"/>
        <v>10.14.0.50:31219/</v>
      </c>
      <c r="H81" s="124" t="str">
        <f>CONCATENATE(SUBSTITUTE(F81,"ltm510","172.24.149.183"),"/")</f>
        <v>172.24.149.183:8000/trust510/central_db_services_das/</v>
      </c>
      <c r="I81" t="str">
        <f t="shared" si="11"/>
        <v>,{"central_db_services_das": { "stg_url": "10.14.0.50:31219/", "nonprod_url":"172.24.149.183:8000/trust510/central_db_services_das/" }}</v>
      </c>
      <c r="J81" t="str">
        <f t="shared" si="12"/>
        <v>"central_db_services_das":"31219",</v>
      </c>
    </row>
    <row r="82" spans="1:10">
      <c r="A82">
        <f>svc!A79</f>
        <v>64</v>
      </c>
      <c r="B82" t="str">
        <f>svc!B79</f>
        <v>v510</v>
      </c>
      <c r="C82" t="str">
        <f>svc!D79</f>
        <v>trust</v>
      </c>
      <c r="D82">
        <f>svc!G79</f>
        <v>31317</v>
      </c>
      <c r="E82" t="str">
        <f>svc!I79</f>
        <v>conf_setting</v>
      </c>
      <c r="F82" t="str">
        <f>SUBSTITUTE(svc!S79,"http://","")</f>
        <v>ltm510:8000/trust510/conf_setting</v>
      </c>
      <c r="G82" t="str">
        <f t="shared" si="10"/>
        <v>10.14.0.50:31317/</v>
      </c>
      <c r="H82" s="124" t="str">
        <f>CONCATENATE(SUBSTITUTE(F82,"ltm510","172.24.149.183"),"/")</f>
        <v>172.24.149.183:8000/trust510/conf_setting/</v>
      </c>
      <c r="I82" t="str">
        <f t="shared" si="11"/>
        <v>,{"conf_setting": { "stg_url": "10.14.0.50:31317/", "nonprod_url":"172.24.149.183:8000/trust510/conf_setting/" }}</v>
      </c>
      <c r="J82" t="str">
        <f t="shared" si="12"/>
        <v>"conf_setting":"31317",</v>
      </c>
    </row>
    <row r="83" spans="1:10" hidden="1">
      <c r="A83">
        <f>svc!A80</f>
        <v>65</v>
      </c>
      <c r="B83" t="str">
        <f>svc!B80</f>
        <v>v510</v>
      </c>
      <c r="C83" t="str">
        <f>svc!D80</f>
        <v>trust</v>
      </c>
      <c r="D83" t="str">
        <f>svc!G80</f>
        <v>N/A</v>
      </c>
      <c r="E83" t="str">
        <f>svc!I80</f>
        <v>das_data_consumer</v>
      </c>
      <c r="F83" t="str">
        <f>svc!S80</f>
        <v/>
      </c>
    </row>
    <row r="84" spans="1:10" hidden="1">
      <c r="A84">
        <f>svc!A81</f>
        <v>66</v>
      </c>
      <c r="B84" t="str">
        <f>svc!B81</f>
        <v>v510</v>
      </c>
      <c r="C84" t="str">
        <f>svc!D81</f>
        <v>trust</v>
      </c>
      <c r="D84" t="str">
        <f>svc!G81</f>
        <v>N/A</v>
      </c>
      <c r="E84" t="str">
        <f>svc!I81</f>
        <v>das_evidence_record_consumer</v>
      </c>
      <c r="F84" t="str">
        <f>svc!S81</f>
        <v/>
      </c>
    </row>
    <row r="85" spans="1:10" hidden="1">
      <c r="A85">
        <f>svc!A82</f>
        <v>67</v>
      </c>
      <c r="B85" t="str">
        <f>svc!B82</f>
        <v>v510</v>
      </c>
      <c r="C85" t="str">
        <f>svc!D82</f>
        <v>trust</v>
      </c>
      <c r="D85" t="str">
        <f>svc!G82</f>
        <v>N/A</v>
      </c>
      <c r="E85" t="str">
        <f>svc!I82</f>
        <v>das_transaction_record_consumer</v>
      </c>
      <c r="F85" t="str">
        <f>svc!S82</f>
        <v/>
      </c>
    </row>
    <row r="86" spans="1:10">
      <c r="A86">
        <f>svc!A83</f>
        <v>108</v>
      </c>
      <c r="B86" t="str">
        <f>svc!B83</f>
        <v>v510</v>
      </c>
      <c r="C86" t="str">
        <f>svc!D83</f>
        <v>trust</v>
      </c>
      <c r="D86">
        <f>svc!G83</f>
        <v>31218</v>
      </c>
      <c r="E86" t="str">
        <f>svc!I83</f>
        <v>das_evid_api</v>
      </c>
      <c r="F86" t="str">
        <f>SUBSTITUTE(svc!S83,"http://","")</f>
        <v>ltm510:8000/trust510/das_evid_api</v>
      </c>
      <c r="G86" t="str">
        <f t="shared" ref="G86:G88" si="13">CONCATENATE("10.14.0.50:",D86,"/")</f>
        <v>10.14.0.50:31218/</v>
      </c>
      <c r="H86" s="124" t="str">
        <f>CONCATENATE(SUBSTITUTE(F86,"ltm510","172.24.149.183"),"/")</f>
        <v>172.24.149.183:8000/trust510/das_evid_api/</v>
      </c>
      <c r="I86" t="str">
        <f t="shared" ref="I86:I88" si="14">CONCATENATE(",",SUBSTITUTE(SUBSTITUTE(SUBSTITUTE($H$1,"&lt;app_name&gt;",E86),"&lt;stg_url&gt;",G86),"&lt;nonprod_url&gt;",H86))</f>
        <v>,{"das_evid_api": { "stg_url": "10.14.0.50:31218/", "nonprod_url":"172.24.149.183:8000/trust510/das_evid_api/" }}</v>
      </c>
      <c r="J86" t="str">
        <f t="shared" ref="J86:J88" si="15">SUBSTITUTE(SUBSTITUTE($J$1,"&lt;node_port&gt;",D86),"&lt;app_name&gt;",E86)</f>
        <v>"das_evid_api":"31218",</v>
      </c>
    </row>
    <row r="87" spans="1:10">
      <c r="A87">
        <f>svc!A84</f>
        <v>68</v>
      </c>
      <c r="B87" t="str">
        <f>svc!B84</f>
        <v>v510</v>
      </c>
      <c r="C87" t="str">
        <f>svc!D84</f>
        <v>trust</v>
      </c>
      <c r="D87">
        <f>svc!G84</f>
        <v>31014</v>
      </c>
      <c r="E87" t="str">
        <f>svc!I84</f>
        <v>ecms_api</v>
      </c>
      <c r="F87" t="str">
        <f>SUBSTITUTE(svc!S84,"http://","")</f>
        <v>ltm510:8000/trust510/ecms_api</v>
      </c>
      <c r="G87" t="str">
        <f t="shared" si="13"/>
        <v>10.14.0.50:31014/</v>
      </c>
      <c r="H87" s="124" t="str">
        <f>CONCATENATE(SUBSTITUTE(F87,"ltm510","172.24.149.183"),"/")</f>
        <v>172.24.149.183:8000/trust510/ecms_api/</v>
      </c>
      <c r="I87" t="str">
        <f t="shared" si="14"/>
        <v>,{"ecms_api": { "stg_url": "10.14.0.50:31014/", "nonprod_url":"172.24.149.183:8000/trust510/ecms_api/" }}</v>
      </c>
      <c r="J87" t="str">
        <f t="shared" si="15"/>
        <v>"ecms_api":"31014",</v>
      </c>
    </row>
    <row r="88" spans="1:10">
      <c r="A88">
        <f>svc!A85</f>
        <v>69</v>
      </c>
      <c r="B88" t="str">
        <f>svc!B85</f>
        <v>v510</v>
      </c>
      <c r="C88" t="str">
        <f>svc!D85</f>
        <v>trust</v>
      </c>
      <c r="D88">
        <f>svc!G85</f>
        <v>31024</v>
      </c>
      <c r="E88" t="str">
        <f>svc!I85</f>
        <v>secondocr_webapi</v>
      </c>
      <c r="F88" t="str">
        <f>SUBSTITUTE(svc!S85,"http://","")</f>
        <v>ltm510:8000/trust510/secondocr_webapi</v>
      </c>
      <c r="G88" t="str">
        <f t="shared" si="13"/>
        <v>10.14.0.50:31024/</v>
      </c>
      <c r="H88" s="124" t="str">
        <f>CONCATENATE(SUBSTITUTE(F88,"ltm510","172.24.149.183"),"/")</f>
        <v>172.24.149.183:8000/trust510/secondocr_webapi/</v>
      </c>
      <c r="I88" t="str">
        <f t="shared" si="14"/>
        <v>,{"secondocr_webapi": { "stg_url": "10.14.0.50:31024/", "nonprod_url":"172.24.149.183:8000/trust510/secondocr_webapi/" }}</v>
      </c>
      <c r="J88" t="str">
        <f t="shared" si="15"/>
        <v>"secondocr_webapi":"31024",</v>
      </c>
    </row>
    <row r="89" spans="1:10" hidden="1">
      <c r="A89">
        <f>svc!A86</f>
        <v>70</v>
      </c>
      <c r="B89" t="str">
        <f>svc!B86</f>
        <v>v810</v>
      </c>
      <c r="C89" t="str">
        <f>svc!D86</f>
        <v>trust</v>
      </c>
      <c r="D89">
        <f>svc!G86</f>
        <v>31318</v>
      </c>
      <c r="E89" t="str">
        <f>svc!I86</f>
        <v>statement_api</v>
      </c>
      <c r="F89" t="str">
        <f>svc!S86</f>
        <v>http://ltm810:8000/trust810/statement_api</v>
      </c>
    </row>
    <row r="90" spans="1:10">
      <c r="A90">
        <f>svc!A87</f>
        <v>71</v>
      </c>
      <c r="B90" t="str">
        <f>svc!B87</f>
        <v>v510</v>
      </c>
      <c r="C90" t="str">
        <f>svc!D87</f>
        <v>trust</v>
      </c>
      <c r="D90">
        <f>svc!G87</f>
        <v>31319</v>
      </c>
      <c r="E90" t="str">
        <f>svc!I87</f>
        <v>toll_cal_setting</v>
      </c>
      <c r="F90" t="str">
        <f>SUBSTITUTE(svc!S87,"http://","")</f>
        <v>ltm510:8000/trust510/toll_cal_setting</v>
      </c>
      <c r="G90" t="str">
        <f>CONCATENATE("10.14.0.50:",D90,"/")</f>
        <v>10.14.0.50:31319/</v>
      </c>
      <c r="H90" s="124" t="str">
        <f>CONCATENATE(SUBSTITUTE(F90,"ltm510","172.24.149.183"),"/")</f>
        <v>172.24.149.183:8000/trust510/toll_cal_setting/</v>
      </c>
      <c r="I90" t="str">
        <f>CONCATENATE(",",SUBSTITUTE(SUBSTITUTE(SUBSTITUTE($H$1,"&lt;app_name&gt;",E90),"&lt;stg_url&gt;",G90),"&lt;nonprod_url&gt;",H90))</f>
        <v>,{"toll_cal_setting": { "stg_url": "10.14.0.50:31319/", "nonprod_url":"172.24.149.183:8000/trust510/toll_cal_setting/" }}</v>
      </c>
      <c r="J90" t="str">
        <f>SUBSTITUTE(SUBSTITUTE($J$1,"&lt;node_port&gt;",D90),"&lt;app_name&gt;",E90)</f>
        <v>"toll_cal_setting":"31319",</v>
      </c>
    </row>
    <row r="91" spans="1:10" hidden="1">
      <c r="A91">
        <f>svc!A88</f>
        <v>72</v>
      </c>
      <c r="B91" t="str">
        <f>svc!B88</f>
        <v>v511</v>
      </c>
      <c r="C91" t="str">
        <f>svc!D88</f>
        <v>trust</v>
      </c>
      <c r="D91">
        <f>svc!G88</f>
        <v>31001</v>
      </c>
      <c r="E91" t="str">
        <f>svc!I88</f>
        <v>toms_api</v>
      </c>
      <c r="F91" t="str">
        <f>svc!S88</f>
        <v>http://ltm511:8000/trust511/toms_api</v>
      </c>
    </row>
    <row r="92" spans="1:10" hidden="1">
      <c r="A92">
        <f>svc!A89</f>
        <v>73</v>
      </c>
      <c r="B92" t="str">
        <f>svc!B89</f>
        <v>v511</v>
      </c>
      <c r="C92" t="str">
        <f>svc!D89</f>
        <v>trust</v>
      </c>
      <c r="D92">
        <f>svc!G89</f>
        <v>31004</v>
      </c>
      <c r="E92" t="str">
        <f>svc!I89</f>
        <v>toms_auth_api</v>
      </c>
      <c r="F92" t="str">
        <f>svc!S89</f>
        <v>http://ltm511:8000/trust511/toms_auth_api</v>
      </c>
    </row>
    <row r="93" spans="1:10">
      <c r="A93">
        <f>svc!A90</f>
        <v>74</v>
      </c>
      <c r="B93" t="str">
        <f>svc!B90</f>
        <v>v510</v>
      </c>
      <c r="C93" t="str">
        <f>svc!D90</f>
        <v>trust</v>
      </c>
      <c r="D93">
        <f>svc!G90</f>
        <v>31021</v>
      </c>
      <c r="E93" t="str">
        <f>svc!I90</f>
        <v>tx_validation</v>
      </c>
      <c r="F93" t="str">
        <f>SUBSTITUTE(svc!S90,"http://","")</f>
        <v>ltm510:8000/trust510/tx_validation</v>
      </c>
      <c r="G93" t="str">
        <f t="shared" ref="G93:G97" si="16">CONCATENATE("10.14.0.50:",D93,"/")</f>
        <v>10.14.0.50:31021/</v>
      </c>
      <c r="H93" s="124" t="str">
        <f>CONCATENATE(SUBSTITUTE(F93,"ltm510","172.24.149.183"),"/")</f>
        <v>172.24.149.183:8000/trust510/tx_validation/</v>
      </c>
      <c r="I93" t="str">
        <f t="shared" ref="I93:I97" si="17">CONCATENATE(",",SUBSTITUTE(SUBSTITUTE(SUBSTITUTE($H$1,"&lt;app_name&gt;",E93),"&lt;stg_url&gt;",G93),"&lt;nonprod_url&gt;",H93))</f>
        <v>,{"tx_validation": { "stg_url": "10.14.0.50:31021/", "nonprod_url":"172.24.149.183:8000/trust510/tx_validation/" }}</v>
      </c>
      <c r="J93" t="str">
        <f t="shared" ref="J93:J97" si="18">SUBSTITUTE(SUBSTITUTE($J$1,"&lt;node_port&gt;",D93),"&lt;app_name&gt;",E93)</f>
        <v>"tx_validation":"31021",</v>
      </c>
    </row>
    <row r="94" spans="1:10">
      <c r="A94">
        <f>svc!A91</f>
        <v>109</v>
      </c>
      <c r="B94" t="str">
        <f>svc!B91</f>
        <v>v510</v>
      </c>
      <c r="C94" t="str">
        <f>svc!D91</f>
        <v>trust</v>
      </c>
      <c r="D94">
        <f>svc!G91</f>
        <v>31216</v>
      </c>
      <c r="E94" t="str">
        <f>svc!I91</f>
        <v>validv_api</v>
      </c>
      <c r="F94" t="str">
        <f>SUBSTITUTE(svc!S91,"http://","")</f>
        <v>ltm510:8000/trust510/validv_api</v>
      </c>
      <c r="G94" t="str">
        <f t="shared" si="16"/>
        <v>10.14.0.50:31216/</v>
      </c>
      <c r="H94" s="124" t="str">
        <f>CONCATENATE(SUBSTITUTE(F94,"ltm510","172.24.149.183"),"/")</f>
        <v>172.24.149.183:8000/trust510/validv_api/</v>
      </c>
      <c r="I94" t="str">
        <f t="shared" si="17"/>
        <v>,{"validv_api": { "stg_url": "10.14.0.50:31216/", "nonprod_url":"172.24.149.183:8000/trust510/validv_api/" }}</v>
      </c>
      <c r="J94" t="str">
        <f t="shared" si="18"/>
        <v>"validv_api":"31216",</v>
      </c>
    </row>
    <row r="95" spans="1:10">
      <c r="A95">
        <f>svc!A92</f>
        <v>110</v>
      </c>
      <c r="B95" t="str">
        <f>svc!B92</f>
        <v>v510</v>
      </c>
      <c r="C95" t="str">
        <f>svc!D92</f>
        <v>trust</v>
      </c>
      <c r="D95">
        <f>svc!G92</f>
        <v>31023</v>
      </c>
      <c r="E95" t="str">
        <f>svc!I92</f>
        <v>vrm_verification</v>
      </c>
      <c r="F95" t="str">
        <f>SUBSTITUTE(svc!S92,"http://","")</f>
        <v>ltm510:8000/trust510/vrm_verification</v>
      </c>
      <c r="G95" t="str">
        <f t="shared" si="16"/>
        <v>10.14.0.50:31023/</v>
      </c>
      <c r="H95" s="124" t="str">
        <f>CONCATENATE(SUBSTITUTE(F95,"ltm510","172.24.149.183"),"/")</f>
        <v>172.24.149.183:8000/trust510/vrm_verification/</v>
      </c>
      <c r="I95" t="str">
        <f t="shared" si="17"/>
        <v>,{"vrm_verification": { "stg_url": "10.14.0.50:31023/", "nonprod_url":"172.24.149.183:8000/trust510/vrm_verification/" }}</v>
      </c>
      <c r="J95" t="str">
        <f t="shared" si="18"/>
        <v>"vrm_verification":"31023",</v>
      </c>
    </row>
    <row r="96" spans="1:10">
      <c r="A96" t="str">
        <f>svc!A93</f>
        <v>Not in used</v>
      </c>
      <c r="B96" t="str">
        <f>svc!B93</f>
        <v>v510</v>
      </c>
      <c r="C96" t="str">
        <f>svc!D93</f>
        <v>trust</v>
      </c>
      <c r="D96">
        <f>svc!G93</f>
        <v>31020</v>
      </c>
      <c r="E96" t="str">
        <f>svc!I93</f>
        <v>tag_validation</v>
      </c>
      <c r="F96" t="str">
        <f>SUBSTITUTE(svc!S93,"http://","")</f>
        <v/>
      </c>
      <c r="G96" t="str">
        <f t="shared" si="16"/>
        <v>10.14.0.50:31020/</v>
      </c>
      <c r="H96" s="124" t="str">
        <f>CONCATENATE(SUBSTITUTE(F96,"ltm510","172.24.149.183"),"/")</f>
        <v>/</v>
      </c>
      <c r="I96" t="str">
        <f t="shared" si="17"/>
        <v>,{"tag_validation": { "stg_url": "10.14.0.50:31020/", "nonprod_url":"/" }}</v>
      </c>
      <c r="J96" t="str">
        <f t="shared" si="18"/>
        <v>"tag_validation":"31020",</v>
      </c>
    </row>
    <row r="97" spans="1:10">
      <c r="A97" t="str">
        <f>svc!A94</f>
        <v>Not in used</v>
      </c>
      <c r="B97" t="str">
        <f>svc!B94</f>
        <v>v510</v>
      </c>
      <c r="C97" t="str">
        <f>svc!D94</f>
        <v>trust</v>
      </c>
      <c r="D97">
        <f>svc!G94</f>
        <v>31022</v>
      </c>
      <c r="E97" t="str">
        <f>svc!I94</f>
        <v>posted_tx_validation</v>
      </c>
      <c r="F97" t="str">
        <f>SUBSTITUTE(svc!S94,"http://","")</f>
        <v/>
      </c>
      <c r="G97" t="str">
        <f t="shared" si="16"/>
        <v>10.14.0.50:31022/</v>
      </c>
      <c r="H97" s="124" t="str">
        <f>CONCATENATE(SUBSTITUTE(F97,"ltm510","172.24.149.183"),"/")</f>
        <v>/</v>
      </c>
      <c r="I97" t="str">
        <f t="shared" si="17"/>
        <v>,{"posted_tx_validation": { "stg_url": "10.14.0.50:31022/", "nonprod_url":"/" }}</v>
      </c>
      <c r="J97" t="str">
        <f t="shared" si="18"/>
        <v>"posted_tx_validation":"31022",</v>
      </c>
    </row>
    <row r="98" spans="1:10" hidden="1">
      <c r="A98">
        <f>svc!A95</f>
        <v>120</v>
      </c>
      <c r="B98" t="str">
        <f>svc!B95</f>
        <v>v510</v>
      </c>
      <c r="C98" t="str">
        <f>svc!D95</f>
        <v>trust</v>
      </c>
      <c r="D98">
        <f>svc!G95</f>
        <v>31220</v>
      </c>
      <c r="E98" t="str">
        <f>svc!I95</f>
        <v>s3_api</v>
      </c>
      <c r="F98" t="str">
        <f>svc!S95</f>
        <v>http://ltm510:8000/trust510/s3_api</v>
      </c>
    </row>
    <row r="99" spans="1:10" hidden="1">
      <c r="A99">
        <f>svc!A96</f>
        <v>121</v>
      </c>
      <c r="B99" t="str">
        <f>svc!B96</f>
        <v>v504</v>
      </c>
      <c r="C99" t="str">
        <f>svc!D96</f>
        <v>dmz</v>
      </c>
      <c r="D99">
        <f>svc!G96</f>
        <v>31050</v>
      </c>
      <c r="E99" t="str">
        <f>svc!I96</f>
        <v>bes_wmm2</v>
      </c>
      <c r="F99" t="str">
        <f>svc!S96</f>
        <v>http://ltm504:8000/dmz504/bes_wmm2</v>
      </c>
    </row>
    <row r="100" spans="1:10" hidden="1">
      <c r="A100">
        <f>svc!A97</f>
        <v>122</v>
      </c>
      <c r="B100" t="str">
        <f>svc!B97</f>
        <v>v804</v>
      </c>
      <c r="C100" t="str">
        <f>svc!D97</f>
        <v>dmz</v>
      </c>
      <c r="D100">
        <f>svc!G97</f>
        <v>31050</v>
      </c>
      <c r="E100" t="str">
        <f>svc!I97</f>
        <v>bes_wmm2</v>
      </c>
      <c r="F100" t="str">
        <f>svc!S97</f>
        <v>http://ltm804:8000/dmz804/bes_wmm2</v>
      </c>
    </row>
    <row r="101" spans="1:10" hidden="1">
      <c r="A101">
        <f>svc!A100</f>
        <v>133</v>
      </c>
      <c r="B101" t="str">
        <f>svc!B100</f>
        <v>v630</v>
      </c>
      <c r="C101" t="str">
        <f>svc!D100</f>
        <v>dmz</v>
      </c>
      <c r="D101">
        <f>svc!G100</f>
        <v>31052</v>
      </c>
      <c r="E101" t="str">
        <f>svc!I100</f>
        <v>das_middleware_load_test</v>
      </c>
      <c r="F101" t="str">
        <f>svc!S100</f>
        <v>http://ltm630:8000/dmz630/das_middleware_load_test</v>
      </c>
    </row>
    <row r="102" spans="1:10" hidden="1">
      <c r="A102">
        <f>svc!A101</f>
        <v>134</v>
      </c>
      <c r="B102" t="str">
        <f>svc!B101</f>
        <v>v630</v>
      </c>
      <c r="C102" t="str">
        <f>svc!D101</f>
        <v>dmz</v>
      </c>
      <c r="D102">
        <f>svc!G101</f>
        <v>31053</v>
      </c>
      <c r="E102" t="str">
        <f>svc!I101</f>
        <v>das_middleware_load_test_2</v>
      </c>
      <c r="F102" t="str">
        <f>svc!S101</f>
        <v>http://ltm630:8000/dmz630/das_middleware_load_test_2</v>
      </c>
    </row>
    <row r="103" spans="1:10" hidden="1"/>
    <row r="104" spans="1:10" hidden="1"/>
    <row r="105" spans="1:10" hidden="1"/>
    <row r="106" spans="1:10" hidden="1"/>
    <row r="107" spans="1:10" hidden="1"/>
    <row r="108" spans="1:10" hidden="1"/>
    <row r="109" spans="1:10" hidden="1"/>
    <row r="110" spans="1:10" hidden="1"/>
    <row r="111" spans="1:10" hidden="1"/>
    <row r="112" spans="1:10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</sheetData>
  <autoFilter ref="A2:F206">
    <filterColumn colId="1">
      <filters>
        <filter val="v510"/>
      </filters>
    </filterColumn>
    <filterColumn colId="3">
      <filters>
        <filter val="31000"/>
        <filter val="31009"/>
        <filter val="31014"/>
        <filter val="31015"/>
        <filter val="31016"/>
        <filter val="31017"/>
        <filter val="31018"/>
        <filter val="31020"/>
        <filter val="31021"/>
        <filter val="31022"/>
        <filter val="31023"/>
        <filter val="31024"/>
        <filter val="31027"/>
        <filter val="31201"/>
        <filter val="31202"/>
        <filter val="31203"/>
        <filter val="31204"/>
        <filter val="31205"/>
        <filter val="31206"/>
        <filter val="31207"/>
        <filter val="31208"/>
        <filter val="31209"/>
        <filter val="31210"/>
        <filter val="31212"/>
        <filter val="31214"/>
        <filter val="31215"/>
        <filter val="31216"/>
        <filter val="31218"/>
        <filter val="31219"/>
        <filter val="31301"/>
        <filter val="31302"/>
        <filter val="31307"/>
        <filter val="31308"/>
        <filter val="31309"/>
        <filter val="31310"/>
        <filter val="31311"/>
        <filter val="31312"/>
        <filter val="31313"/>
        <filter val="31314"/>
        <filter val="31315"/>
        <filter val="31316"/>
        <filter val="31317"/>
        <filter val="31319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已命名的範圍</vt:lpstr>
      </vt:variant>
      <vt:variant>
        <vt:i4>1</vt:i4>
      </vt:variant>
    </vt:vector>
  </HeadingPairs>
  <TitlesOfParts>
    <vt:vector size="13" baseType="lpstr">
      <vt:lpstr>svc</vt:lpstr>
      <vt:lpstr>svc_access_mapping</vt:lpstr>
      <vt:lpstr>kong_np_var</vt:lpstr>
      <vt:lpstr>kong_np_script</vt:lpstr>
      <vt:lpstr>kong_p2_var</vt:lpstr>
      <vt:lpstr>kong_p2_script</vt:lpstr>
      <vt:lpstr>kong_p1_var</vt:lpstr>
      <vt:lpstr>kong_p1_script</vt:lpstr>
      <vt:lpstr>Common Service</vt:lpstr>
      <vt:lpstr>ATL_internal</vt:lpstr>
      <vt:lpstr>ATL_20220531</vt:lpstr>
      <vt:lpstr>internal_url</vt:lpstr>
      <vt:lpstr>svc!Print_Area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Hong Fu</dc:creator>
  <cp:lastModifiedBy>Wai Lung (Isaac) Yip</cp:lastModifiedBy>
  <cp:lastPrinted>2022-04-12T11:29:42Z</cp:lastPrinted>
  <dcterms:created xsi:type="dcterms:W3CDTF">2022-04-01T07:43:17Z</dcterms:created>
  <dcterms:modified xsi:type="dcterms:W3CDTF">2023-06-06T09:57:05Z</dcterms:modified>
</cp:coreProperties>
</file>